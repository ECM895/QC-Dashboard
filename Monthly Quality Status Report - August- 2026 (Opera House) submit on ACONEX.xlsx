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uzairahmad/Desktop/"/>
    </mc:Choice>
  </mc:AlternateContent>
  <xr:revisionPtr revIDLastSave="0" documentId="8_{4D79E3BE-D625-9447-8BEF-95A4718688C7}" xr6:coauthVersionLast="47" xr6:coauthVersionMax="47" xr10:uidLastSave="{00000000-0000-0000-0000-000000000000}"/>
  <bookViews>
    <workbookView xWindow="0" yWindow="580" windowWidth="25600" windowHeight="14880" tabRatio="598" xr2:uid="{B174B505-604B-49F6-B10E-A3F14C85BFC2}"/>
  </bookViews>
  <sheets>
    <sheet name="GRAND MOSQUE" sheetId="6" r:id="rId1"/>
    <sheet name="Waldorf Astoria Hotel &amp; Branded" sheetId="21" r:id="rId2"/>
    <sheet name="OPERA HOUSE " sheetId="11" r:id="rId3"/>
    <sheet name="District Level - BSW" sheetId="22" r:id="rId4"/>
    <sheet name="PMC Report- District level" sheetId="12" r:id="rId5"/>
    <sheet name="Metrics" sheetId="24" r:id="rId6"/>
    <sheet name="Consolidated Q. Register - 01 " sheetId="19" r:id="rId7"/>
    <sheet name="Consolidated Q. Register - 01" sheetId="23" state="hidden" r:id="rId8"/>
    <sheet name="Consolidated Q. Register - 02" sheetId="17" r:id="rId9"/>
    <sheet name="Consolidated Q. Register -  03" sheetId="18" r:id="rId10"/>
  </sheets>
  <definedNames>
    <definedName name="___fac01">#REF!</definedName>
    <definedName name="__NCR1">#REF!</definedName>
    <definedName name="__NCR2">#REF!</definedName>
    <definedName name="__RFI2">#REF!</definedName>
    <definedName name="_dd">#REF!</definedName>
    <definedName name="_fac01">#REF!</definedName>
    <definedName name="_xlnm._FilterDatabase" localSheetId="7" hidden="1">'Consolidated Q. Register - 01'!$A$1:$BR$5</definedName>
    <definedName name="_xlnm._FilterDatabase" localSheetId="6" hidden="1">'Consolidated Q. Register - 01 '!$A$2:$BR$7</definedName>
    <definedName name="attend">#REF!</definedName>
    <definedName name="Cat">#REF!</definedName>
    <definedName name="category">#REF!</definedName>
    <definedName name="CM">#REF!</definedName>
    <definedName name="CTI">#REF!</definedName>
    <definedName name="_xlnm.Database">#REF!</definedName>
    <definedName name="DCC">#REF!</definedName>
    <definedName name="disc">#REF!</definedName>
    <definedName name="Discipline">#REF!</definedName>
    <definedName name="e">#REF!</definedName>
    <definedName name="Element">#REF!</definedName>
    <definedName name="Elements">#REF!</definedName>
    <definedName name="Facility">#REF!</definedName>
    <definedName name="FC">#REF!</definedName>
    <definedName name="foss">#REF!</definedName>
    <definedName name="hse">#REF!</definedName>
    <definedName name="HSEf">#REF!</definedName>
    <definedName name="IRLog">#REF!</definedName>
    <definedName name="jfsfsfjsf">#REF!</definedName>
    <definedName name="l">#REF!</definedName>
    <definedName name="LIST">#REF!</definedName>
    <definedName name="LOG">#REF!</definedName>
    <definedName name="NCR">#REF!</definedName>
    <definedName name="NCRs">#REF!</definedName>
    <definedName name="o">#REF!</definedName>
    <definedName name="pivot">#REF!</definedName>
    <definedName name="PMC_Project_Manager">#REF!</definedName>
    <definedName name="_xlnm.Print_Area" localSheetId="9">'Consolidated Q. Register -  03'!$A$1:$J$10</definedName>
    <definedName name="_xlnm.Print_Area" localSheetId="7">'Consolidated Q. Register - 01'!$A$1:$BP$5</definedName>
    <definedName name="_xlnm.Print_Area" localSheetId="6">'Consolidated Q. Register - 01 '!$A$1:$BP$7</definedName>
    <definedName name="_xlnm.Print_Area" localSheetId="8">'Consolidated Q. Register - 02'!$A$1:$J$10</definedName>
    <definedName name="_xlnm.Print_Area" localSheetId="3">'District Level - BSW'!$A$1:$I$71</definedName>
    <definedName name="_xlnm.Print_Area" localSheetId="4">'PMC Report- District level'!$A$1:$I$71</definedName>
    <definedName name="Reasons">#REF!</definedName>
    <definedName name="reject">#REF!</definedName>
    <definedName name="rep">#REF!</definedName>
    <definedName name="rev">#REF!</definedName>
    <definedName name="Revision">#REF!</definedName>
    <definedName name="RFI">#REF!</definedName>
    <definedName name="RFIs">#REF!</definedName>
    <definedName name="rrr">#REF!</definedName>
    <definedName name="SE">#REF!</definedName>
    <definedName name="ss">#REF!</definedName>
    <definedName name="status">#REF!</definedName>
    <definedName name="status2">#REF!</definedName>
    <definedName name="subcat">#REF!</definedName>
    <definedName name="SubCategory">#REF!</definedName>
    <definedName name="Submittal">#REF!</definedName>
    <definedName name="Test">#REF!</definedName>
    <definedName name="TM">#REF!</definedName>
    <definedName name="TMgmt">#REF!</definedName>
    <definedName name="type">#REF!</definedName>
    <definedName name="Typw">#REF!</definedName>
    <definedName name="ujj">#REF!</definedName>
    <definedName name="Weekends">#REF!</definedName>
    <definedName name="Weeks">#REF!</definedName>
    <definedName name="wer">#REF!</definedName>
    <definedName name="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11" l="1"/>
  <c r="D46" i="11"/>
  <c r="G2" i="23"/>
  <c r="H2" i="23"/>
  <c r="G3" i="23"/>
  <c r="H3" i="23"/>
  <c r="G5" i="23"/>
  <c r="H5" i="23"/>
  <c r="H8" i="19"/>
  <c r="G8" i="19"/>
  <c r="H7" i="19"/>
  <c r="H4" i="23" s="1"/>
  <c r="G7" i="19"/>
  <c r="G4" i="23" s="1"/>
  <c r="H6" i="19"/>
  <c r="G6" i="19"/>
  <c r="H5" i="19"/>
  <c r="G5" i="19"/>
  <c r="B2" i="11"/>
  <c r="B2" i="22"/>
  <c r="B2" i="12"/>
  <c r="B2" i="21"/>
  <c r="F2" i="11"/>
  <c r="F2" i="22"/>
  <c r="F2" i="12"/>
  <c r="F2" i="21"/>
  <c r="B2" i="23"/>
  <c r="C2" i="23"/>
  <c r="D2" i="23"/>
  <c r="F2" i="23"/>
  <c r="I2" i="23"/>
  <c r="K2" i="23"/>
  <c r="L2" i="23"/>
  <c r="M2" i="23"/>
  <c r="AE2" i="23"/>
  <c r="AF2" i="23"/>
  <c r="B3" i="23"/>
  <c r="C3" i="23"/>
  <c r="D3" i="23"/>
  <c r="F3" i="23"/>
  <c r="I3" i="23"/>
  <c r="AL3" i="23"/>
  <c r="DA3" i="23"/>
  <c r="DB3" i="23"/>
  <c r="DC3" i="23"/>
  <c r="B4" i="23"/>
  <c r="C4" i="23"/>
  <c r="D4" i="23"/>
  <c r="F4" i="23"/>
  <c r="I4" i="23"/>
  <c r="B5" i="23"/>
  <c r="C5" i="23"/>
  <c r="D5" i="23"/>
  <c r="E5" i="23"/>
  <c r="F5" i="23"/>
  <c r="I5" i="23"/>
  <c r="R5" i="23"/>
  <c r="X5" i="23"/>
  <c r="Y5" i="23"/>
  <c r="AC5" i="23"/>
  <c r="AD5" i="23"/>
  <c r="AL5" i="23"/>
  <c r="AW5" i="23"/>
  <c r="AX5" i="23"/>
  <c r="BF5" i="23"/>
  <c r="BL5" i="23"/>
  <c r="BQ5" i="23"/>
  <c r="BR5" i="23"/>
  <c r="BS5" i="23"/>
  <c r="BZ5" i="23"/>
  <c r="CC5" i="23"/>
  <c r="CD5" i="23"/>
  <c r="CK5" i="23"/>
  <c r="CT5" i="23"/>
  <c r="DE5" i="23"/>
  <c r="DF5" i="23"/>
  <c r="DG5" i="23"/>
  <c r="A3" i="23"/>
  <c r="A4" i="23"/>
  <c r="A5" i="23"/>
  <c r="A2" i="23"/>
  <c r="C69" i="22"/>
  <c r="B69" i="22"/>
  <c r="C68" i="22"/>
  <c r="D68" i="22" s="1"/>
  <c r="B68" i="22"/>
  <c r="C65" i="22"/>
  <c r="B65" i="22"/>
  <c r="C61" i="22"/>
  <c r="B61" i="22"/>
  <c r="C60" i="22"/>
  <c r="D60" i="22" s="1"/>
  <c r="B60" i="22"/>
  <c r="C58" i="22"/>
  <c r="B58" i="22"/>
  <c r="C57" i="22"/>
  <c r="B57" i="22"/>
  <c r="C54" i="22"/>
  <c r="B54" i="22"/>
  <c r="C46" i="22"/>
  <c r="B46" i="22"/>
  <c r="D38" i="22"/>
  <c r="C38" i="22"/>
  <c r="B38" i="22"/>
  <c r="D37" i="22"/>
  <c r="E37" i="22" s="1"/>
  <c r="C37" i="22"/>
  <c r="B37" i="22"/>
  <c r="C34" i="22"/>
  <c r="B34" i="22"/>
  <c r="C33" i="22"/>
  <c r="B33" i="22"/>
  <c r="G30" i="22"/>
  <c r="G29" i="22"/>
  <c r="D30" i="22"/>
  <c r="C30" i="22"/>
  <c r="B30" i="22"/>
  <c r="D29" i="22"/>
  <c r="C29" i="22"/>
  <c r="B29" i="22"/>
  <c r="D26" i="22"/>
  <c r="C26" i="22"/>
  <c r="B26" i="22"/>
  <c r="E26" i="22" s="1"/>
  <c r="D25" i="22"/>
  <c r="C25" i="22"/>
  <c r="B25" i="22"/>
  <c r="H17" i="22" s="1"/>
  <c r="D22" i="22"/>
  <c r="C22" i="22"/>
  <c r="B22" i="22"/>
  <c r="D21" i="22"/>
  <c r="C21" i="22"/>
  <c r="B21" i="22"/>
  <c r="J18" i="22"/>
  <c r="J17" i="22"/>
  <c r="E18" i="22"/>
  <c r="D18" i="22"/>
  <c r="C18" i="22"/>
  <c r="B18" i="22"/>
  <c r="E17" i="22"/>
  <c r="D17" i="22"/>
  <c r="C17" i="22"/>
  <c r="B17" i="22"/>
  <c r="F14" i="22"/>
  <c r="E14" i="22"/>
  <c r="D14" i="22"/>
  <c r="C14" i="22"/>
  <c r="F13" i="22"/>
  <c r="E13" i="22"/>
  <c r="D13" i="22"/>
  <c r="C13" i="22"/>
  <c r="B13" i="22" s="1"/>
  <c r="G13" i="22" s="1"/>
  <c r="F12" i="22"/>
  <c r="E12" i="22"/>
  <c r="D12" i="22"/>
  <c r="C12" i="22"/>
  <c r="F11" i="22"/>
  <c r="E11" i="22"/>
  <c r="D11" i="22"/>
  <c r="C11" i="22"/>
  <c r="F10" i="22"/>
  <c r="E10" i="22"/>
  <c r="D10" i="22"/>
  <c r="C10" i="22"/>
  <c r="F9" i="22"/>
  <c r="E9" i="22"/>
  <c r="D9" i="22"/>
  <c r="C9" i="22"/>
  <c r="F8" i="22"/>
  <c r="E8" i="22"/>
  <c r="D8" i="22"/>
  <c r="C8" i="22"/>
  <c r="F7" i="22"/>
  <c r="E7" i="22"/>
  <c r="D7" i="22"/>
  <c r="C7" i="22"/>
  <c r="B8" i="22"/>
  <c r="C69" i="12"/>
  <c r="B69" i="12"/>
  <c r="C68" i="12"/>
  <c r="B68" i="12"/>
  <c r="C65" i="12"/>
  <c r="B65" i="12"/>
  <c r="C61" i="12"/>
  <c r="B61" i="12"/>
  <c r="C60" i="12"/>
  <c r="B60" i="12"/>
  <c r="C58" i="12"/>
  <c r="C62" i="12" s="1"/>
  <c r="B58" i="12"/>
  <c r="B62" i="12" s="1"/>
  <c r="C57" i="12"/>
  <c r="B57" i="12"/>
  <c r="C54" i="12"/>
  <c r="B54" i="12"/>
  <c r="C46" i="12"/>
  <c r="B46" i="12"/>
  <c r="D38" i="12"/>
  <c r="E38" i="12" s="1"/>
  <c r="J22" i="24" s="1"/>
  <c r="D37" i="12"/>
  <c r="E37" i="12" s="1"/>
  <c r="C38" i="12"/>
  <c r="B38" i="12"/>
  <c r="C37" i="12"/>
  <c r="B37" i="12"/>
  <c r="C34" i="12"/>
  <c r="B34" i="12"/>
  <c r="C33" i="12"/>
  <c r="B33" i="12"/>
  <c r="D33" i="12" s="1"/>
  <c r="D30" i="12"/>
  <c r="C30" i="12"/>
  <c r="B30" i="12"/>
  <c r="D29" i="12"/>
  <c r="C29" i="12"/>
  <c r="B29" i="12"/>
  <c r="E29" i="12" s="1"/>
  <c r="G30" i="12"/>
  <c r="G29" i="12"/>
  <c r="D26" i="12"/>
  <c r="C26" i="12"/>
  <c r="B26" i="12"/>
  <c r="H18" i="12" s="1"/>
  <c r="D25" i="12"/>
  <c r="C25" i="12"/>
  <c r="B25" i="12"/>
  <c r="H17" i="12" s="1"/>
  <c r="D22" i="12"/>
  <c r="C22" i="12"/>
  <c r="B22" i="12"/>
  <c r="D21" i="12"/>
  <c r="C21" i="12"/>
  <c r="B21" i="12"/>
  <c r="J18" i="12"/>
  <c r="J17" i="12"/>
  <c r="E18" i="12"/>
  <c r="D18" i="12"/>
  <c r="C18" i="12"/>
  <c r="B18" i="12"/>
  <c r="E17" i="12"/>
  <c r="D17" i="12"/>
  <c r="C17" i="12"/>
  <c r="B17" i="12"/>
  <c r="F14" i="12"/>
  <c r="E14" i="12"/>
  <c r="D14" i="12"/>
  <c r="C14" i="12"/>
  <c r="F13" i="12"/>
  <c r="E13" i="12"/>
  <c r="D13" i="12"/>
  <c r="C13" i="12"/>
  <c r="F12" i="12"/>
  <c r="E12" i="12"/>
  <c r="D12" i="12"/>
  <c r="C12" i="12"/>
  <c r="F11" i="12"/>
  <c r="E11" i="12"/>
  <c r="D11" i="12"/>
  <c r="C11" i="12"/>
  <c r="F10" i="12"/>
  <c r="E10" i="12"/>
  <c r="D10" i="12"/>
  <c r="C10" i="12"/>
  <c r="F9" i="12"/>
  <c r="E9" i="12"/>
  <c r="D9" i="12"/>
  <c r="C9" i="12"/>
  <c r="F8" i="12"/>
  <c r="E8" i="12"/>
  <c r="D8" i="12"/>
  <c r="C8" i="12"/>
  <c r="F7" i="12"/>
  <c r="E7" i="12"/>
  <c r="D7" i="12"/>
  <c r="C7" i="12"/>
  <c r="DI8" i="19"/>
  <c r="DI5" i="23" s="1"/>
  <c r="DH8" i="19"/>
  <c r="DH5" i="23" s="1"/>
  <c r="DG8" i="19"/>
  <c r="DF8" i="19"/>
  <c r="DE8" i="19"/>
  <c r="DD8" i="19"/>
  <c r="DD5" i="23" s="1"/>
  <c r="DC8" i="19"/>
  <c r="DC5" i="23" s="1"/>
  <c r="DB8" i="19"/>
  <c r="DB5" i="23" s="1"/>
  <c r="DA8" i="19"/>
  <c r="DA5" i="23" s="1"/>
  <c r="CZ8" i="19"/>
  <c r="CZ5" i="23" s="1"/>
  <c r="CY8" i="19"/>
  <c r="CY5" i="23" s="1"/>
  <c r="CX8" i="19"/>
  <c r="CX5" i="23" s="1"/>
  <c r="CW8" i="19"/>
  <c r="CW5" i="23" s="1"/>
  <c r="CV8" i="19"/>
  <c r="CV5" i="23" s="1"/>
  <c r="CU8" i="19"/>
  <c r="CU5" i="23" s="1"/>
  <c r="CT8" i="19"/>
  <c r="CS8" i="19"/>
  <c r="CS5" i="23" s="1"/>
  <c r="CR8" i="19"/>
  <c r="CR5" i="23" s="1"/>
  <c r="CQ8" i="19"/>
  <c r="CQ5" i="23" s="1"/>
  <c r="CP8" i="19"/>
  <c r="CP5" i="23" s="1"/>
  <c r="CO8" i="19"/>
  <c r="CO5" i="23" s="1"/>
  <c r="CN8" i="19"/>
  <c r="CN5" i="23" s="1"/>
  <c r="CM8" i="19"/>
  <c r="CM5" i="23" s="1"/>
  <c r="CL8" i="19"/>
  <c r="CL5" i="23" s="1"/>
  <c r="CK8" i="19"/>
  <c r="CJ8" i="19"/>
  <c r="CJ5" i="23" s="1"/>
  <c r="CI8" i="19"/>
  <c r="CI5" i="23" s="1"/>
  <c r="CH8" i="19"/>
  <c r="CH5" i="23" s="1"/>
  <c r="CG8" i="19"/>
  <c r="CG5" i="23" s="1"/>
  <c r="CF8" i="19"/>
  <c r="CF5" i="23" s="1"/>
  <c r="CE8" i="19"/>
  <c r="CE5" i="23" s="1"/>
  <c r="CD8" i="19"/>
  <c r="CC8" i="19"/>
  <c r="CB8" i="19"/>
  <c r="CB5" i="23" s="1"/>
  <c r="CA8" i="19"/>
  <c r="CA5" i="23" s="1"/>
  <c r="BZ8" i="19"/>
  <c r="BY8" i="19"/>
  <c r="BY5" i="23" s="1"/>
  <c r="BX8" i="19"/>
  <c r="BX5" i="23" s="1"/>
  <c r="BW8" i="19"/>
  <c r="BW5" i="23" s="1"/>
  <c r="BV8" i="19"/>
  <c r="BV5" i="23" s="1"/>
  <c r="BU8" i="19"/>
  <c r="BU5" i="23" s="1"/>
  <c r="BT8" i="19"/>
  <c r="BT5" i="23" s="1"/>
  <c r="BS8" i="19"/>
  <c r="BR8" i="19"/>
  <c r="BQ8" i="19"/>
  <c r="BP8" i="19"/>
  <c r="BP5" i="23" s="1"/>
  <c r="BO8" i="19"/>
  <c r="BO5" i="23" s="1"/>
  <c r="BN8" i="19"/>
  <c r="BN5" i="23" s="1"/>
  <c r="BM8" i="19"/>
  <c r="BM5" i="23" s="1"/>
  <c r="BL8" i="19"/>
  <c r="BK8" i="19"/>
  <c r="BK5" i="23" s="1"/>
  <c r="BJ8" i="19"/>
  <c r="BJ5" i="23" s="1"/>
  <c r="BI8" i="19"/>
  <c r="BI5" i="23" s="1"/>
  <c r="BH8" i="19"/>
  <c r="BH5" i="23" s="1"/>
  <c r="BG8" i="19"/>
  <c r="BG5" i="23" s="1"/>
  <c r="BF8" i="19"/>
  <c r="BE8" i="19"/>
  <c r="BE5" i="23" s="1"/>
  <c r="BD8" i="19"/>
  <c r="BD5" i="23" s="1"/>
  <c r="BC8" i="19"/>
  <c r="BC5" i="23" s="1"/>
  <c r="BB8" i="19"/>
  <c r="BB5" i="23" s="1"/>
  <c r="BA8" i="19"/>
  <c r="BA5" i="23" s="1"/>
  <c r="AZ8" i="19"/>
  <c r="AZ5" i="23" s="1"/>
  <c r="AY8" i="19"/>
  <c r="AY5" i="23" s="1"/>
  <c r="AX8" i="19"/>
  <c r="AW8" i="19"/>
  <c r="AV8" i="19"/>
  <c r="AV5" i="23" s="1"/>
  <c r="AU8" i="19"/>
  <c r="AU5" i="23" s="1"/>
  <c r="AT8" i="19"/>
  <c r="AT5" i="23" s="1"/>
  <c r="AS8" i="19"/>
  <c r="AS5" i="23" s="1"/>
  <c r="AR8" i="19"/>
  <c r="AR5" i="23" s="1"/>
  <c r="AQ8" i="19"/>
  <c r="AQ5" i="23" s="1"/>
  <c r="AP8" i="19"/>
  <c r="AP5" i="23" s="1"/>
  <c r="AO8" i="19"/>
  <c r="AO5" i="23" s="1"/>
  <c r="AN8" i="19"/>
  <c r="AN5" i="23" s="1"/>
  <c r="AM8" i="19"/>
  <c r="AM5" i="23" s="1"/>
  <c r="AL8" i="19"/>
  <c r="AK8" i="19"/>
  <c r="AK5" i="23" s="1"/>
  <c r="AJ8" i="19"/>
  <c r="AJ5" i="23" s="1"/>
  <c r="AI8" i="19"/>
  <c r="AI5" i="23" s="1"/>
  <c r="AH8" i="19"/>
  <c r="AH5" i="23" s="1"/>
  <c r="AG8" i="19"/>
  <c r="AG5" i="23" s="1"/>
  <c r="AF8" i="19"/>
  <c r="AF5" i="23" s="1"/>
  <c r="AE8" i="19"/>
  <c r="AE5" i="23" s="1"/>
  <c r="AD8" i="19"/>
  <c r="AC8" i="19"/>
  <c r="AB8" i="19"/>
  <c r="AB5" i="23" s="1"/>
  <c r="AA8" i="19"/>
  <c r="AA5" i="23" s="1"/>
  <c r="Z8" i="19"/>
  <c r="Z5" i="23" s="1"/>
  <c r="Y8" i="19"/>
  <c r="X8" i="19"/>
  <c r="W8" i="19"/>
  <c r="W5" i="23" s="1"/>
  <c r="V8" i="19"/>
  <c r="V5" i="23" s="1"/>
  <c r="U8" i="19"/>
  <c r="U5" i="23" s="1"/>
  <c r="T8" i="19"/>
  <c r="T5" i="23" s="1"/>
  <c r="S8" i="19"/>
  <c r="S5" i="23" s="1"/>
  <c r="R8" i="19"/>
  <c r="Q8" i="19"/>
  <c r="Q5" i="23" s="1"/>
  <c r="P8" i="19"/>
  <c r="P5" i="23" s="1"/>
  <c r="O8" i="19"/>
  <c r="O5" i="23" s="1"/>
  <c r="N8" i="19"/>
  <c r="N5" i="23" s="1"/>
  <c r="M8" i="19"/>
  <c r="M5" i="23" s="1"/>
  <c r="L8" i="19"/>
  <c r="L5" i="23" s="1"/>
  <c r="K8" i="19"/>
  <c r="K5" i="23" s="1"/>
  <c r="J8" i="19"/>
  <c r="J5" i="23" s="1"/>
  <c r="E8" i="19"/>
  <c r="DI7" i="19"/>
  <c r="DI4" i="23" s="1"/>
  <c r="DH7" i="19"/>
  <c r="DH4" i="23" s="1"/>
  <c r="DG7" i="19"/>
  <c r="DG4" i="23" s="1"/>
  <c r="DF7" i="19"/>
  <c r="DF4" i="23" s="1"/>
  <c r="DE7" i="19"/>
  <c r="DE4" i="23" s="1"/>
  <c r="DD7" i="19"/>
  <c r="DD4" i="23" s="1"/>
  <c r="DC7" i="19"/>
  <c r="DC4" i="23" s="1"/>
  <c r="DB7" i="19"/>
  <c r="DB4" i="23" s="1"/>
  <c r="DA7" i="19"/>
  <c r="DA4" i="23" s="1"/>
  <c r="CZ7" i="19"/>
  <c r="CZ4" i="23" s="1"/>
  <c r="CY7" i="19"/>
  <c r="CY4" i="23" s="1"/>
  <c r="CX7" i="19"/>
  <c r="CX4" i="23" s="1"/>
  <c r="CW7" i="19"/>
  <c r="CW4" i="23" s="1"/>
  <c r="CV7" i="19"/>
  <c r="CV4" i="23" s="1"/>
  <c r="CU7" i="19"/>
  <c r="CU4" i="23" s="1"/>
  <c r="CT7" i="19"/>
  <c r="CT4" i="23" s="1"/>
  <c r="CS7" i="19"/>
  <c r="CS4" i="23" s="1"/>
  <c r="CR7" i="19"/>
  <c r="CR4" i="23" s="1"/>
  <c r="CQ7" i="19"/>
  <c r="CQ4" i="23" s="1"/>
  <c r="CP7" i="19"/>
  <c r="CP4" i="23" s="1"/>
  <c r="CO7" i="19"/>
  <c r="CO4" i="23" s="1"/>
  <c r="CN7" i="19"/>
  <c r="CN4" i="23" s="1"/>
  <c r="CM7" i="19"/>
  <c r="CM4" i="23" s="1"/>
  <c r="CL7" i="19"/>
  <c r="CL4" i="23" s="1"/>
  <c r="CK7" i="19"/>
  <c r="CK4" i="23" s="1"/>
  <c r="CJ7" i="19"/>
  <c r="CJ4" i="23" s="1"/>
  <c r="CI7" i="19"/>
  <c r="CI4" i="23" s="1"/>
  <c r="CH7" i="19"/>
  <c r="CH4" i="23" s="1"/>
  <c r="CG7" i="19"/>
  <c r="CG4" i="23" s="1"/>
  <c r="CF7" i="19"/>
  <c r="CF4" i="23" s="1"/>
  <c r="CE7" i="19"/>
  <c r="CE4" i="23" s="1"/>
  <c r="CD7" i="19"/>
  <c r="CD4" i="23" s="1"/>
  <c r="CC7" i="19"/>
  <c r="CC4" i="23" s="1"/>
  <c r="CB7" i="19"/>
  <c r="CB4" i="23" s="1"/>
  <c r="CA7" i="19"/>
  <c r="CA4" i="23" s="1"/>
  <c r="BZ7" i="19"/>
  <c r="BZ4" i="23" s="1"/>
  <c r="BY7" i="19"/>
  <c r="BY4" i="23" s="1"/>
  <c r="BX7" i="19"/>
  <c r="BX4" i="23" s="1"/>
  <c r="BW7" i="19"/>
  <c r="BW4" i="23" s="1"/>
  <c r="BV7" i="19"/>
  <c r="BV4" i="23" s="1"/>
  <c r="BU7" i="19"/>
  <c r="BU4" i="23" s="1"/>
  <c r="BT7" i="19"/>
  <c r="BT4" i="23" s="1"/>
  <c r="BS7" i="19"/>
  <c r="BS4" i="23" s="1"/>
  <c r="BR7" i="19"/>
  <c r="BR4" i="23" s="1"/>
  <c r="BQ7" i="19"/>
  <c r="BQ4" i="23" s="1"/>
  <c r="BP7" i="19"/>
  <c r="BP4" i="23" s="1"/>
  <c r="BO7" i="19"/>
  <c r="BO4" i="23" s="1"/>
  <c r="BN7" i="19"/>
  <c r="BN4" i="23" s="1"/>
  <c r="BM7" i="19"/>
  <c r="BM4" i="23" s="1"/>
  <c r="BL7" i="19"/>
  <c r="BL4" i="23" s="1"/>
  <c r="BK7" i="19"/>
  <c r="BK4" i="23" s="1"/>
  <c r="BJ7" i="19"/>
  <c r="BJ4" i="23" s="1"/>
  <c r="BI7" i="19"/>
  <c r="BI4" i="23" s="1"/>
  <c r="BH7" i="19"/>
  <c r="BH4" i="23" s="1"/>
  <c r="BG7" i="19"/>
  <c r="BG4" i="23" s="1"/>
  <c r="BF7" i="19"/>
  <c r="BF4" i="23" s="1"/>
  <c r="BE7" i="19"/>
  <c r="BE4" i="23" s="1"/>
  <c r="BD7" i="19"/>
  <c r="BD4" i="23" s="1"/>
  <c r="BC7" i="19"/>
  <c r="BC4" i="23" s="1"/>
  <c r="BB7" i="19"/>
  <c r="BB4" i="23" s="1"/>
  <c r="BA7" i="19"/>
  <c r="BA4" i="23" s="1"/>
  <c r="AZ7" i="19"/>
  <c r="AZ4" i="23" s="1"/>
  <c r="AY7" i="19"/>
  <c r="AY4" i="23" s="1"/>
  <c r="AX7" i="19"/>
  <c r="AX4" i="23" s="1"/>
  <c r="AW7" i="19"/>
  <c r="AW4" i="23" s="1"/>
  <c r="AV7" i="19"/>
  <c r="AV4" i="23" s="1"/>
  <c r="AU7" i="19"/>
  <c r="AU4" i="23" s="1"/>
  <c r="AT7" i="19"/>
  <c r="AT4" i="23" s="1"/>
  <c r="AS7" i="19"/>
  <c r="AS4" i="23" s="1"/>
  <c r="AR7" i="19"/>
  <c r="AR4" i="23" s="1"/>
  <c r="AQ7" i="19"/>
  <c r="AQ4" i="23" s="1"/>
  <c r="AP7" i="19"/>
  <c r="AP4" i="23" s="1"/>
  <c r="AO7" i="19"/>
  <c r="AO4" i="23" s="1"/>
  <c r="AN7" i="19"/>
  <c r="AN4" i="23" s="1"/>
  <c r="AM7" i="19"/>
  <c r="AM4" i="23" s="1"/>
  <c r="AL7" i="19"/>
  <c r="AL4" i="23" s="1"/>
  <c r="AK7" i="19"/>
  <c r="AK4" i="23" s="1"/>
  <c r="AJ7" i="19"/>
  <c r="AJ4" i="23" s="1"/>
  <c r="AI7" i="19"/>
  <c r="AI4" i="23" s="1"/>
  <c r="AH7" i="19"/>
  <c r="AH4" i="23" s="1"/>
  <c r="AG7" i="19"/>
  <c r="AG4" i="23" s="1"/>
  <c r="AF7" i="19"/>
  <c r="AF4" i="23" s="1"/>
  <c r="AE7" i="19"/>
  <c r="AE4" i="23" s="1"/>
  <c r="AD7" i="19"/>
  <c r="AD4" i="23" s="1"/>
  <c r="AC7" i="19"/>
  <c r="AC4" i="23" s="1"/>
  <c r="AB7" i="19"/>
  <c r="AB4" i="23" s="1"/>
  <c r="AA7" i="19"/>
  <c r="AA4" i="23" s="1"/>
  <c r="Z7" i="19"/>
  <c r="Z4" i="23" s="1"/>
  <c r="Y7" i="19"/>
  <c r="Y4" i="23" s="1"/>
  <c r="X7" i="19"/>
  <c r="X4" i="23" s="1"/>
  <c r="W7" i="19"/>
  <c r="W4" i="23" s="1"/>
  <c r="V7" i="19"/>
  <c r="V4" i="23" s="1"/>
  <c r="U7" i="19"/>
  <c r="U4" i="23" s="1"/>
  <c r="T7" i="19"/>
  <c r="T4" i="23" s="1"/>
  <c r="S7" i="19"/>
  <c r="S4" i="23" s="1"/>
  <c r="R7" i="19"/>
  <c r="R4" i="23" s="1"/>
  <c r="Q7" i="19"/>
  <c r="Q4" i="23" s="1"/>
  <c r="P7" i="19"/>
  <c r="P4" i="23" s="1"/>
  <c r="O7" i="19"/>
  <c r="O4" i="23" s="1"/>
  <c r="N7" i="19"/>
  <c r="N4" i="23" s="1"/>
  <c r="M7" i="19"/>
  <c r="M4" i="23" s="1"/>
  <c r="L7" i="19"/>
  <c r="L4" i="23" s="1"/>
  <c r="K7" i="19"/>
  <c r="K4" i="23" s="1"/>
  <c r="J7" i="19"/>
  <c r="J4" i="23" s="1"/>
  <c r="E7" i="19"/>
  <c r="E4" i="23" s="1"/>
  <c r="C70" i="21"/>
  <c r="D70" i="21" s="1"/>
  <c r="B70" i="21"/>
  <c r="D69" i="21"/>
  <c r="D68" i="21"/>
  <c r="D66" i="21"/>
  <c r="D65" i="21"/>
  <c r="C62" i="21"/>
  <c r="D62" i="21" s="1"/>
  <c r="B62" i="21"/>
  <c r="D61" i="21"/>
  <c r="D60" i="21"/>
  <c r="D58" i="21"/>
  <c r="D57" i="21"/>
  <c r="E38" i="21"/>
  <c r="E37" i="21"/>
  <c r="D34" i="21"/>
  <c r="D33" i="21"/>
  <c r="F30" i="21"/>
  <c r="E30" i="21"/>
  <c r="F29" i="21"/>
  <c r="E29" i="21"/>
  <c r="F26" i="21"/>
  <c r="E26" i="21"/>
  <c r="F25" i="21"/>
  <c r="E25" i="21"/>
  <c r="F22" i="21"/>
  <c r="E22" i="21"/>
  <c r="F21" i="21"/>
  <c r="E21" i="21"/>
  <c r="H18" i="21"/>
  <c r="I18" i="21" s="1"/>
  <c r="G18" i="21"/>
  <c r="F18" i="21"/>
  <c r="H17" i="21"/>
  <c r="I17" i="21" s="1"/>
  <c r="G17" i="21"/>
  <c r="F17" i="21"/>
  <c r="B14" i="21"/>
  <c r="G14" i="21" s="1"/>
  <c r="B13" i="21"/>
  <c r="G13" i="21" s="1"/>
  <c r="B12" i="21"/>
  <c r="G12" i="21" s="1"/>
  <c r="B11" i="21"/>
  <c r="G11" i="21" s="1"/>
  <c r="B10" i="21"/>
  <c r="G10" i="21" s="1"/>
  <c r="B9" i="21"/>
  <c r="G9" i="21" s="1"/>
  <c r="B8" i="21"/>
  <c r="G8" i="21" s="1"/>
  <c r="B7" i="21"/>
  <c r="G7" i="21" s="1"/>
  <c r="DI6" i="19"/>
  <c r="DI3" i="23" s="1"/>
  <c r="DH6" i="19"/>
  <c r="DH3" i="23" s="1"/>
  <c r="DG6" i="19"/>
  <c r="DG3" i="23" s="1"/>
  <c r="DF6" i="19"/>
  <c r="DF3" i="23" s="1"/>
  <c r="DE6" i="19"/>
  <c r="DE3" i="23" s="1"/>
  <c r="DD6" i="19"/>
  <c r="DD3" i="23" s="1"/>
  <c r="DC6" i="19"/>
  <c r="DB6" i="19"/>
  <c r="DA6" i="19"/>
  <c r="CZ6" i="19"/>
  <c r="CZ3" i="23" s="1"/>
  <c r="CY6" i="19"/>
  <c r="CY3" i="23" s="1"/>
  <c r="CX6" i="19"/>
  <c r="CX3" i="23" s="1"/>
  <c r="CW6" i="19"/>
  <c r="CW3" i="23" s="1"/>
  <c r="CV6" i="19"/>
  <c r="CV3" i="23" s="1"/>
  <c r="CU6" i="19"/>
  <c r="CU3" i="23" s="1"/>
  <c r="CT6" i="19"/>
  <c r="CT3" i="23" s="1"/>
  <c r="CS6" i="19"/>
  <c r="CS3" i="23" s="1"/>
  <c r="CR6" i="19"/>
  <c r="CR3" i="23" s="1"/>
  <c r="CQ6" i="19"/>
  <c r="CQ3" i="23" s="1"/>
  <c r="CP6" i="19"/>
  <c r="CP3" i="23" s="1"/>
  <c r="CL6" i="19"/>
  <c r="CL3" i="23" s="1"/>
  <c r="CK6" i="19"/>
  <c r="CK3" i="23" s="1"/>
  <c r="CH6" i="19"/>
  <c r="CH3" i="23" s="1"/>
  <c r="CG6" i="19"/>
  <c r="CG3" i="23" s="1"/>
  <c r="CF6" i="19"/>
  <c r="CF3" i="23" s="1"/>
  <c r="CC6" i="19"/>
  <c r="CC3" i="23" s="1"/>
  <c r="CA6" i="19"/>
  <c r="CA3" i="23" s="1"/>
  <c r="BZ6" i="19"/>
  <c r="BZ3" i="23" s="1"/>
  <c r="BY6" i="19"/>
  <c r="BY3" i="23" s="1"/>
  <c r="BX6" i="19"/>
  <c r="BX3" i="23" s="1"/>
  <c r="BW6" i="19"/>
  <c r="BW3" i="23" s="1"/>
  <c r="BV6" i="19"/>
  <c r="BV3" i="23" s="1"/>
  <c r="BU6" i="19"/>
  <c r="BU3" i="23" s="1"/>
  <c r="BS6" i="19"/>
  <c r="BS3" i="23" s="1"/>
  <c r="BR6" i="19"/>
  <c r="BR3" i="23" s="1"/>
  <c r="BQ6" i="19"/>
  <c r="BQ3" i="23" s="1"/>
  <c r="BP6" i="19"/>
  <c r="BP3" i="23" s="1"/>
  <c r="BN6" i="19"/>
  <c r="BN3" i="23" s="1"/>
  <c r="BL6" i="19"/>
  <c r="BL3" i="23" s="1"/>
  <c r="BK6" i="19"/>
  <c r="BK3" i="23" s="1"/>
  <c r="BJ6" i="19"/>
  <c r="BJ3" i="23" s="1"/>
  <c r="BI6" i="19"/>
  <c r="BI3" i="23" s="1"/>
  <c r="BH6" i="19"/>
  <c r="BH3" i="23" s="1"/>
  <c r="BF6" i="19"/>
  <c r="BF3" i="23" s="1"/>
  <c r="BD6" i="19"/>
  <c r="BD3" i="23" s="1"/>
  <c r="BC6" i="19"/>
  <c r="BC3" i="23" s="1"/>
  <c r="BB6" i="19"/>
  <c r="BB3" i="23" s="1"/>
  <c r="BA6" i="19"/>
  <c r="BA3" i="23" s="1"/>
  <c r="AZ6" i="19"/>
  <c r="AZ3" i="23" s="1"/>
  <c r="AX6" i="19"/>
  <c r="AX3" i="23" s="1"/>
  <c r="AV6" i="19"/>
  <c r="AV3" i="23" s="1"/>
  <c r="AU6" i="19"/>
  <c r="AU3" i="23" s="1"/>
  <c r="AT6" i="19"/>
  <c r="AT3" i="23" s="1"/>
  <c r="AS6" i="19"/>
  <c r="AS3" i="23" s="1"/>
  <c r="AR6" i="19"/>
  <c r="AR3" i="23" s="1"/>
  <c r="AP6" i="19"/>
  <c r="AP3" i="23" s="1"/>
  <c r="AN6" i="19"/>
  <c r="AN3" i="23" s="1"/>
  <c r="AL6" i="19"/>
  <c r="AK6" i="19"/>
  <c r="AK3" i="23" s="1"/>
  <c r="AJ6" i="19"/>
  <c r="AJ3" i="23" s="1"/>
  <c r="AI6" i="19"/>
  <c r="AI3" i="23" s="1"/>
  <c r="AH6" i="19"/>
  <c r="AH3" i="23" s="1"/>
  <c r="AF6" i="19"/>
  <c r="AF3" i="23" s="1"/>
  <c r="AD6" i="19"/>
  <c r="AD3" i="23" s="1"/>
  <c r="AC6" i="19"/>
  <c r="AC3" i="23" s="1"/>
  <c r="AB6" i="19"/>
  <c r="AB3" i="23" s="1"/>
  <c r="Z6" i="19"/>
  <c r="Z3" i="23" s="1"/>
  <c r="W6" i="19"/>
  <c r="W3" i="23" s="1"/>
  <c r="T6" i="19"/>
  <c r="T3" i="23" s="1"/>
  <c r="Q6" i="19"/>
  <c r="Q3" i="23" s="1"/>
  <c r="O6" i="19"/>
  <c r="O3" i="23" s="1"/>
  <c r="N6" i="19"/>
  <c r="N3" i="23" s="1"/>
  <c r="M6" i="19"/>
  <c r="M3" i="23" s="1"/>
  <c r="K6" i="19"/>
  <c r="K3" i="23" s="1"/>
  <c r="E6" i="19"/>
  <c r="E3" i="23" s="1"/>
  <c r="DI5" i="19"/>
  <c r="DI2" i="23" s="1"/>
  <c r="DH5" i="19"/>
  <c r="DH2" i="23" s="1"/>
  <c r="DG5" i="19"/>
  <c r="DG2" i="23" s="1"/>
  <c r="DF5" i="19"/>
  <c r="DF2" i="23" s="1"/>
  <c r="DE5" i="19"/>
  <c r="DE2" i="23" s="1"/>
  <c r="DD5" i="19"/>
  <c r="DD2" i="23" s="1"/>
  <c r="DC5" i="19"/>
  <c r="DC2" i="23" s="1"/>
  <c r="DB5" i="19"/>
  <c r="DB2" i="23" s="1"/>
  <c r="DA5" i="19"/>
  <c r="DA2" i="23" s="1"/>
  <c r="CZ5" i="19"/>
  <c r="CZ2" i="23" s="1"/>
  <c r="CY5" i="19"/>
  <c r="CY2" i="23" s="1"/>
  <c r="CX5" i="19"/>
  <c r="CX2" i="23" s="1"/>
  <c r="CW5" i="19"/>
  <c r="CW2" i="23" s="1"/>
  <c r="CV5" i="19"/>
  <c r="CV2" i="23" s="1"/>
  <c r="CU5" i="19"/>
  <c r="CU2" i="23" s="1"/>
  <c r="CT5" i="19"/>
  <c r="CT2" i="23" s="1"/>
  <c r="CS5" i="19"/>
  <c r="CS2" i="23" s="1"/>
  <c r="CR5" i="19"/>
  <c r="CR2" i="23" s="1"/>
  <c r="CQ5" i="19"/>
  <c r="CQ2" i="23" s="1"/>
  <c r="CP5" i="19"/>
  <c r="CP2" i="23" s="1"/>
  <c r="CO5" i="19"/>
  <c r="CO2" i="23" s="1"/>
  <c r="CN5" i="19"/>
  <c r="CN2" i="23" s="1"/>
  <c r="CM5" i="19"/>
  <c r="CM2" i="23" s="1"/>
  <c r="CL5" i="19"/>
  <c r="CL2" i="23" s="1"/>
  <c r="CK5" i="19"/>
  <c r="CK2" i="23" s="1"/>
  <c r="CI5" i="19"/>
  <c r="CI2" i="23" s="1"/>
  <c r="CG5" i="19"/>
  <c r="CG2" i="23" s="1"/>
  <c r="CF5" i="19"/>
  <c r="CF2" i="23" s="1"/>
  <c r="CE5" i="19"/>
  <c r="CE2" i="23" s="1"/>
  <c r="CD5" i="19"/>
  <c r="CD2" i="23" s="1"/>
  <c r="CC5" i="19"/>
  <c r="CC2" i="23" s="1"/>
  <c r="CB5" i="19"/>
  <c r="CB2" i="23" s="1"/>
  <c r="CA5" i="19"/>
  <c r="CA2" i="23" s="1"/>
  <c r="BZ5" i="19"/>
  <c r="BZ2" i="23" s="1"/>
  <c r="BY5" i="19"/>
  <c r="BY2" i="23" s="1"/>
  <c r="BX5" i="19"/>
  <c r="BX2" i="23" s="1"/>
  <c r="BW5" i="19"/>
  <c r="BW2" i="23" s="1"/>
  <c r="BV5" i="19"/>
  <c r="BV2" i="23" s="1"/>
  <c r="BU5" i="19"/>
  <c r="BU2" i="23" s="1"/>
  <c r="BT5" i="19"/>
  <c r="BT2" i="23" s="1"/>
  <c r="BS5" i="19"/>
  <c r="BS2" i="23" s="1"/>
  <c r="BR5" i="19"/>
  <c r="BR2" i="23" s="1"/>
  <c r="BQ5" i="19"/>
  <c r="BQ2" i="23" s="1"/>
  <c r="BP5" i="19"/>
  <c r="BP2" i="23" s="1"/>
  <c r="BO5" i="19"/>
  <c r="BO2" i="23" s="1"/>
  <c r="BN5" i="19"/>
  <c r="BN2" i="23" s="1"/>
  <c r="BM5" i="19"/>
  <c r="BM2" i="23" s="1"/>
  <c r="BL5" i="19"/>
  <c r="BL2" i="23" s="1"/>
  <c r="BK5" i="19"/>
  <c r="BK2" i="23" s="1"/>
  <c r="BJ5" i="19"/>
  <c r="BJ2" i="23" s="1"/>
  <c r="BI5" i="19"/>
  <c r="BI2" i="23" s="1"/>
  <c r="BH5" i="19"/>
  <c r="BH2" i="23" s="1"/>
  <c r="BG5" i="19"/>
  <c r="BG2" i="23" s="1"/>
  <c r="BF5" i="19"/>
  <c r="BF2" i="23" s="1"/>
  <c r="BE5" i="19"/>
  <c r="BE2" i="23" s="1"/>
  <c r="BD5" i="19"/>
  <c r="BD2" i="23" s="1"/>
  <c r="BC5" i="19"/>
  <c r="BC2" i="23" s="1"/>
  <c r="BB5" i="19"/>
  <c r="BB2" i="23" s="1"/>
  <c r="BA5" i="19"/>
  <c r="BA2" i="23" s="1"/>
  <c r="AZ5" i="19"/>
  <c r="AZ2" i="23" s="1"/>
  <c r="AY5" i="19"/>
  <c r="AY2" i="23" s="1"/>
  <c r="AX5" i="19"/>
  <c r="AX2" i="23" s="1"/>
  <c r="AW5" i="19"/>
  <c r="AW2" i="23" s="1"/>
  <c r="AV5" i="19"/>
  <c r="AV2" i="23" s="1"/>
  <c r="AU5" i="19"/>
  <c r="AU2" i="23" s="1"/>
  <c r="AT5" i="19"/>
  <c r="AT2" i="23" s="1"/>
  <c r="AS5" i="19"/>
  <c r="AS2" i="23" s="1"/>
  <c r="AR5" i="19"/>
  <c r="AR2" i="23" s="1"/>
  <c r="AQ5" i="19"/>
  <c r="AQ2" i="23" s="1"/>
  <c r="AP5" i="19"/>
  <c r="AP2" i="23" s="1"/>
  <c r="AO5" i="19"/>
  <c r="AO2" i="23" s="1"/>
  <c r="AN5" i="19"/>
  <c r="AN2" i="23" s="1"/>
  <c r="AM5" i="19"/>
  <c r="AM2" i="23" s="1"/>
  <c r="AL5" i="19"/>
  <c r="AL2" i="23" s="1"/>
  <c r="AK5" i="19"/>
  <c r="AK2" i="23" s="1"/>
  <c r="AJ5" i="19"/>
  <c r="AJ2" i="23" s="1"/>
  <c r="AI5" i="19"/>
  <c r="AI2" i="23" s="1"/>
  <c r="AH5" i="19"/>
  <c r="AH2" i="23" s="1"/>
  <c r="AG5" i="19"/>
  <c r="AG2" i="23" s="1"/>
  <c r="AF5" i="19"/>
  <c r="AE5" i="19"/>
  <c r="AD5" i="19"/>
  <c r="AD2" i="23" s="1"/>
  <c r="AC5" i="19"/>
  <c r="AC2" i="23" s="1"/>
  <c r="AB5" i="19"/>
  <c r="AB2" i="23" s="1"/>
  <c r="AA5" i="19"/>
  <c r="AA2" i="23" s="1"/>
  <c r="Z5" i="19"/>
  <c r="Z2" i="23" s="1"/>
  <c r="Y5" i="19"/>
  <c r="Y2" i="23" s="1"/>
  <c r="X5" i="19"/>
  <c r="X2" i="23" s="1"/>
  <c r="W5" i="19"/>
  <c r="W2" i="23" s="1"/>
  <c r="V5" i="19"/>
  <c r="V2" i="23" s="1"/>
  <c r="U5" i="19"/>
  <c r="U2" i="23" s="1"/>
  <c r="T5" i="19"/>
  <c r="T2" i="23" s="1"/>
  <c r="S5" i="19"/>
  <c r="S2" i="23" s="1"/>
  <c r="R5" i="19"/>
  <c r="R2" i="23" s="1"/>
  <c r="Q5" i="19"/>
  <c r="Q2" i="23" s="1"/>
  <c r="P5" i="19"/>
  <c r="P2" i="23" s="1"/>
  <c r="O5" i="19"/>
  <c r="O2" i="23" s="1"/>
  <c r="N5" i="19"/>
  <c r="N2" i="23" s="1"/>
  <c r="M5" i="19"/>
  <c r="L5" i="19"/>
  <c r="K5" i="19"/>
  <c r="J5" i="19"/>
  <c r="J2" i="23" s="1"/>
  <c r="E5" i="19"/>
  <c r="E2" i="23" s="1"/>
  <c r="D61" i="12"/>
  <c r="J5" i="24" s="1"/>
  <c r="D60" i="12"/>
  <c r="C70" i="6"/>
  <c r="D70" i="6" s="1"/>
  <c r="B70" i="6"/>
  <c r="C62" i="11"/>
  <c r="B62" i="11"/>
  <c r="C62" i="6"/>
  <c r="B62" i="6"/>
  <c r="CH5" i="19" s="1"/>
  <c r="CH2" i="23" s="1"/>
  <c r="D69" i="11"/>
  <c r="D68" i="11"/>
  <c r="D65" i="11"/>
  <c r="D69" i="6"/>
  <c r="D68" i="6"/>
  <c r="D66" i="6"/>
  <c r="D65" i="6"/>
  <c r="D61" i="11"/>
  <c r="D60" i="11"/>
  <c r="D58" i="11"/>
  <c r="D57" i="11"/>
  <c r="D61" i="6"/>
  <c r="D60" i="6"/>
  <c r="D58" i="6"/>
  <c r="D57" i="6"/>
  <c r="E38" i="11"/>
  <c r="E37" i="11"/>
  <c r="E38" i="6"/>
  <c r="E37" i="6"/>
  <c r="D34" i="11"/>
  <c r="BT6" i="19" s="1"/>
  <c r="BT3" i="23" s="1"/>
  <c r="D33" i="11"/>
  <c r="D34" i="6"/>
  <c r="D33" i="6"/>
  <c r="F30" i="11"/>
  <c r="BO6" i="19" s="1"/>
  <c r="BO3" i="23" s="1"/>
  <c r="E30" i="11"/>
  <c r="BM6" i="19" s="1"/>
  <c r="BM3" i="23" s="1"/>
  <c r="F29" i="11"/>
  <c r="E29" i="11"/>
  <c r="F30" i="6"/>
  <c r="E30" i="6"/>
  <c r="F29" i="6"/>
  <c r="E29" i="6"/>
  <c r="F26" i="11"/>
  <c r="BG6" i="19" s="1"/>
  <c r="BG3" i="23" s="1"/>
  <c r="E26" i="11"/>
  <c r="BE6" i="19" s="1"/>
  <c r="BE3" i="23" s="1"/>
  <c r="F25" i="11"/>
  <c r="E25" i="11"/>
  <c r="F26" i="6"/>
  <c r="E26" i="6"/>
  <c r="F25" i="6"/>
  <c r="E25" i="6"/>
  <c r="F22" i="11"/>
  <c r="AY6" i="19" s="1"/>
  <c r="AY3" i="23" s="1"/>
  <c r="E22" i="11"/>
  <c r="AW6" i="19" s="1"/>
  <c r="AW3" i="23" s="1"/>
  <c r="F21" i="11"/>
  <c r="E21" i="11"/>
  <c r="F22" i="6"/>
  <c r="E22" i="6"/>
  <c r="F21" i="6"/>
  <c r="E21" i="6"/>
  <c r="H18" i="11"/>
  <c r="I18" i="11" s="1"/>
  <c r="AQ6" i="19" s="1"/>
  <c r="AQ3" i="23" s="1"/>
  <c r="G18" i="11"/>
  <c r="AO6" i="19" s="1"/>
  <c r="AO3" i="23" s="1"/>
  <c r="F18" i="11"/>
  <c r="AM6" i="19" s="1"/>
  <c r="AM3" i="23" s="1"/>
  <c r="H17" i="11"/>
  <c r="I17" i="11" s="1"/>
  <c r="G17" i="11"/>
  <c r="F17" i="11"/>
  <c r="H18" i="6"/>
  <c r="I18" i="6" s="1"/>
  <c r="G18" i="6"/>
  <c r="F18" i="6"/>
  <c r="H17" i="6"/>
  <c r="I17" i="6" s="1"/>
  <c r="G17" i="6"/>
  <c r="F17" i="6"/>
  <c r="G13" i="11"/>
  <c r="G8" i="11"/>
  <c r="G14" i="6"/>
  <c r="G13" i="6"/>
  <c r="G12" i="6"/>
  <c r="G11" i="6"/>
  <c r="G10" i="6"/>
  <c r="G9" i="6"/>
  <c r="G8" i="6"/>
  <c r="G7" i="6"/>
  <c r="B14" i="11"/>
  <c r="AE6" i="19" s="1"/>
  <c r="AE3" i="23" s="1"/>
  <c r="B13" i="11"/>
  <c r="B12" i="11"/>
  <c r="B11" i="11"/>
  <c r="G11" i="11" s="1"/>
  <c r="X6" i="19" s="1"/>
  <c r="X3" i="23" s="1"/>
  <c r="B10" i="11"/>
  <c r="S6" i="19" s="1"/>
  <c r="S3" i="23" s="1"/>
  <c r="B9" i="11"/>
  <c r="G9" i="11" s="1"/>
  <c r="R6" i="19" s="1"/>
  <c r="R3" i="23" s="1"/>
  <c r="B8" i="11"/>
  <c r="B7" i="11"/>
  <c r="G7" i="11" s="1"/>
  <c r="L6" i="19" s="1"/>
  <c r="L3" i="23" s="1"/>
  <c r="B13" i="12"/>
  <c r="G13" i="12" s="1"/>
  <c r="J12" i="24" s="1"/>
  <c r="B14" i="6"/>
  <c r="B13" i="6"/>
  <c r="B12" i="6"/>
  <c r="B11" i="6"/>
  <c r="B10" i="6"/>
  <c r="B9" i="6"/>
  <c r="B8" i="6"/>
  <c r="B7" i="6"/>
  <c r="D65" i="22" l="1"/>
  <c r="B9" i="22"/>
  <c r="G9" i="22" s="1"/>
  <c r="E38" i="22"/>
  <c r="G17" i="12"/>
  <c r="D34" i="12"/>
  <c r="J21" i="24" s="1"/>
  <c r="F18" i="12"/>
  <c r="J16" i="24" s="1"/>
  <c r="D68" i="12"/>
  <c r="D34" i="22"/>
  <c r="F18" i="22"/>
  <c r="F30" i="22"/>
  <c r="F29" i="12"/>
  <c r="B12" i="12"/>
  <c r="G12" i="12" s="1"/>
  <c r="J10" i="24" s="1"/>
  <c r="F25" i="12"/>
  <c r="E25" i="12"/>
  <c r="E21" i="12"/>
  <c r="D69" i="22"/>
  <c r="B9" i="12"/>
  <c r="G9" i="12" s="1"/>
  <c r="J15" i="24" s="1"/>
  <c r="G18" i="12"/>
  <c r="J17" i="24" s="1"/>
  <c r="G18" i="22"/>
  <c r="D46" i="22"/>
  <c r="D46" i="12"/>
  <c r="CB6" i="19"/>
  <c r="CB3" i="23" s="1"/>
  <c r="D54" i="22"/>
  <c r="D54" i="12"/>
  <c r="CE6" i="19"/>
  <c r="CE3" i="23" s="1"/>
  <c r="CD6" i="19"/>
  <c r="CD3" i="23" s="1"/>
  <c r="D33" i="22"/>
  <c r="B11" i="12"/>
  <c r="G11" i="12" s="1"/>
  <c r="J9" i="24" s="1"/>
  <c r="E22" i="12"/>
  <c r="J19" i="24" s="1"/>
  <c r="Y6" i="19"/>
  <c r="Y3" i="23" s="1"/>
  <c r="G12" i="11"/>
  <c r="AA6" i="19" s="1"/>
  <c r="AA3" i="23" s="1"/>
  <c r="E30" i="22"/>
  <c r="E30" i="12"/>
  <c r="J23" i="24" s="1"/>
  <c r="E29" i="22"/>
  <c r="F17" i="12"/>
  <c r="G17" i="22"/>
  <c r="F17" i="22"/>
  <c r="I17" i="12"/>
  <c r="B14" i="12"/>
  <c r="G14" i="12" s="1"/>
  <c r="J11" i="24" s="1"/>
  <c r="F26" i="22"/>
  <c r="F26" i="12"/>
  <c r="J6" i="24" s="1"/>
  <c r="H18" i="22"/>
  <c r="I18" i="22" s="1"/>
  <c r="F25" i="22"/>
  <c r="E25" i="22"/>
  <c r="F22" i="22"/>
  <c r="F21" i="22"/>
  <c r="F22" i="12"/>
  <c r="J7" i="24" s="1"/>
  <c r="E22" i="22"/>
  <c r="F21" i="12"/>
  <c r="E21" i="22"/>
  <c r="D69" i="12"/>
  <c r="J3" i="24" s="1"/>
  <c r="C62" i="22"/>
  <c r="D57" i="22"/>
  <c r="D57" i="12"/>
  <c r="B62" i="22"/>
  <c r="D62" i="22" s="1"/>
  <c r="D65" i="12"/>
  <c r="D62" i="11"/>
  <c r="CJ6" i="19" s="1"/>
  <c r="CJ3" i="23" s="1"/>
  <c r="D58" i="22"/>
  <c r="CI6" i="19"/>
  <c r="CI3" i="23" s="1"/>
  <c r="G14" i="11"/>
  <c r="AG6" i="19" s="1"/>
  <c r="AG3" i="23" s="1"/>
  <c r="B11" i="22"/>
  <c r="G11" i="22" s="1"/>
  <c r="V6" i="19"/>
  <c r="V3" i="23" s="1"/>
  <c r="G10" i="11"/>
  <c r="U6" i="19" s="1"/>
  <c r="U3" i="23" s="1"/>
  <c r="P6" i="19"/>
  <c r="P3" i="23" s="1"/>
  <c r="J6" i="19"/>
  <c r="J3" i="23" s="1"/>
  <c r="B7" i="22"/>
  <c r="G7" i="22" s="1"/>
  <c r="B7" i="12"/>
  <c r="G7" i="12" s="1"/>
  <c r="J13" i="24" s="1"/>
  <c r="D62" i="6"/>
  <c r="CJ5" i="19" s="1"/>
  <c r="CJ2" i="23" s="1"/>
  <c r="B8" i="12"/>
  <c r="G8" i="12" s="1"/>
  <c r="J14" i="24" s="1"/>
  <c r="F29" i="22"/>
  <c r="I17" i="22"/>
  <c r="B12" i="22"/>
  <c r="G12" i="22" s="1"/>
  <c r="G8" i="22"/>
  <c r="B10" i="22"/>
  <c r="G10" i="22" s="1"/>
  <c r="B14" i="22"/>
  <c r="G14" i="22" s="1"/>
  <c r="D61" i="22"/>
  <c r="D62" i="12"/>
  <c r="D58" i="12"/>
  <c r="J4" i="24" s="1"/>
  <c r="F30" i="12"/>
  <c r="J24" i="24" s="1"/>
  <c r="E26" i="12"/>
  <c r="J18" i="24" s="1"/>
  <c r="I18" i="12"/>
  <c r="J20" i="24" s="1"/>
  <c r="B10" i="12"/>
  <c r="G10" i="12" s="1"/>
  <c r="J8" i="24" s="1"/>
  <c r="C66" i="11" l="1"/>
  <c r="B66" i="11"/>
  <c r="C70" i="11" l="1"/>
  <c r="CN6" i="19" s="1"/>
  <c r="CN3" i="23" s="1"/>
  <c r="C66" i="12"/>
  <c r="C70" i="12" s="1"/>
  <c r="C66" i="22"/>
  <c r="C70" i="22" s="1"/>
  <c r="B70" i="11"/>
  <c r="B66" i="22"/>
  <c r="D66" i="11"/>
  <c r="B66" i="12"/>
  <c r="B70" i="12" l="1"/>
  <c r="D70" i="12" s="1"/>
  <c r="D66" i="12"/>
  <c r="J2" i="24" s="1"/>
  <c r="B70" i="22"/>
  <c r="D70" i="22" s="1"/>
  <c r="D66" i="22"/>
  <c r="CM6" i="19"/>
  <c r="CM3" i="23" s="1"/>
  <c r="D70" i="11"/>
  <c r="CO6" i="19" s="1"/>
  <c r="CO3" i="23" s="1"/>
</calcChain>
</file>

<file path=xl/sharedStrings.xml><?xml version="1.0" encoding="utf-8"?>
<sst xmlns="http://schemas.openxmlformats.org/spreadsheetml/2006/main" count="1152" uniqueCount="372">
  <si>
    <t xml:space="preserve">Section 1: General Information  </t>
  </si>
  <si>
    <t>Report Number:</t>
  </si>
  <si>
    <t>Report Date:</t>
  </si>
  <si>
    <t>Project Number:</t>
  </si>
  <si>
    <t xml:space="preserve">PMC: </t>
  </si>
  <si>
    <t>CSC:</t>
  </si>
  <si>
    <t xml:space="preserve"> X-ARCHITECTS</t>
  </si>
  <si>
    <t>Contractor:</t>
  </si>
  <si>
    <t>MAG-MAN JV</t>
  </si>
  <si>
    <t xml:space="preserve">Section 2: QMS and Submittals Status  </t>
  </si>
  <si>
    <t>Total</t>
  </si>
  <si>
    <t>Code A</t>
  </si>
  <si>
    <t>Code B</t>
  </si>
  <si>
    <t>Code C</t>
  </si>
  <si>
    <t>Code D</t>
  </si>
  <si>
    <t>Approved %  (A &amp; B)</t>
  </si>
  <si>
    <t xml:space="preserve">PEP </t>
  </si>
  <si>
    <t>PQP</t>
  </si>
  <si>
    <t>QA/QC Procedures</t>
  </si>
  <si>
    <t>MS</t>
  </si>
  <si>
    <t>ITP</t>
  </si>
  <si>
    <t>MAR</t>
  </si>
  <si>
    <t>RFR</t>
  </si>
  <si>
    <t>SDW</t>
  </si>
  <si>
    <t>Section 3: Non-Conformance Reports (NCRs)</t>
  </si>
  <si>
    <t>Raised NCRs</t>
  </si>
  <si>
    <t xml:space="preserve">Open </t>
  </si>
  <si>
    <t xml:space="preserve">Closed </t>
  </si>
  <si>
    <t>Closed On-Time</t>
  </si>
  <si>
    <t>Raised WIRs</t>
  </si>
  <si>
    <t>Defect Rate %</t>
  </si>
  <si>
    <t>This month</t>
  </si>
  <si>
    <t xml:space="preserve">Cumulative </t>
  </si>
  <si>
    <t>Section 4: Material Inspection Request (MIRs)</t>
  </si>
  <si>
    <t>Raised MIRs</t>
  </si>
  <si>
    <t>Approved (A &amp; B)</t>
  </si>
  <si>
    <r>
      <t>Approved 1</t>
    </r>
    <r>
      <rPr>
        <b/>
        <vertAlign val="superscript"/>
        <sz val="9"/>
        <color rgb="FF55142D"/>
        <rFont val="Calibri"/>
        <family val="2"/>
      </rPr>
      <t>st</t>
    </r>
    <r>
      <rPr>
        <b/>
        <sz val="9"/>
        <color rgb="FF55142D"/>
        <rFont val="Calibri"/>
        <family val="2"/>
      </rPr>
      <t xml:space="preserve"> Time</t>
    </r>
  </si>
  <si>
    <t>Approved %</t>
  </si>
  <si>
    <r>
      <t>Approved 1</t>
    </r>
    <r>
      <rPr>
        <b/>
        <vertAlign val="superscript"/>
        <sz val="9"/>
        <color rgb="FF55142D"/>
        <rFont val="Calibri"/>
        <family val="2"/>
      </rPr>
      <t>st</t>
    </r>
    <r>
      <rPr>
        <b/>
        <sz val="9"/>
        <color rgb="FF55142D"/>
        <rFont val="Calibri"/>
        <family val="2"/>
      </rPr>
      <t xml:space="preserve"> Time %</t>
    </r>
  </si>
  <si>
    <t>Section 5: Work Inspection Request (WIRs)</t>
  </si>
  <si>
    <t>Section 6: Request For Information (RFIs)</t>
  </si>
  <si>
    <t xml:space="preserve">Responded </t>
  </si>
  <si>
    <t>Responded on Time</t>
  </si>
  <si>
    <t>Responded %</t>
  </si>
  <si>
    <t>Responded on Time %</t>
  </si>
  <si>
    <t xml:space="preserve">Section 7: Status of Internal Audits </t>
  </si>
  <si>
    <t>Planned</t>
  </si>
  <si>
    <t xml:space="preserve">Conducted </t>
  </si>
  <si>
    <t xml:space="preserve"> (%) Conducted</t>
  </si>
  <si>
    <t>This Month</t>
  </si>
  <si>
    <t>Section 8: Audit Findings - Corrective Actions (CARs)</t>
  </si>
  <si>
    <t xml:space="preserve">Open  </t>
  </si>
  <si>
    <t>Closed</t>
  </si>
  <si>
    <t>Closed %</t>
  </si>
  <si>
    <t>Section 9: Quality Issues and Mitigation Actions</t>
  </si>
  <si>
    <t>SN.</t>
  </si>
  <si>
    <t xml:space="preserve">Quality Issues </t>
  </si>
  <si>
    <t xml:space="preserve">Mitigation Plan </t>
  </si>
  <si>
    <t>Status (Closed / Open)</t>
  </si>
  <si>
    <t xml:space="preserve">Delay for test reports  Submissions from contractor side </t>
  </si>
  <si>
    <t xml:space="preserve">Updated logs to be presented by GC each weekly quality  meeting -CSC to follow up on all required TRTs each week </t>
  </si>
  <si>
    <t xml:space="preserve">Quality Procedures to cover all constructions process and contractor scope of work </t>
  </si>
  <si>
    <t xml:space="preserve">GCs to submit all required quality procedures with coordination with PMC and CSC quality team </t>
  </si>
  <si>
    <t xml:space="preserve">Weak coordination from CSC QEs with PMC quality team for all quality updates related to daily quality subjects </t>
  </si>
  <si>
    <t xml:space="preserve">Instructions have been directed to CSC REs for effective coordination with JASARA quality team  </t>
  </si>
  <si>
    <t>Effective Quality Control by CSC QEs, most of ours work at offices for QA tasks, QC part to be effectively covered</t>
  </si>
  <si>
    <t xml:space="preserve">Instructions have been directed to CSC REs for effective quality control at site by CSC quality engineers  </t>
  </si>
  <si>
    <t>Proper Quality Planning (Daily lookahead inspections log -Two weeks lookahead submissions to be in place as per PMC instructions )</t>
  </si>
  <si>
    <t xml:space="preserve">Instructions have been directed to GCs for effective quality planning(via ACONEX ) </t>
  </si>
  <si>
    <t>Section 10: Lessons Learned</t>
  </si>
  <si>
    <t xml:space="preserve">Lessons Learned </t>
  </si>
  <si>
    <t>Documented</t>
  </si>
  <si>
    <t>Deployed</t>
  </si>
  <si>
    <t>Yes</t>
  </si>
  <si>
    <t>Section 11: Quality Meetings</t>
  </si>
  <si>
    <t>Weekly Quality Meetings</t>
  </si>
  <si>
    <t>Monthly Quality Meetings</t>
  </si>
  <si>
    <t>Section 12: Quality Site Walks</t>
  </si>
  <si>
    <t>Weekly Quality Site Walks</t>
  </si>
  <si>
    <t>Monthly Quality Site Walks</t>
  </si>
  <si>
    <t>Project Name:</t>
  </si>
  <si>
    <t>PMC:</t>
  </si>
  <si>
    <t>Snohetta/ Saudi Diyar</t>
  </si>
  <si>
    <t>ECM JV</t>
  </si>
  <si>
    <t>District Name:</t>
  </si>
  <si>
    <t>District Abbreviation :</t>
  </si>
  <si>
    <t xml:space="preserve"> Sub- Program:</t>
  </si>
  <si>
    <t>BV-Boulevard
Community</t>
  </si>
  <si>
    <t>Programme/ Project Details</t>
  </si>
  <si>
    <t>QA/QC Procedures &amp; Plans Submittals</t>
  </si>
  <si>
    <t>Non - Conformance- NCRs</t>
  </si>
  <si>
    <t>Inspection Performance</t>
  </si>
  <si>
    <t>Request For Information (RFIs)</t>
  </si>
  <si>
    <t>Status of Internal Audits &amp; Audit Findings (CARs)</t>
  </si>
  <si>
    <t>Quality Issues &amp; Mitigations</t>
  </si>
  <si>
    <t>Lessons Learned</t>
  </si>
  <si>
    <t>Quality Meetings &amp; Site Walks</t>
  </si>
  <si>
    <t>S.N.</t>
  </si>
  <si>
    <t>Programme</t>
  </si>
  <si>
    <t>Sub- Programme</t>
  </si>
  <si>
    <t>District</t>
  </si>
  <si>
    <t>Project Name</t>
  </si>
  <si>
    <t>Project WBS 
unique Code</t>
  </si>
  <si>
    <t>Project
 lifecycle 
Phase</t>
  </si>
  <si>
    <t>PEP</t>
  </si>
  <si>
    <t>QA/QC Procedures (QMPs)</t>
  </si>
  <si>
    <t>Method Statements (MS)</t>
  </si>
  <si>
    <t>Inspection Test Plans ( ITPs)</t>
  </si>
  <si>
    <t>Material Approval Request ( MARs)</t>
  </si>
  <si>
    <t>Request For Replacement (RFR)</t>
  </si>
  <si>
    <t>Shop- Drawings (SWD)</t>
  </si>
  <si>
    <t>Material Inspection Requests( MIRs)</t>
  </si>
  <si>
    <t>Work Inspection Requests( WIRs)</t>
  </si>
  <si>
    <t>Status of Internal Audits</t>
  </si>
  <si>
    <t>Status of Audit Findings</t>
  </si>
  <si>
    <t>Quality Meetings</t>
  </si>
  <si>
    <t>Quality Site Walks</t>
  </si>
  <si>
    <t xml:space="preserve">Total </t>
  </si>
  <si>
    <t>Approved ( A+B)</t>
  </si>
  <si>
    <t>To Date ( Cumulative)</t>
  </si>
  <si>
    <t>To Date (Cumulative)</t>
  </si>
  <si>
    <t>Closed 
On-Time</t>
  </si>
  <si>
    <t xml:space="preserve">Closed (%) </t>
  </si>
  <si>
    <t>Closed 
On-time</t>
  </si>
  <si>
    <t xml:space="preserve">Closed 
On-time (%) </t>
  </si>
  <si>
    <t>Total WIRs</t>
  </si>
  <si>
    <t>Approved</t>
  </si>
  <si>
    <t>Approved 
1st Time</t>
  </si>
  <si>
    <t xml:space="preserve"> Approval (%)</t>
  </si>
  <si>
    <t xml:space="preserve"> Approved 
1st Time %</t>
  </si>
  <si>
    <t>Responded</t>
  </si>
  <si>
    <t>Responded
On-time</t>
  </si>
  <si>
    <t>Responded (%)</t>
  </si>
  <si>
    <t>Responded
On-time %</t>
  </si>
  <si>
    <t xml:space="preserve">Total
Planned </t>
  </si>
  <si>
    <t>Conducted</t>
  </si>
  <si>
    <t>Conducted (%)</t>
  </si>
  <si>
    <t>Closed (%)</t>
  </si>
  <si>
    <t>Total Identified
Issues</t>
  </si>
  <si>
    <t>Total Mitigated
Issues</t>
  </si>
  <si>
    <t>Mitigated (%)</t>
  </si>
  <si>
    <t>Total Documented
LL</t>
  </si>
  <si>
    <t>Total Deployed
LL</t>
  </si>
  <si>
    <t>Deployed (%)</t>
  </si>
  <si>
    <t>Conducted(%)</t>
  </si>
  <si>
    <t>BSW</t>
  </si>
  <si>
    <t>Consolidated Quality Monitoring Register - 02</t>
  </si>
  <si>
    <t>Status
(Open/ Closed)</t>
  </si>
  <si>
    <t xml:space="preserve">Missing Quality Apprvolas before concrete casting </t>
  </si>
  <si>
    <t xml:space="preserve">Effective Coordination between Quality and Constrcution team -Contractor </t>
  </si>
  <si>
    <t xml:space="preserve">Missing Toolbox Talk Before the new activites at site </t>
  </si>
  <si>
    <t>poor Traccking for subcontractors quality delivrables by CSC &amp;Contractor</t>
  </si>
  <si>
    <t xml:space="preserve">Dleay for test reports submissions  from contrctor side </t>
  </si>
  <si>
    <r>
      <rPr>
        <b/>
        <sz val="9"/>
        <color rgb="FF54132C"/>
        <rFont val="Calibri"/>
        <family val="2"/>
      </rPr>
      <t>Total</t>
    </r>
  </si>
  <si>
    <r>
      <rPr>
        <b/>
        <sz val="9"/>
        <color rgb="FF54132C"/>
        <rFont val="Calibri"/>
        <family val="2"/>
      </rPr>
      <t>Approved %  (A &amp; B)</t>
    </r>
  </si>
  <si>
    <t>Remarks/Justifications</t>
  </si>
  <si>
    <r>
      <rPr>
        <b/>
        <sz val="9"/>
        <color rgb="FF54132C"/>
        <rFont val="Calibri"/>
        <family val="2"/>
      </rPr>
      <t>Closed %</t>
    </r>
  </si>
  <si>
    <r>
      <rPr>
        <b/>
        <sz val="9"/>
        <color rgb="FF54132C"/>
        <rFont val="Calibri"/>
        <family val="2"/>
      </rPr>
      <t>Closed On-Time %</t>
    </r>
  </si>
  <si>
    <r>
      <rPr>
        <b/>
        <sz val="9"/>
        <color rgb="FF54132C"/>
        <rFont val="Calibri"/>
        <family val="2"/>
      </rPr>
      <t>Raised WIRs</t>
    </r>
  </si>
  <si>
    <r>
      <rPr>
        <b/>
        <sz val="9"/>
        <color rgb="FF54132C"/>
        <rFont val="Calibri"/>
        <family val="2"/>
      </rPr>
      <t>Defect Rate %</t>
    </r>
  </si>
  <si>
    <t>Overdue Open NCRs</t>
  </si>
  <si>
    <t>Overdue Open RFIs</t>
  </si>
  <si>
    <t>Mention top 5, and mention the total number</t>
  </si>
  <si>
    <t>Section 9 ( Quality Issues and lessons Learned)</t>
  </si>
  <si>
    <t>Consolidated Quality Monitoring Register - 03</t>
  </si>
  <si>
    <t>Section 10 ( Quality Issues and lessons Learned)</t>
  </si>
  <si>
    <t>Construction</t>
  </si>
  <si>
    <t>DG2 - Diriyah II</t>
  </si>
  <si>
    <t>Diriyah II Grand Mosque</t>
  </si>
  <si>
    <t>DD-DG2-BV-BSE-110</t>
  </si>
  <si>
    <t>DD-DG2-BV-BSW-105</t>
  </si>
  <si>
    <t>BSW - Boulevard South-West</t>
  </si>
  <si>
    <t>BSE - Boulevard South-East</t>
  </si>
  <si>
    <t>BV - Boulevard Community</t>
  </si>
  <si>
    <t>Waldorf Astoria Hotel &amp; Branded Residences</t>
  </si>
  <si>
    <t>Royal Diriyah Opera House</t>
  </si>
  <si>
    <t>DD-DG2-BV-BNW-108</t>
  </si>
  <si>
    <t>DD-DG2-BV-BSW-106</t>
  </si>
  <si>
    <t>BNW - Boulevard North-West</t>
  </si>
  <si>
    <t>Boulevard Southwest</t>
  </si>
  <si>
    <t>DII-Jasara</t>
  </si>
  <si>
    <t>Project WBS unique Code</t>
  </si>
  <si>
    <t>Project lifecycle Phase</t>
  </si>
  <si>
    <t xml:space="preserve">PEP, Total </t>
  </si>
  <si>
    <t>PEP, Approved ( A+B)</t>
  </si>
  <si>
    <t>PEP, Approved %</t>
  </si>
  <si>
    <t xml:space="preserve">PQP, Total </t>
  </si>
  <si>
    <t>PQP, Approved ( A+B)</t>
  </si>
  <si>
    <t>PQP, Approved %</t>
  </si>
  <si>
    <t xml:space="preserve">QA/QC Procedures (QMPs), Total </t>
  </si>
  <si>
    <t>QA/QC Procedures (QMPs), Approved ( A+B)</t>
  </si>
  <si>
    <t>QA/QC Procedures (QMPs), Approved %</t>
  </si>
  <si>
    <t xml:space="preserve">Method Statements (MS), Total </t>
  </si>
  <si>
    <t>Method Statements (MS), Approved ( A+B)</t>
  </si>
  <si>
    <t>Method Statements (MS), Approved %</t>
  </si>
  <si>
    <t xml:space="preserve">Inspection Test Plans ( ITPs), Total </t>
  </si>
  <si>
    <t>Inspection Test Plans ( ITPs), Approved ( A+B)</t>
  </si>
  <si>
    <t>Inspection Test Plans ( ITPs), Approved %</t>
  </si>
  <si>
    <t xml:space="preserve">Material Approval Request ( MARs), Total </t>
  </si>
  <si>
    <t>Material Approval Request ( MARs), Approved ( A+B)</t>
  </si>
  <si>
    <t>Material Approval Request ( MARs), Approved %</t>
  </si>
  <si>
    <t xml:space="preserve">Request For Replacement (RFR), Total </t>
  </si>
  <si>
    <t>Request For Replacement (RFR), Approved ( A+B)</t>
  </si>
  <si>
    <t>Request For Replacement (RFR), Approved %</t>
  </si>
  <si>
    <t xml:space="preserve">Shop - Drawings (SWD), Total </t>
  </si>
  <si>
    <t>Shop - Drawings (SWD), Approved ( A+B)</t>
  </si>
  <si>
    <t>Shop - Drawings (SWD), Approved %</t>
  </si>
  <si>
    <t>Non - Conformance - NCRs This Month Total</t>
  </si>
  <si>
    <t>Non - Conformance- NCRs This Month Closed</t>
  </si>
  <si>
    <t>Non - Conformance- NCRs This Month Closed On-Time</t>
  </si>
  <si>
    <t>Non - Conformance- NCRs To Date ( Cumulative) Total</t>
  </si>
  <si>
    <t>Non - Conformance- NCRs To Date ( Cumulative) Closed</t>
  </si>
  <si>
    <t xml:space="preserve">Non - Conformance- NCRs To Date ( Cumulative) Closed (%) </t>
  </si>
  <si>
    <t>Non - Conformance- NCRs To Date ( Cumulative) Closed On-time</t>
  </si>
  <si>
    <t xml:space="preserve">Non - Conformance- NCRs To Date ( Cumulative) Closed On-time (%) </t>
  </si>
  <si>
    <t>Non - Conformance- NCRs To Date ( Cumulative) Total WIRs</t>
  </si>
  <si>
    <t>Non - Conformance- NCRs To Date ( Cumulative) Defect Rate %</t>
  </si>
  <si>
    <t>Material Inspection Requests( MIRs) This Month Total</t>
  </si>
  <si>
    <t>Material Inspection Requests( MIRs) This Month Approved</t>
  </si>
  <si>
    <t>Material Inspection Requests( MIRs) This Month Approved 1st Time</t>
  </si>
  <si>
    <t>Material Inspection Requests( MIRs) To Date ( Cumulative) Total</t>
  </si>
  <si>
    <t>Material Inspection Requests( MIRs) To Date ( Cumulative) Approved</t>
  </si>
  <si>
    <t>Material Inspection Requests( MIRs) To Date ( Cumulative)  Approval (%)</t>
  </si>
  <si>
    <t>Material Inspection Requests( MIRs) To Date ( Cumulative) Approved 1st Time</t>
  </si>
  <si>
    <t>Material Inspection Requests( MIRs) To Date ( Cumulative)  Approved 1st Time %</t>
  </si>
  <si>
    <t>Work Inspection Requests( WIRs) This Month Total</t>
  </si>
  <si>
    <t>Work Inspection Requests( WIRs) This Month Approved</t>
  </si>
  <si>
    <t>Work Inspection Requests( WIRs) This Month Approved 1st Time</t>
  </si>
  <si>
    <t>Work Inspection Requests( WIRs) To Date ( Cumulative) Total</t>
  </si>
  <si>
    <t>Work Inspection Requests( WIRs) To Date ( Cumulative) Approved</t>
  </si>
  <si>
    <t>Work Inspection Requests( WIRs) To Date ( Cumulative)  Approval (%)</t>
  </si>
  <si>
    <t>Work Inspection Requests( WIRs) To Date ( Cumulative) Approved 1st Time</t>
  </si>
  <si>
    <t>Work Inspection Requests( WIRs) To Date ( Cumulative)  Approved 1st Time %</t>
  </si>
  <si>
    <t>Request For Information (RFIs) This Month Total</t>
  </si>
  <si>
    <t>Request For Information (RFIs) This Month Responded</t>
  </si>
  <si>
    <t>Request For Information (RFIs) This Month RespondedOn-time</t>
  </si>
  <si>
    <t>Request For Information (RFIs) To Date ( Cumulative) Total</t>
  </si>
  <si>
    <t>Request For Information (RFIs) To Date ( Cumulative) Responded</t>
  </si>
  <si>
    <t>Request For Information (RFIs) To Date ( Cumulative) Responded (%)</t>
  </si>
  <si>
    <t>Request For Information (RFIs) To Date ( Cumulative) RespondedOn-time</t>
  </si>
  <si>
    <t>Request For Information (RFIs) To Date ( Cumulative) RespondedOn-time %</t>
  </si>
  <si>
    <t xml:space="preserve">Status of Internal Audits This Month Total Planned </t>
  </si>
  <si>
    <t>Status of Internal Audits This Month Conducted</t>
  </si>
  <si>
    <t xml:space="preserve">Status of Internal Audits To Date ( Cumulative) TotalPlanned </t>
  </si>
  <si>
    <t>Status of Internal Audits To Date ( Cumulative) Conducted</t>
  </si>
  <si>
    <t>Status of Internal Audits To Date ( Cumulative) Conducted (%)</t>
  </si>
  <si>
    <t>Status of Audit Findings This Month Total</t>
  </si>
  <si>
    <t xml:space="preserve">Status of Audit Findings This Month Closed </t>
  </si>
  <si>
    <t>Status of Audit Findings To Date ( Cumulative) Total</t>
  </si>
  <si>
    <t xml:space="preserve">Status of Audit Findings To Date ( Cumulative) Closed </t>
  </si>
  <si>
    <t>Status of Audit Findings To Date ( Cumulative) Closed (%)</t>
  </si>
  <si>
    <t>Quality Issues &amp; Mitigations To Date (Cumulative) Total Identified Issues</t>
  </si>
  <si>
    <t>Quality Issues &amp; Mitigations To Date (Cumulative) Total Mitigated Issues</t>
  </si>
  <si>
    <t>Quality Issues &amp; Mitigations To Date (Cumulative) Mitigated (%)</t>
  </si>
  <si>
    <t>Lessons Learned To Date (Cumulative) Total Documented LL</t>
  </si>
  <si>
    <t>Lessons Learned To Date (Cumulative) Total Deployed LL</t>
  </si>
  <si>
    <t>Lessons Learned To Date (Cumulative) Deployed (%)</t>
  </si>
  <si>
    <t xml:space="preserve">Quality Meetings This Month Total Planned </t>
  </si>
  <si>
    <t>Quality Meetings This Month Conducted</t>
  </si>
  <si>
    <t xml:space="preserve">Quality Meetings To Date (Cumulative) Total Planned </t>
  </si>
  <si>
    <t>Quality Meetings To Date (Cumulative) Conducted</t>
  </si>
  <si>
    <t>Quality Meetings To Date (Cumulative) Conducted (%)</t>
  </si>
  <si>
    <t xml:space="preserve">Quality Site Walks This Month Total Planned </t>
  </si>
  <si>
    <t>Quality Site Walks This Month Conducted</t>
  </si>
  <si>
    <t>Quality Site Walks To Date ( Cumulative) Planned</t>
  </si>
  <si>
    <t>Quality Site Walks To Date ( Cumulative) Conducted</t>
  </si>
  <si>
    <t>Quality Site Walks To Date ( Cumulative) Conducted(%)</t>
  </si>
  <si>
    <t>Remarks/Justifications Section 2: QMS and Submittals Status PEP</t>
  </si>
  <si>
    <t>Remarks/Justifications Section 2: QMS and Submittals Status PQP</t>
  </si>
  <si>
    <t>Remarks/Justifications Section 2: QMS and Submittals Status QA/QC Procedures</t>
  </si>
  <si>
    <t>Remarks/Justifications Section 2: QMS and Submittals Status MS</t>
  </si>
  <si>
    <t>Remarks/Justifications Section 2: QMS and Submittals Status ITP</t>
  </si>
  <si>
    <t>Remarks/Justifications Section 2: QMS and Submittals Status MAR</t>
  </si>
  <si>
    <t>Remarks/Justifications Section 2: QMS and Submittals Status RFR</t>
  </si>
  <si>
    <t>Remarks/Justifications Section 2: QMS and Submittals Status SDW</t>
  </si>
  <si>
    <t>Remarks/Justifications Section 3: Non-Conformance Reports (NCRs) This month</t>
  </si>
  <si>
    <t>Remarks/Justifications Section 3: Non-Conformance Reports (NCRs) Cumulative</t>
  </si>
  <si>
    <t>Remarks/Justifications Section 4: Material Inspection Request (MIRs) This month</t>
  </si>
  <si>
    <t>Remarks/Justifications Section 4: Material Inspection Request (MIRs) Cumulative</t>
  </si>
  <si>
    <t>Remarks/Justifications Section 5: Work Inspection Request (WIRs) This month</t>
  </si>
  <si>
    <t>Remarks/Justifications Section 5: Work Inspection Request (WIRs) Cumulative</t>
  </si>
  <si>
    <t>Remarks/Justifications Section 6: Request For Information (RFIs) This month</t>
  </si>
  <si>
    <t>Remarks/Justifications Section 6: Request For Information (RFIs) Cumulative</t>
  </si>
  <si>
    <t>Remarks/Justifications Section 7: Status of Internal Audits This month</t>
  </si>
  <si>
    <t>Remarks/Justifications Section 7: Status of Internal Audits Cumulative</t>
  </si>
  <si>
    <t>Remarks/Justifications Section 8: Audit Findings - Corrective Actions (CARs) This month</t>
  </si>
  <si>
    <t>Remarks/Justifications Section 8: Audit Findings - Corrective Actions (CARs) Cumulative</t>
  </si>
  <si>
    <t xml:space="preserve"> </t>
  </si>
  <si>
    <t>CSC</t>
  </si>
  <si>
    <t>Contractor</t>
  </si>
  <si>
    <t>P. Areas</t>
  </si>
  <si>
    <t xml:space="preserve">Metrics </t>
  </si>
  <si>
    <t>Description</t>
  </si>
  <si>
    <t xml:space="preserve">PMC Cumulative </t>
  </si>
  <si>
    <t>Target</t>
  </si>
  <si>
    <t>(RAG) Criteria</t>
  </si>
  <si>
    <t>Score Weight.</t>
  </si>
  <si>
    <t>Target Value</t>
  </si>
  <si>
    <t>Value</t>
  </si>
  <si>
    <t>Remarks</t>
  </si>
  <si>
    <t>Leadership Enagement</t>
  </si>
  <si>
    <t>M03</t>
  </si>
  <si>
    <t>The rate of conducting regular leadership Quality site walks (Monthly, Weekly). Monthly weight 40%
weekly weight 60%</t>
  </si>
  <si>
    <t>Weekly</t>
  </si>
  <si>
    <t>Monthly: 1Weekly: 3 (excluding the monthly meeting week )100%</t>
  </si>
  <si>
    <r>
      <t xml:space="preserve">Green = 100%
</t>
    </r>
    <r>
      <rPr>
        <b/>
        <sz val="9"/>
        <color rgb="FFFFC000"/>
        <rFont val="Calibri"/>
        <family val="2"/>
      </rPr>
      <t xml:space="preserve">Amber = &gt; 40% –60%
</t>
    </r>
    <r>
      <rPr>
        <b/>
        <sz val="9"/>
        <color rgb="FFFF0000"/>
        <rFont val="Calibri"/>
        <family val="2"/>
      </rPr>
      <t>Red = &lt; 40%</t>
    </r>
  </si>
  <si>
    <t>Monthly</t>
  </si>
  <si>
    <t>M04</t>
  </si>
  <si>
    <t>The rate of conducting regular project quality meetings (Monthly, Weekly).
Monthly weight: 40%weekly weight: 60%</t>
  </si>
  <si>
    <t>Monthly: 1Weekly: 3 (excluding the monthly meeting week)100%</t>
  </si>
  <si>
    <t>Right First-Time</t>
  </si>
  <si>
    <t>M05</t>
  </si>
  <si>
    <t>The rate of First-time approval of submissions (WIR, MIR)</t>
  </si>
  <si>
    <t>WIR</t>
  </si>
  <si>
    <r>
      <t xml:space="preserve">Green = &gt; 85%
</t>
    </r>
    <r>
      <rPr>
        <b/>
        <sz val="9"/>
        <color rgb="FFFFC000"/>
        <rFont val="Calibri"/>
        <family val="2"/>
      </rPr>
      <t>Amber = 70 - 84%</t>
    </r>
    <r>
      <rPr>
        <b/>
        <sz val="9"/>
        <color rgb="FF00B050"/>
        <rFont val="Calibri"/>
        <family val="2"/>
      </rPr>
      <t xml:space="preserve">
</t>
    </r>
    <r>
      <rPr>
        <b/>
        <sz val="9"/>
        <color rgb="FFFF0000"/>
        <rFont val="Calibri"/>
        <family val="2"/>
      </rPr>
      <t>Red &lt; 70%</t>
    </r>
  </si>
  <si>
    <t>MIR</t>
  </si>
  <si>
    <t>Submittals Approval</t>
  </si>
  <si>
    <t>M06</t>
  </si>
  <si>
    <t>The rate of approval of submittals (MS, ITP, MAR, SDW, RFR). (Code A+B)</t>
  </si>
  <si>
    <r>
      <t xml:space="preserve">Green = &gt; 90%
</t>
    </r>
    <r>
      <rPr>
        <b/>
        <sz val="9"/>
        <color rgb="FFFFC000"/>
        <rFont val="Calibri"/>
        <family val="2"/>
      </rPr>
      <t>Amber = 70 - 89%</t>
    </r>
    <r>
      <rPr>
        <b/>
        <sz val="9"/>
        <color rgb="FF00B050"/>
        <rFont val="Calibri"/>
        <family val="2"/>
      </rPr>
      <t xml:space="preserve">
</t>
    </r>
    <r>
      <rPr>
        <b/>
        <sz val="9"/>
        <color rgb="FFFF0000"/>
        <rFont val="Calibri"/>
        <family val="2"/>
      </rPr>
      <t>Red &lt; 70%</t>
    </r>
  </si>
  <si>
    <t>QMS Approval</t>
  </si>
  <si>
    <t>M07</t>
  </si>
  <si>
    <t>The rate of QMS plans and procedures approved and revised as required (PEP, PQP, QA/QC Procedures). (Code A+B)</t>
  </si>
  <si>
    <t>Non-Conformance</t>
  </si>
  <si>
    <t>M09</t>
  </si>
  <si>
    <t>The rate of closeout of NCRs.</t>
  </si>
  <si>
    <t>Closed%</t>
  </si>
  <si>
    <t>The Rate of NCRs Closed on time%</t>
  </si>
  <si>
    <t>Closed on time%</t>
  </si>
  <si>
    <t>M10</t>
  </si>
  <si>
    <t>The rate of Approved WIRs (Code A+B)</t>
  </si>
  <si>
    <t>WIR Approved %</t>
  </si>
  <si>
    <t>M11</t>
  </si>
  <si>
    <t>The rate of Approved MIRs (Code A+B).</t>
  </si>
  <si>
    <t>MIR Approved %</t>
  </si>
  <si>
    <t>Defect Rate</t>
  </si>
  <si>
    <t>M12</t>
  </si>
  <si>
    <t>The rate of raised NCRs to conducted WIRs.</t>
  </si>
  <si>
    <t>=&lt; 2%</t>
  </si>
  <si>
    <r>
      <t xml:space="preserve">Green = &lt; 2%
</t>
    </r>
    <r>
      <rPr>
        <b/>
        <sz val="9"/>
        <color rgb="FFFFC000"/>
        <rFont val="Calibri"/>
        <family val="2"/>
      </rPr>
      <t>Amber = 2.1 – 5%</t>
    </r>
    <r>
      <rPr>
        <b/>
        <sz val="9"/>
        <color rgb="FF00B050"/>
        <rFont val="Calibri"/>
        <family val="2"/>
      </rPr>
      <t xml:space="preserve">
</t>
    </r>
    <r>
      <rPr>
        <b/>
        <sz val="9"/>
        <color rgb="FFFF0000"/>
        <rFont val="Calibri"/>
        <family val="2"/>
      </rPr>
      <t>Red &gt; 5%</t>
    </r>
    <r>
      <rPr>
        <b/>
        <sz val="9"/>
        <color rgb="FF00B050"/>
        <rFont val="Calibri"/>
        <family val="2"/>
      </rPr>
      <t xml:space="preserve">
</t>
    </r>
  </si>
  <si>
    <t>Audits</t>
  </si>
  <si>
    <t>M13</t>
  </si>
  <si>
    <t>The rate of audits conducted as planned and reports are issued within the designated timeframe.</t>
  </si>
  <si>
    <t>M14</t>
  </si>
  <si>
    <t>The rate of timely close-out for audit findings (CARs)</t>
  </si>
  <si>
    <t>Design / Engineering</t>
  </si>
  <si>
    <t>M15</t>
  </si>
  <si>
    <t>The rate of Contractor-issued RFIs responded</t>
  </si>
  <si>
    <t>The rate of Contractor-issued RFIs responded within the agreed time frame.</t>
  </si>
  <si>
    <t>Overall</t>
  </si>
  <si>
    <t>80%-100%</t>
  </si>
  <si>
    <t>Satisfactory</t>
  </si>
  <si>
    <t>60%-79%</t>
  </si>
  <si>
    <t xml:space="preserve">Fair </t>
  </si>
  <si>
    <t>Below 60%</t>
  </si>
  <si>
    <t>Poor</t>
  </si>
  <si>
    <t>Delayed CAPA &amp; Correction by ECM JV</t>
  </si>
  <si>
    <t xml:space="preserve">Pending Audit Findings </t>
  </si>
  <si>
    <t>Hanging wires supported using with plywood and channel arrangements before termination works commence to ensure safety, maintain cable integrity, and achieve a quality-compliant installation.</t>
  </si>
  <si>
    <t>Unauthorized Welding Works and Failure to Comply with Approved Quality Requirements - Mockup (Façade)</t>
  </si>
  <si>
    <t>Stop all unauthorized welding works, inspect the affected façade mockup against approved drawings and specifications, and rectify or replace any non-compliant welds/components as required. Reinspect the completed work to verify compliance, ensure only approved procedures and qualified welders are used, and strengthen QA/QC supervision and hold-point inspections to prevent recurrence.</t>
  </si>
  <si>
    <t>Open</t>
  </si>
  <si>
    <t xml:space="preserve">Unapproved Grade 80 Steel Delivered to Site Immediate Quarantine and Strict No-Use Requirement </t>
  </si>
  <si>
    <t>Immediately quarantine all delivered Grade 80 steel reinforcement, clearly label it as "Hold/Do Not Use," and prevent its incorporation into the works. Review procurement records, approved material submittals, and mill test certificates to determine the extent of the nonconformance and confirm whether the material has valid MAR and MIR approvals. Ensure that only reinforcement with approved MAR and MIR documentation is accepted and released for use. To prevent recurrence, strengthen material receiving inspections and verify reinforcement grades against approved MARs and MIRs prior to acceptance and use.</t>
  </si>
  <si>
    <t xml:space="preserve">Issuer:During the site surveillance, it was observed that the Installed support system for cable ladder in B2-Zone 6 (hanger &amp; support MV Cable) is not meeting the Project Requirements due to following </t>
  </si>
  <si>
    <t>Load Calculation considering cables weight and threaded rods sizes,distance between supports are under Review</t>
  </si>
  <si>
    <t>Unauthorized concrete casting was carried out before completing the required inspection and approval process, resulting in the omission of additional reinforcement around embedded steel plates in Zone 1. This non-conformance highlights the critical importance of verifying that all reinforcement, embedded items, and related structural details are installed in accordance with approved drawings and specifications prior to concrete placement. To prevent recurrence, a strict pre-pour verification process shall be enforced, including joint inspections by Construction and QA/QC teams, use of detailed pre-pour checklists, and obtaining all required consultant approvals before casting. Proper coordination, supervision, and adherence to hold points are essential to avoid quality issues, rework, project delays, and potential structural risks.</t>
  </si>
  <si>
    <t>The Process/ procedure's of Installation are either Incompete / Inaccurate</t>
  </si>
  <si>
    <t xml:space="preserve">The Inspection Hold points requires update  </t>
  </si>
  <si>
    <t xml:space="preserve">The MAR's submitted by Sub-Contractors are not Reviewed </t>
  </si>
  <si>
    <t xml:space="preserve">The Shop Drawings require detailed review by ECM Teams </t>
  </si>
  <si>
    <t>21+11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</si>
</sst>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3">
    <font>
      <sz val="11"/>
      <color theme="1"/>
      <name val="Aptos Narrow"/>
      <family val="2"/>
      <scheme val="minor"/>
    </font>
    <font>
      <sz val="10"/>
      <color theme="1"/>
      <name val="Times New Roman"/>
      <family val="1"/>
    </font>
    <font>
      <b/>
      <sz val="9"/>
      <color rgb="FFFFFFFF"/>
      <name val="Calibri"/>
      <family val="2"/>
    </font>
    <font>
      <sz val="12"/>
      <color theme="1"/>
      <name val="Times New Roman"/>
      <family val="1"/>
    </font>
    <font>
      <b/>
      <sz val="9"/>
      <color rgb="FF55142D"/>
      <name val="Calibri"/>
      <family val="2"/>
    </font>
    <font>
      <sz val="9"/>
      <color rgb="FF55142D"/>
      <name val="Calibri"/>
      <family val="2"/>
    </font>
    <font>
      <b/>
      <vertAlign val="superscript"/>
      <sz val="9"/>
      <color rgb="FF55142D"/>
      <name val="Calibri"/>
      <family val="2"/>
    </font>
    <font>
      <b/>
      <sz val="11"/>
      <color theme="1"/>
      <name val="Aptos Narrow"/>
      <family val="2"/>
      <scheme val="minor"/>
    </font>
    <font>
      <sz val="11"/>
      <color theme="0"/>
      <name val="Aptos Narrow"/>
      <family val="2"/>
      <scheme val="minor"/>
    </font>
    <font>
      <b/>
      <sz val="10"/>
      <color theme="1"/>
      <name val="Times New Roman"/>
      <family val="1"/>
    </font>
    <font>
      <sz val="22"/>
      <color theme="1"/>
      <name val="Cario"/>
    </font>
    <font>
      <sz val="10"/>
      <name val="Cario"/>
    </font>
    <font>
      <sz val="11"/>
      <color theme="1"/>
      <name val="Cario"/>
    </font>
    <font>
      <sz val="10"/>
      <name val="Arial"/>
      <family val="2"/>
    </font>
    <font>
      <b/>
      <sz val="14"/>
      <color theme="0"/>
      <name val="Cario"/>
    </font>
    <font>
      <b/>
      <sz val="14"/>
      <color theme="0" tint="-4.9989318521683403E-2"/>
      <name val="Cario"/>
    </font>
    <font>
      <b/>
      <sz val="11"/>
      <color theme="0" tint="-4.9989318521683403E-2"/>
      <name val="Aptos Narrow"/>
      <family val="2"/>
      <scheme val="minor"/>
    </font>
    <font>
      <sz val="14"/>
      <color theme="1"/>
      <name val="Aptos Narrow"/>
      <family val="2"/>
      <scheme val="minor"/>
    </font>
    <font>
      <b/>
      <sz val="12"/>
      <color theme="0"/>
      <name val="Cario"/>
    </font>
    <font>
      <sz val="11"/>
      <color theme="0" tint="-4.9989318521683403E-2"/>
      <name val="Cario"/>
    </font>
    <font>
      <sz val="11"/>
      <name val="Cario"/>
    </font>
    <font>
      <sz val="9"/>
      <color theme="1"/>
      <name val="Aptos Narrow"/>
      <family val="2"/>
      <scheme val="minor"/>
    </font>
    <font>
      <sz val="9"/>
      <name val="Aptos Narrow"/>
      <family val="2"/>
      <scheme val="minor"/>
    </font>
    <font>
      <sz val="11"/>
      <color theme="0"/>
      <name val="Cario"/>
    </font>
    <font>
      <b/>
      <sz val="11"/>
      <color theme="0" tint="-4.9989318521683403E-2"/>
      <name val="Cario"/>
    </font>
    <font>
      <sz val="11"/>
      <color theme="1"/>
      <name val="Aptos Narrow"/>
      <family val="2"/>
      <scheme val="minor"/>
    </font>
    <font>
      <sz val="10"/>
      <color rgb="FF000000"/>
      <name val="Times New Roman"/>
      <family val="1"/>
    </font>
    <font>
      <sz val="11"/>
      <color rgb="FFFF0000"/>
      <name val="Aptos Narrow"/>
      <family val="2"/>
      <scheme val="minor"/>
    </font>
    <font>
      <sz val="11"/>
      <color theme="9"/>
      <name val="Aptos Narrow"/>
      <family val="2"/>
      <scheme val="minor"/>
    </font>
    <font>
      <sz val="8"/>
      <color rgb="FFFF0000"/>
      <name val="Aptos Narrow"/>
      <family val="2"/>
      <scheme val="minor"/>
    </font>
    <font>
      <sz val="10"/>
      <color theme="1"/>
      <name val="Times New Roman"/>
      <family val="1"/>
    </font>
    <font>
      <b/>
      <sz val="9"/>
      <name val="Calibri"/>
      <family val="2"/>
    </font>
    <font>
      <b/>
      <sz val="9"/>
      <color rgb="FF54132C"/>
      <name val="Calibri"/>
      <family val="2"/>
    </font>
    <font>
      <sz val="10"/>
      <name val="Times New Roman"/>
      <family val="1"/>
    </font>
    <font>
      <b/>
      <sz val="11"/>
      <color rgb="FFFF0000"/>
      <name val="Aptos Narrow"/>
      <family val="2"/>
      <scheme val="minor"/>
    </font>
    <font>
      <sz val="10"/>
      <color theme="1"/>
      <name val="Arial"/>
      <family val="2"/>
    </font>
    <font>
      <b/>
      <sz val="9"/>
      <color rgb="FF000000"/>
      <name val="Calibri"/>
      <family val="2"/>
    </font>
    <font>
      <sz val="9"/>
      <color theme="1"/>
      <name val="Calibri"/>
      <family val="2"/>
    </font>
    <font>
      <b/>
      <sz val="9"/>
      <color rgb="FF00B050"/>
      <name val="Calibri"/>
      <family val="2"/>
    </font>
    <font>
      <b/>
      <sz val="9"/>
      <color rgb="FFFFC000"/>
      <name val="Calibri"/>
      <family val="2"/>
    </font>
    <font>
      <b/>
      <sz val="9"/>
      <color rgb="FFFF0000"/>
      <name val="Calibri"/>
      <family val="2"/>
    </font>
    <font>
      <b/>
      <sz val="9"/>
      <color theme="1"/>
      <name val="Calibri"/>
      <family val="2"/>
    </font>
    <font>
      <sz val="9"/>
      <color rgb="FF000000"/>
      <name val="Calibri"/>
      <family val="2"/>
    </font>
  </fonts>
  <fills count="21">
    <fill>
      <patternFill patternType="none"/>
    </fill>
    <fill>
      <patternFill patternType="gray125"/>
    </fill>
    <fill>
      <patternFill patternType="solid">
        <fgColor rgb="FFBD7355"/>
        <bgColor indexed="64"/>
      </patternFill>
    </fill>
    <fill>
      <patternFill patternType="solid">
        <fgColor rgb="FFDBBC9A"/>
        <bgColor indexed="64"/>
      </patternFill>
    </fill>
    <fill>
      <patternFill patternType="solid">
        <fgColor rgb="FFF1E7DE"/>
        <bgColor indexed="64"/>
      </patternFill>
    </fill>
    <fill>
      <patternFill patternType="solid">
        <fgColor rgb="FFF8F4EF"/>
        <bgColor indexed="64"/>
      </patternFill>
    </fill>
    <fill>
      <patternFill patternType="solid">
        <fgColor theme="5" tint="0.39997558519241921"/>
        <bgColor indexed="64"/>
      </patternFill>
    </fill>
    <fill>
      <patternFill patternType="solid">
        <fgColor theme="0"/>
        <bgColor indexed="64"/>
      </patternFill>
    </fill>
    <fill>
      <patternFill patternType="solid">
        <fgColor rgb="FF6F1B3B"/>
        <bgColor indexed="64"/>
      </patternFill>
    </fill>
    <fill>
      <patternFill patternType="solid">
        <fgColor rgb="FF95583D"/>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BBB9A"/>
      </patternFill>
    </fill>
    <fill>
      <patternFill patternType="solid">
        <fgColor theme="0" tint="-0.249977111117893"/>
        <bgColor indexed="64"/>
      </patternFill>
    </fill>
    <fill>
      <patternFill patternType="solid">
        <fgColor theme="2" tint="-0.249977111117893"/>
        <bgColor indexed="64"/>
      </patternFill>
    </fill>
    <fill>
      <patternFill patternType="solid">
        <fgColor theme="0"/>
      </patternFill>
    </fill>
    <fill>
      <patternFill patternType="solid">
        <fgColor theme="0" tint="-0.34998626667073579"/>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56">
    <border>
      <left/>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top/>
      <bottom style="medium">
        <color rgb="FFFFFFFF"/>
      </bottom>
      <diagonal/>
    </border>
    <border>
      <left style="medium">
        <color rgb="FFFFFFFF"/>
      </left>
      <right/>
      <top/>
      <bottom/>
      <diagonal/>
    </border>
    <border>
      <left style="medium">
        <color rgb="FFFFFFFF"/>
      </left>
      <right/>
      <top style="medium">
        <color rgb="FFFFFFFF"/>
      </top>
      <bottom/>
      <diagonal/>
    </border>
    <border>
      <left style="medium">
        <color rgb="FFFFFFFF"/>
      </left>
      <right/>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medium">
        <color indexed="64"/>
      </right>
      <top style="hair">
        <color theme="1"/>
      </top>
      <bottom/>
      <diagonal/>
    </border>
    <border>
      <left/>
      <right style="medium">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style="medium">
        <color indexed="64"/>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medium">
        <color indexed="64"/>
      </top>
      <bottom style="thin">
        <color rgb="FF000000"/>
      </bottom>
      <diagonal/>
    </border>
    <border>
      <left style="thin">
        <color rgb="FF000000"/>
      </left>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0" fontId="13" fillId="0" borderId="0"/>
    <xf numFmtId="9" fontId="25" fillId="0" borderId="0" applyFont="0" applyFill="0" applyBorder="0" applyAlignment="0" applyProtection="0"/>
    <xf numFmtId="0" fontId="26" fillId="0" borderId="0"/>
    <xf numFmtId="0" fontId="25" fillId="0" borderId="0"/>
    <xf numFmtId="9" fontId="25" fillId="0" borderId="0" applyFont="0" applyFill="0" applyBorder="0" applyAlignment="0" applyProtection="0"/>
  </cellStyleXfs>
  <cellXfs count="233">
    <xf numFmtId="0" fontId="0" fillId="0" borderId="0" xfId="0"/>
    <xf numFmtId="0" fontId="11" fillId="0" borderId="0" xfId="0" applyFont="1"/>
    <xf numFmtId="0" fontId="12" fillId="0" borderId="0" xfId="0" applyFont="1"/>
    <xf numFmtId="0" fontId="20" fillId="0" borderId="0" xfId="0" applyFont="1"/>
    <xf numFmtId="0" fontId="12" fillId="0" borderId="0" xfId="0" applyFont="1" applyAlignment="1">
      <alignment horizontal="center" vertical="center" wrapText="1"/>
    </xf>
    <xf numFmtId="0" fontId="12" fillId="7" borderId="0" xfId="0" applyFont="1" applyFill="1" applyAlignment="1">
      <alignment wrapText="1"/>
    </xf>
    <xf numFmtId="0" fontId="20" fillId="7" borderId="11" xfId="1" applyFont="1" applyFill="1" applyBorder="1" applyAlignment="1">
      <alignment horizontal="center" vertical="center" wrapText="1"/>
    </xf>
    <xf numFmtId="0" fontId="12" fillId="7" borderId="0" xfId="0" applyFont="1" applyFill="1"/>
    <xf numFmtId="0" fontId="12" fillId="0" borderId="0" xfId="0" applyFont="1" applyAlignment="1">
      <alignment horizontal="left"/>
    </xf>
    <xf numFmtId="0" fontId="21" fillId="0" borderId="0" xfId="0" applyFont="1"/>
    <xf numFmtId="0" fontId="21" fillId="7" borderId="0" xfId="0" applyFont="1" applyFill="1"/>
    <xf numFmtId="0" fontId="21" fillId="0" borderId="0" xfId="0" applyFont="1" applyAlignment="1">
      <alignment horizontal="left"/>
    </xf>
    <xf numFmtId="0" fontId="23" fillId="9" borderId="10" xfId="1" applyFont="1" applyFill="1" applyBorder="1" applyAlignment="1">
      <alignment horizontal="center" vertical="center" wrapText="1"/>
    </xf>
    <xf numFmtId="0" fontId="31" fillId="12" borderId="20" xfId="3" applyFont="1" applyFill="1" applyBorder="1" applyAlignment="1" applyProtection="1">
      <alignment horizontal="center" vertical="top" wrapText="1"/>
      <protection locked="0"/>
    </xf>
    <xf numFmtId="0" fontId="4" fillId="3" borderId="7" xfId="0" applyFont="1" applyFill="1" applyBorder="1" applyAlignment="1" applyProtection="1">
      <alignment horizontal="center" vertical="center" wrapText="1"/>
      <protection locked="0"/>
    </xf>
    <xf numFmtId="0" fontId="1" fillId="5" borderId="1" xfId="0" applyFont="1" applyFill="1" applyBorder="1" applyAlignment="1" applyProtection="1">
      <alignment horizontal="left" vertical="center"/>
      <protection locked="0"/>
    </xf>
    <xf numFmtId="0" fontId="1" fillId="4" borderId="1" xfId="0" applyFont="1" applyFill="1" applyBorder="1" applyAlignment="1" applyProtection="1">
      <alignment horizontal="left" vertical="center"/>
      <protection locked="0"/>
    </xf>
    <xf numFmtId="0" fontId="4" fillId="3" borderId="6" xfId="0" applyFont="1" applyFill="1" applyBorder="1" applyAlignment="1" applyProtection="1">
      <alignment horizontal="center" vertical="center" wrapText="1"/>
      <protection locked="0"/>
    </xf>
    <xf numFmtId="9" fontId="1" fillId="13" borderId="1" xfId="2" applyFont="1" applyFill="1" applyBorder="1" applyAlignment="1" applyProtection="1">
      <alignment horizontal="center" vertical="center" wrapText="1"/>
    </xf>
    <xf numFmtId="164" fontId="1" fillId="13" borderId="1" xfId="2" applyNumberFormat="1" applyFont="1" applyFill="1" applyBorder="1" applyAlignment="1" applyProtection="1">
      <alignment horizontal="center" vertical="center" wrapText="1"/>
    </xf>
    <xf numFmtId="0" fontId="1" fillId="4" borderId="1" xfId="0" applyFont="1" applyFill="1" applyBorder="1" applyAlignment="1" applyProtection="1">
      <alignment horizontal="center" vertical="center" wrapText="1"/>
      <protection locked="0"/>
    </xf>
    <xf numFmtId="0" fontId="31" fillId="12" borderId="20" xfId="3" applyFont="1" applyFill="1" applyBorder="1" applyAlignment="1" applyProtection="1">
      <alignment horizontal="center" vertical="center" wrapText="1"/>
      <protection locked="0"/>
    </xf>
    <xf numFmtId="0" fontId="31" fillId="12" borderId="21" xfId="3"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34" fillId="0" borderId="0" xfId="0" applyFont="1" applyProtection="1">
      <protection locked="0"/>
    </xf>
    <xf numFmtId="0" fontId="26" fillId="0" borderId="0" xfId="3" applyAlignment="1" applyProtection="1">
      <alignment vertical="top" wrapText="1"/>
      <protection locked="0"/>
    </xf>
    <xf numFmtId="1" fontId="1" fillId="13" borderId="1" xfId="2" applyNumberFormat="1" applyFont="1" applyFill="1" applyBorder="1" applyAlignment="1" applyProtection="1">
      <alignment horizontal="center" vertical="center" wrapText="1"/>
    </xf>
    <xf numFmtId="0" fontId="0" fillId="0" borderId="0" xfId="0" applyProtection="1">
      <protection locked="0"/>
    </xf>
    <xf numFmtId="0" fontId="4" fillId="3" borderId="1" xfId="0" applyFont="1" applyFill="1" applyBorder="1" applyAlignment="1" applyProtection="1">
      <alignment vertical="center" wrapText="1"/>
      <protection locked="0"/>
    </xf>
    <xf numFmtId="0" fontId="5" fillId="4" borderId="2" xfId="0" applyFont="1" applyFill="1" applyBorder="1" applyAlignment="1" applyProtection="1">
      <alignment vertical="center" wrapText="1"/>
      <protection locked="0"/>
    </xf>
    <xf numFmtId="0" fontId="5" fillId="4" borderId="1" xfId="0" applyFont="1" applyFill="1" applyBorder="1" applyAlignment="1" applyProtection="1">
      <alignment vertical="center" wrapText="1"/>
      <protection locked="0"/>
    </xf>
    <xf numFmtId="0" fontId="4" fillId="3" borderId="7" xfId="0" applyFont="1" applyFill="1" applyBorder="1" applyAlignment="1" applyProtection="1">
      <alignment vertical="center" wrapText="1"/>
      <protection locked="0"/>
    </xf>
    <xf numFmtId="0" fontId="5" fillId="5" borderId="1" xfId="0" applyFont="1" applyFill="1" applyBorder="1" applyAlignment="1" applyProtection="1">
      <alignment vertical="center" wrapText="1"/>
      <protection locked="0"/>
    </xf>
    <xf numFmtId="0" fontId="1" fillId="5" borderId="1" xfId="0" applyFont="1" applyFill="1" applyBorder="1" applyAlignment="1" applyProtection="1">
      <alignment horizontal="center" vertical="center" wrapText="1"/>
      <protection locked="0"/>
    </xf>
    <xf numFmtId="0" fontId="29" fillId="0" borderId="0" xfId="0" applyFont="1" applyAlignment="1" applyProtection="1">
      <alignment vertical="center" wrapText="1"/>
      <protection locked="0"/>
    </xf>
    <xf numFmtId="0" fontId="27" fillId="0" borderId="0" xfId="0" applyFont="1" applyProtection="1">
      <protection locked="0"/>
    </xf>
    <xf numFmtId="0" fontId="28" fillId="0" borderId="0" xfId="0" applyFont="1" applyProtection="1">
      <protection locked="0"/>
    </xf>
    <xf numFmtId="0" fontId="29" fillId="0" borderId="0" xfId="0" applyFont="1" applyAlignment="1" applyProtection="1">
      <alignment horizontal="center" vertical="center" wrapText="1"/>
      <protection locked="0"/>
    </xf>
    <xf numFmtId="0" fontId="3" fillId="0" borderId="0" xfId="0" applyFont="1" applyAlignment="1" applyProtection="1">
      <alignment vertical="center" wrapText="1"/>
      <protection locked="0"/>
    </xf>
    <xf numFmtId="0" fontId="4" fillId="3" borderId="4" xfId="0" applyFont="1" applyFill="1" applyBorder="1" applyAlignment="1" applyProtection="1">
      <alignment horizontal="center" vertical="center" wrapText="1"/>
      <protection locked="0"/>
    </xf>
    <xf numFmtId="0" fontId="5" fillId="4" borderId="4" xfId="0" applyFont="1" applyFill="1" applyBorder="1" applyAlignment="1" applyProtection="1">
      <alignment horizontal="center" vertical="center" wrapText="1"/>
      <protection locked="0"/>
    </xf>
    <xf numFmtId="0" fontId="5" fillId="5" borderId="4" xfId="0" applyFont="1" applyFill="1" applyBorder="1" applyAlignment="1" applyProtection="1">
      <alignment horizontal="center" vertical="center" wrapText="1"/>
      <protection locked="0"/>
    </xf>
    <xf numFmtId="0" fontId="4" fillId="6" borderId="9" xfId="0" applyFont="1" applyFill="1" applyBorder="1" applyAlignment="1" applyProtection="1">
      <alignment horizontal="center" vertical="center" wrapText="1"/>
      <protection locked="0"/>
    </xf>
    <xf numFmtId="0" fontId="9" fillId="6" borderId="9" xfId="0" applyFont="1" applyFill="1" applyBorder="1" applyAlignment="1" applyProtection="1">
      <alignment horizontal="center" vertical="center" wrapText="1"/>
      <protection locked="0"/>
    </xf>
    <xf numFmtId="0" fontId="3" fillId="0" borderId="6" xfId="0" applyFont="1" applyBorder="1" applyAlignment="1" applyProtection="1">
      <alignment vertical="center" wrapText="1"/>
      <protection locked="0"/>
    </xf>
    <xf numFmtId="0" fontId="0" fillId="0" borderId="0" xfId="0" applyAlignment="1" applyProtection="1">
      <alignment horizontal="center"/>
      <protection locked="0"/>
    </xf>
    <xf numFmtId="0" fontId="5" fillId="3" borderId="7"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center" vertical="center" wrapText="1"/>
      <protection locked="0"/>
    </xf>
    <xf numFmtId="0" fontId="4" fillId="3" borderId="8" xfId="0" applyFont="1" applyFill="1" applyBorder="1" applyAlignment="1" applyProtection="1">
      <alignment horizontal="center" vertical="center" wrapText="1"/>
      <protection locked="0"/>
    </xf>
    <xf numFmtId="0" fontId="30" fillId="4" borderId="1" xfId="0" applyFont="1" applyFill="1" applyBorder="1" applyAlignment="1" applyProtection="1">
      <alignment horizontal="center" vertical="center" wrapText="1"/>
      <protection locked="0"/>
    </xf>
    <xf numFmtId="0" fontId="30" fillId="5" borderId="1" xfId="0" applyFont="1" applyFill="1" applyBorder="1" applyAlignment="1" applyProtection="1">
      <alignment horizontal="center" vertical="center" wrapText="1"/>
      <protection locked="0"/>
    </xf>
    <xf numFmtId="9" fontId="1" fillId="14" borderId="1" xfId="2" applyFont="1" applyFill="1" applyBorder="1" applyAlignment="1" applyProtection="1">
      <alignment horizontal="center" vertical="center" wrapText="1"/>
    </xf>
    <xf numFmtId="164" fontId="1" fillId="14" borderId="1" xfId="2" applyNumberFormat="1" applyFont="1" applyFill="1" applyBorder="1" applyAlignment="1" applyProtection="1">
      <alignment horizontal="center" vertical="center" wrapText="1"/>
    </xf>
    <xf numFmtId="1" fontId="1" fillId="14" borderId="1" xfId="2" applyNumberFormat="1" applyFont="1" applyFill="1" applyBorder="1" applyAlignment="1" applyProtection="1">
      <alignment horizontal="center" vertical="center" wrapText="1"/>
    </xf>
    <xf numFmtId="0" fontId="1" fillId="13" borderId="1" xfId="0" applyFont="1" applyFill="1" applyBorder="1" applyAlignment="1">
      <alignment vertical="center" wrapText="1"/>
    </xf>
    <xf numFmtId="10" fontId="33" fillId="13" borderId="1" xfId="0" applyNumberFormat="1" applyFont="1" applyFill="1" applyBorder="1" applyAlignment="1">
      <alignment horizontal="center" vertical="center" wrapText="1"/>
    </xf>
    <xf numFmtId="0" fontId="1" fillId="13" borderId="1" xfId="0" applyFont="1" applyFill="1" applyBorder="1" applyAlignment="1">
      <alignment horizontal="center" vertical="center" wrapText="1"/>
    </xf>
    <xf numFmtId="9" fontId="1" fillId="13" borderId="1" xfId="0" applyNumberFormat="1" applyFont="1" applyFill="1" applyBorder="1" applyAlignment="1">
      <alignment horizontal="center" vertical="center" wrapText="1"/>
    </xf>
    <xf numFmtId="0" fontId="22" fillId="0" borderId="0" xfId="0" applyFont="1"/>
    <xf numFmtId="0" fontId="20" fillId="15" borderId="11" xfId="0" applyFont="1" applyFill="1" applyBorder="1" applyAlignment="1">
      <alignment vertical="top" wrapText="1"/>
    </xf>
    <xf numFmtId="0" fontId="20" fillId="10" borderId="11" xfId="1" applyFont="1" applyFill="1" applyBorder="1" applyAlignment="1">
      <alignment horizontal="center" vertical="center" wrapText="1"/>
    </xf>
    <xf numFmtId="0" fontId="8" fillId="8" borderId="15" xfId="0" applyFont="1" applyFill="1" applyBorder="1" applyAlignment="1" applyProtection="1">
      <alignment horizontal="center" vertical="center" wrapText="1"/>
      <protection locked="0"/>
    </xf>
    <xf numFmtId="0" fontId="11" fillId="0" borderId="0" xfId="0" applyFont="1" applyProtection="1">
      <protection locked="0"/>
    </xf>
    <xf numFmtId="0" fontId="18" fillId="0" borderId="0" xfId="0" applyFont="1" applyAlignment="1" applyProtection="1">
      <alignment horizontal="center" vertical="center" wrapText="1"/>
      <protection locked="0"/>
    </xf>
    <xf numFmtId="0" fontId="19" fillId="9" borderId="11" xfId="1" applyFont="1" applyFill="1" applyBorder="1" applyAlignment="1" applyProtection="1">
      <alignment horizontal="center" vertical="center" wrapText="1"/>
      <protection locked="0"/>
    </xf>
    <xf numFmtId="0" fontId="20" fillId="0" borderId="0" xfId="0" applyFont="1" applyProtection="1">
      <protection locked="0"/>
    </xf>
    <xf numFmtId="0" fontId="12" fillId="0" borderId="0" xfId="0" applyFont="1" applyAlignment="1" applyProtection="1">
      <alignment horizontal="center" vertical="center" wrapText="1"/>
      <protection locked="0"/>
    </xf>
    <xf numFmtId="0" fontId="19" fillId="9" borderId="10" xfId="1" applyFont="1" applyFill="1" applyBorder="1" applyAlignment="1" applyProtection="1">
      <alignment horizontal="center" vertical="center" wrapText="1"/>
      <protection locked="0"/>
    </xf>
    <xf numFmtId="0" fontId="12" fillId="0" borderId="0" xfId="0" applyFont="1" applyAlignment="1" applyProtection="1">
      <alignment wrapText="1"/>
      <protection locked="0"/>
    </xf>
    <xf numFmtId="0" fontId="19" fillId="9" borderId="16" xfId="1" applyFont="1" applyFill="1" applyBorder="1" applyAlignment="1" applyProtection="1">
      <alignment horizontal="center" vertical="center" wrapText="1"/>
      <protection locked="0"/>
    </xf>
    <xf numFmtId="0" fontId="20" fillId="14" borderId="11" xfId="1" applyFont="1" applyFill="1" applyBorder="1" applyAlignment="1" applyProtection="1">
      <alignment horizontal="center" vertical="center" wrapText="1"/>
      <protection locked="0"/>
    </xf>
    <xf numFmtId="0" fontId="20" fillId="7" borderId="11" xfId="1" applyFont="1" applyFill="1" applyBorder="1" applyAlignment="1" applyProtection="1">
      <alignment horizontal="center" vertical="center" wrapText="1"/>
      <protection locked="0"/>
    </xf>
    <xf numFmtId="0" fontId="20" fillId="14" borderId="11" xfId="1" applyFont="1" applyFill="1" applyBorder="1" applyAlignment="1">
      <alignment horizontal="center" vertical="center" wrapText="1"/>
    </xf>
    <xf numFmtId="10" fontId="20" fillId="14" borderId="11" xfId="1" applyNumberFormat="1" applyFont="1" applyFill="1" applyBorder="1" applyAlignment="1">
      <alignment horizontal="center" vertical="center" wrapText="1"/>
    </xf>
    <xf numFmtId="10" fontId="20" fillId="14" borderId="13" xfId="1" applyNumberFormat="1" applyFont="1" applyFill="1" applyBorder="1" applyAlignment="1">
      <alignment horizontal="center" vertical="center" wrapText="1"/>
    </xf>
    <xf numFmtId="0" fontId="35" fillId="14" borderId="11" xfId="0" applyFont="1" applyFill="1" applyBorder="1" applyAlignment="1">
      <alignment horizontal="center" vertical="center" wrapText="1"/>
    </xf>
    <xf numFmtId="9" fontId="35" fillId="14" borderId="11" xfId="0" applyNumberFormat="1" applyFont="1" applyFill="1" applyBorder="1" applyAlignment="1">
      <alignment horizontal="center" vertical="center" wrapText="1"/>
    </xf>
    <xf numFmtId="9" fontId="20" fillId="14" borderId="11" xfId="1" applyNumberFormat="1" applyFont="1" applyFill="1" applyBorder="1" applyAlignment="1">
      <alignment horizontal="center" vertical="center" wrapText="1"/>
    </xf>
    <xf numFmtId="0" fontId="20" fillId="14" borderId="14" xfId="1" applyFont="1" applyFill="1" applyBorder="1" applyAlignment="1">
      <alignment horizontal="center" vertical="center" wrapText="1"/>
    </xf>
    <xf numFmtId="1" fontId="20" fillId="14" borderId="11" xfId="1" applyNumberFormat="1" applyFont="1" applyFill="1" applyBorder="1" applyAlignment="1">
      <alignment horizontal="center" vertical="center" wrapText="1"/>
    </xf>
    <xf numFmtId="165" fontId="20" fillId="14" borderId="11" xfId="1" applyNumberFormat="1" applyFont="1" applyFill="1" applyBorder="1" applyAlignment="1">
      <alignment horizontal="center" vertical="center" wrapText="1"/>
    </xf>
    <xf numFmtId="0" fontId="12" fillId="0" borderId="0" xfId="0" applyFont="1" applyProtection="1">
      <protection locked="0"/>
    </xf>
    <xf numFmtId="0" fontId="12" fillId="7" borderId="0" xfId="0" applyFont="1" applyFill="1" applyProtection="1">
      <protection locked="0"/>
    </xf>
    <xf numFmtId="0" fontId="12" fillId="0" borderId="0" xfId="0" applyFont="1" applyAlignment="1" applyProtection="1">
      <alignment horizontal="left"/>
      <protection locked="0"/>
    </xf>
    <xf numFmtId="0" fontId="32" fillId="12" borderId="21" xfId="3" applyFont="1" applyFill="1" applyBorder="1" applyAlignment="1" applyProtection="1">
      <alignment horizontal="center" vertical="center" wrapText="1"/>
      <protection locked="0"/>
    </xf>
    <xf numFmtId="0" fontId="0" fillId="11" borderId="0" xfId="0" applyFill="1"/>
    <xf numFmtId="14" fontId="5" fillId="4" borderId="1" xfId="0" applyNumberFormat="1" applyFont="1" applyFill="1" applyBorder="1" applyAlignment="1" applyProtection="1">
      <alignment vertical="center" wrapText="1"/>
      <protection locked="0"/>
    </xf>
    <xf numFmtId="14" fontId="5" fillId="16" borderId="1" xfId="0" applyNumberFormat="1" applyFont="1" applyFill="1" applyBorder="1" applyAlignment="1">
      <alignment vertical="center" wrapText="1"/>
    </xf>
    <xf numFmtId="14" fontId="5" fillId="16" borderId="1" xfId="0" applyNumberFormat="1" applyFont="1" applyFill="1" applyBorder="1" applyAlignment="1">
      <alignment horizontal="left" vertical="center" wrapText="1"/>
    </xf>
    <xf numFmtId="0" fontId="1" fillId="14" borderId="1" xfId="0" applyFont="1" applyFill="1" applyBorder="1" applyAlignment="1">
      <alignment vertical="center" wrapText="1"/>
    </xf>
    <xf numFmtId="0" fontId="1" fillId="14" borderId="1" xfId="0" applyFont="1" applyFill="1" applyBorder="1" applyAlignment="1">
      <alignment horizontal="center" vertical="center" wrapText="1"/>
    </xf>
    <xf numFmtId="10" fontId="33" fillId="14" borderId="1" xfId="0" applyNumberFormat="1" applyFont="1" applyFill="1" applyBorder="1" applyAlignment="1">
      <alignment horizontal="center" vertical="center" wrapText="1"/>
    </xf>
    <xf numFmtId="9" fontId="1" fillId="14" borderId="1" xfId="0" applyNumberFormat="1" applyFont="1" applyFill="1" applyBorder="1" applyAlignment="1">
      <alignment horizontal="center" vertical="center" wrapText="1"/>
    </xf>
    <xf numFmtId="9" fontId="9" fillId="6" borderId="9" xfId="2" applyFont="1" applyFill="1" applyBorder="1" applyAlignment="1" applyProtection="1">
      <alignment horizontal="center" vertical="center" wrapText="1"/>
      <protection locked="0"/>
    </xf>
    <xf numFmtId="9" fontId="9" fillId="14" borderId="9" xfId="2" applyFont="1" applyFill="1" applyBorder="1" applyAlignment="1" applyProtection="1">
      <alignment horizontal="center" vertical="center" wrapText="1"/>
    </xf>
    <xf numFmtId="0" fontId="20" fillId="7" borderId="11" xfId="1" applyFont="1" applyFill="1" applyBorder="1" applyAlignment="1">
      <alignment horizontal="left" vertical="center" wrapText="1"/>
    </xf>
    <xf numFmtId="0" fontId="36" fillId="2" borderId="22" xfId="4" applyFont="1" applyFill="1" applyBorder="1" applyAlignment="1" applyProtection="1">
      <alignment horizontal="center" vertical="center" wrapText="1"/>
      <protection locked="0"/>
    </xf>
    <xf numFmtId="0" fontId="36" fillId="2" borderId="23" xfId="4" applyFont="1" applyFill="1" applyBorder="1" applyAlignment="1" applyProtection="1">
      <alignment horizontal="center" vertical="center" wrapText="1"/>
      <protection locked="0"/>
    </xf>
    <xf numFmtId="0" fontId="36" fillId="2" borderId="24" xfId="4" applyFont="1" applyFill="1" applyBorder="1" applyAlignment="1" applyProtection="1">
      <alignment horizontal="center" vertical="center" wrapText="1"/>
      <protection locked="0"/>
    </xf>
    <xf numFmtId="0" fontId="36" fillId="2" borderId="25" xfId="4" applyFont="1" applyFill="1" applyBorder="1" applyAlignment="1" applyProtection="1">
      <alignment horizontal="center" vertical="center" wrapText="1"/>
      <protection locked="0"/>
    </xf>
    <xf numFmtId="0" fontId="25" fillId="0" borderId="0" xfId="4" applyProtection="1">
      <protection locked="0"/>
    </xf>
    <xf numFmtId="0" fontId="37" fillId="0" borderId="27" xfId="4" applyFont="1" applyBorder="1" applyAlignment="1" applyProtection="1">
      <alignment horizontal="center" vertical="center" wrapText="1"/>
      <protection locked="0"/>
    </xf>
    <xf numFmtId="164" fontId="25" fillId="0" borderId="30" xfId="4" applyNumberFormat="1" applyBorder="1" applyAlignment="1">
      <alignment horizontal="center" vertical="center"/>
    </xf>
    <xf numFmtId="0" fontId="25" fillId="0" borderId="31" xfId="4" applyBorder="1" applyProtection="1">
      <protection locked="0"/>
    </xf>
    <xf numFmtId="0" fontId="37" fillId="0" borderId="33" xfId="4" applyFont="1" applyBorder="1" applyAlignment="1" applyProtection="1">
      <alignment horizontal="center" vertical="center" wrapText="1"/>
      <protection locked="0"/>
    </xf>
    <xf numFmtId="164" fontId="25" fillId="0" borderId="36" xfId="4" applyNumberFormat="1" applyBorder="1" applyAlignment="1">
      <alignment horizontal="center" vertical="center"/>
    </xf>
    <xf numFmtId="0" fontId="25" fillId="0" borderId="37" xfId="4" applyBorder="1" applyProtection="1">
      <protection locked="0"/>
    </xf>
    <xf numFmtId="0" fontId="37" fillId="0" borderId="39" xfId="4" applyFont="1" applyBorder="1" applyAlignment="1" applyProtection="1">
      <alignment horizontal="center" vertical="center" wrapText="1"/>
      <protection locked="0"/>
    </xf>
    <xf numFmtId="164" fontId="25" fillId="0" borderId="42" xfId="4" applyNumberFormat="1" applyBorder="1" applyAlignment="1">
      <alignment horizontal="center" vertical="center"/>
    </xf>
    <xf numFmtId="0" fontId="25" fillId="0" borderId="43" xfId="4" applyBorder="1" applyProtection="1">
      <protection locked="0"/>
    </xf>
    <xf numFmtId="0" fontId="37" fillId="0" borderId="27" xfId="4" applyFont="1" applyBorder="1" applyAlignment="1" applyProtection="1">
      <alignment vertical="center" wrapText="1"/>
      <protection locked="0"/>
    </xf>
    <xf numFmtId="9" fontId="42" fillId="0" borderId="27" xfId="4" applyNumberFormat="1" applyFont="1" applyBorder="1" applyAlignment="1" applyProtection="1">
      <alignment horizontal="center" vertical="center" wrapText="1"/>
      <protection locked="0"/>
    </xf>
    <xf numFmtId="0" fontId="38" fillId="0" borderId="27" xfId="4" applyFont="1" applyBorder="1" applyAlignment="1" applyProtection="1">
      <alignment vertical="center" wrapText="1"/>
      <protection locked="0"/>
    </xf>
    <xf numFmtId="9" fontId="41" fillId="0" borderId="27" xfId="5" applyFont="1" applyBorder="1" applyAlignment="1" applyProtection="1">
      <alignment horizontal="center" vertical="center" wrapText="1"/>
      <protection locked="0"/>
    </xf>
    <xf numFmtId="164" fontId="25" fillId="0" borderId="49" xfId="4" applyNumberFormat="1" applyBorder="1" applyAlignment="1" applyProtection="1">
      <alignment horizontal="center" vertical="center" indent="1"/>
      <protection locked="0"/>
    </xf>
    <xf numFmtId="0" fontId="37" fillId="0" borderId="39" xfId="4" applyFont="1" applyBorder="1" applyAlignment="1" applyProtection="1">
      <alignment vertical="center" wrapText="1"/>
      <protection locked="0"/>
    </xf>
    <xf numFmtId="9" fontId="42" fillId="0" borderId="39" xfId="4" applyNumberFormat="1" applyFont="1" applyBorder="1" applyAlignment="1" applyProtection="1">
      <alignment horizontal="center" vertical="center" wrapText="1"/>
      <protection locked="0"/>
    </xf>
    <xf numFmtId="0" fontId="38" fillId="0" borderId="39" xfId="4" applyFont="1" applyBorder="1" applyAlignment="1" applyProtection="1">
      <alignment vertical="center" wrapText="1"/>
      <protection locked="0"/>
    </xf>
    <xf numFmtId="9" fontId="41" fillId="0" borderId="39" xfId="5" applyFont="1" applyBorder="1" applyAlignment="1" applyProtection="1">
      <alignment horizontal="center" vertical="center" wrapText="1"/>
      <protection locked="0"/>
    </xf>
    <xf numFmtId="164" fontId="25" fillId="0" borderId="50" xfId="4" applyNumberFormat="1" applyBorder="1" applyAlignment="1" applyProtection="1">
      <alignment horizontal="center" vertical="center" indent="1"/>
      <protection locked="0"/>
    </xf>
    <xf numFmtId="0" fontId="37" fillId="7" borderId="51" xfId="4" applyFont="1" applyFill="1" applyBorder="1" applyAlignment="1" applyProtection="1">
      <alignment horizontal="center" vertical="center" wrapText="1"/>
      <protection locked="0"/>
    </xf>
    <xf numFmtId="0" fontId="37" fillId="0" borderId="52" xfId="4" applyFont="1" applyBorder="1" applyAlignment="1" applyProtection="1">
      <alignment horizontal="center" vertical="center" wrapText="1"/>
      <protection locked="0"/>
    </xf>
    <xf numFmtId="0" fontId="37" fillId="0" borderId="52" xfId="4" applyFont="1" applyBorder="1" applyAlignment="1" applyProtection="1">
      <alignment vertical="center" wrapText="1"/>
      <protection locked="0"/>
    </xf>
    <xf numFmtId="0" fontId="42" fillId="0" borderId="52" xfId="4" quotePrefix="1" applyFont="1" applyBorder="1" applyAlignment="1" applyProtection="1">
      <alignment horizontal="center" vertical="center" wrapText="1"/>
      <protection locked="0"/>
    </xf>
    <xf numFmtId="0" fontId="38" fillId="0" borderId="52" xfId="4" applyFont="1" applyBorder="1" applyAlignment="1" applyProtection="1">
      <alignment vertical="center" wrapText="1"/>
      <protection locked="0"/>
    </xf>
    <xf numFmtId="9" fontId="41" fillId="17" borderId="52" xfId="5" applyFont="1" applyFill="1" applyBorder="1" applyAlignment="1" applyProtection="1">
      <alignment horizontal="center" vertical="center" wrapText="1"/>
      <protection locked="0"/>
    </xf>
    <xf numFmtId="164" fontId="25" fillId="0" borderId="53" xfId="4" applyNumberFormat="1" applyBorder="1" applyAlignment="1" applyProtection="1">
      <alignment horizontal="center" vertical="center" indent="1"/>
      <protection locked="0"/>
    </xf>
    <xf numFmtId="164" fontId="25" fillId="0" borderId="54" xfId="4" applyNumberFormat="1" applyBorder="1" applyAlignment="1">
      <alignment horizontal="center" vertical="center"/>
    </xf>
    <xf numFmtId="0" fontId="25" fillId="0" borderId="55" xfId="4" applyBorder="1" applyProtection="1">
      <protection locked="0"/>
    </xf>
    <xf numFmtId="0" fontId="37" fillId="0" borderId="0" xfId="4" applyFont="1" applyAlignment="1" applyProtection="1">
      <alignment horizontal="center" vertical="center" wrapText="1"/>
      <protection locked="0"/>
    </xf>
    <xf numFmtId="0" fontId="37" fillId="0" borderId="0" xfId="4" applyFont="1" applyAlignment="1" applyProtection="1">
      <alignment vertical="center" wrapText="1"/>
      <protection locked="0"/>
    </xf>
    <xf numFmtId="9" fontId="42" fillId="0" borderId="0" xfId="4" applyNumberFormat="1" applyFont="1" applyAlignment="1" applyProtection="1">
      <alignment horizontal="center" vertical="center" wrapText="1"/>
      <protection locked="0"/>
    </xf>
    <xf numFmtId="0" fontId="38" fillId="0" borderId="16" xfId="4" applyFont="1" applyBorder="1" applyAlignment="1" applyProtection="1">
      <alignment horizontal="center" vertical="center" wrapText="1"/>
      <protection locked="0"/>
    </xf>
    <xf numFmtId="9" fontId="41" fillId="0" borderId="16" xfId="5" applyFont="1" applyBorder="1" applyAlignment="1" applyProtection="1">
      <alignment horizontal="center" vertical="center" wrapText="1"/>
      <protection locked="0"/>
    </xf>
    <xf numFmtId="9" fontId="41" fillId="0" borderId="0" xfId="5" applyFont="1" applyBorder="1" applyAlignment="1" applyProtection="1">
      <alignment horizontal="center" vertical="center" wrapText="1"/>
      <protection locked="0"/>
    </xf>
    <xf numFmtId="0" fontId="25" fillId="18" borderId="11" xfId="4" applyFill="1" applyBorder="1" applyAlignment="1" applyProtection="1">
      <alignment horizontal="center"/>
      <protection locked="0"/>
    </xf>
    <xf numFmtId="0" fontId="25" fillId="0" borderId="11" xfId="4" applyBorder="1" applyAlignment="1" applyProtection="1">
      <alignment horizontal="center"/>
      <protection locked="0"/>
    </xf>
    <xf numFmtId="0" fontId="25" fillId="0" borderId="0" xfId="4" applyAlignment="1" applyProtection="1">
      <alignment horizontal="center"/>
      <protection locked="0"/>
    </xf>
    <xf numFmtId="0" fontId="25" fillId="19" borderId="11" xfId="4" applyFill="1" applyBorder="1" applyAlignment="1" applyProtection="1">
      <alignment horizontal="center"/>
      <protection locked="0"/>
    </xf>
    <xf numFmtId="0" fontId="25" fillId="20" borderId="11" xfId="4" applyFill="1" applyBorder="1" applyAlignment="1" applyProtection="1">
      <alignment horizontal="center"/>
      <protection locked="0"/>
    </xf>
    <xf numFmtId="0" fontId="25" fillId="0" borderId="0" xfId="4" applyAlignment="1" applyProtection="1">
      <alignment horizontal="right"/>
      <protection locked="0"/>
    </xf>
    <xf numFmtId="0" fontId="25" fillId="0" borderId="0" xfId="4" quotePrefix="1" applyAlignment="1" applyProtection="1">
      <alignment horizontal="right"/>
      <protection locked="0"/>
    </xf>
    <xf numFmtId="0" fontId="37" fillId="7" borderId="26" xfId="4" applyFont="1" applyFill="1" applyBorder="1" applyAlignment="1" applyProtection="1">
      <alignment horizontal="center" vertical="center" wrapText="1"/>
      <protection locked="0"/>
    </xf>
    <xf numFmtId="0" fontId="37" fillId="7" borderId="32" xfId="4" applyFont="1" applyFill="1" applyBorder="1" applyAlignment="1" applyProtection="1">
      <alignment horizontal="center" vertical="center" wrapText="1"/>
      <protection locked="0"/>
    </xf>
    <xf numFmtId="0" fontId="37" fillId="7" borderId="38" xfId="4" applyFont="1" applyFill="1" applyBorder="1" applyAlignment="1" applyProtection="1">
      <alignment horizontal="center" vertical="center" wrapText="1"/>
      <protection locked="0"/>
    </xf>
    <xf numFmtId="0" fontId="37" fillId="0" borderId="27" xfId="4" applyFont="1" applyBorder="1" applyAlignment="1" applyProtection="1">
      <alignment horizontal="center" vertical="center" wrapText="1"/>
      <protection locked="0"/>
    </xf>
    <xf numFmtId="0" fontId="37" fillId="0" borderId="33" xfId="4" applyFont="1" applyBorder="1" applyAlignment="1" applyProtection="1">
      <alignment horizontal="center" vertical="center" wrapText="1"/>
      <protection locked="0"/>
    </xf>
    <xf numFmtId="0" fontId="37" fillId="0" borderId="39" xfId="4" applyFont="1" applyBorder="1" applyAlignment="1" applyProtection="1">
      <alignment horizontal="center" vertical="center" wrapText="1"/>
      <protection locked="0"/>
    </xf>
    <xf numFmtId="0" fontId="37" fillId="0" borderId="28" xfId="4" applyFont="1" applyBorder="1" applyAlignment="1" applyProtection="1">
      <alignment horizontal="center" vertical="center" wrapText="1"/>
      <protection locked="0"/>
    </xf>
    <xf numFmtId="0" fontId="37" fillId="0" borderId="34" xfId="4" applyFont="1" applyBorder="1" applyAlignment="1" applyProtection="1">
      <alignment horizontal="center" vertical="center" wrapText="1"/>
      <protection locked="0"/>
    </xf>
    <xf numFmtId="9" fontId="41" fillId="0" borderId="28" xfId="5" applyFont="1" applyBorder="1" applyAlignment="1" applyProtection="1">
      <alignment horizontal="center" vertical="center" wrapText="1"/>
      <protection locked="0"/>
    </xf>
    <xf numFmtId="9" fontId="41" fillId="0" borderId="34" xfId="5" applyFont="1" applyBorder="1" applyAlignment="1" applyProtection="1">
      <alignment horizontal="center" vertical="center" wrapText="1"/>
      <protection locked="0"/>
    </xf>
    <xf numFmtId="164" fontId="25" fillId="0" borderId="29" xfId="4" applyNumberFormat="1" applyBorder="1" applyAlignment="1" applyProtection="1">
      <alignment horizontal="center" vertical="center"/>
      <protection locked="0"/>
    </xf>
    <xf numFmtId="164" fontId="25" fillId="0" borderId="35" xfId="4" applyNumberFormat="1" applyBorder="1" applyAlignment="1" applyProtection="1">
      <alignment horizontal="center" vertical="center"/>
      <protection locked="0"/>
    </xf>
    <xf numFmtId="0" fontId="37" fillId="0" borderId="22" xfId="4" applyFont="1" applyBorder="1" applyAlignment="1" applyProtection="1">
      <alignment horizontal="center" vertical="center" wrapText="1"/>
      <protection locked="0"/>
    </xf>
    <xf numFmtId="0" fontId="37" fillId="0" borderId="40" xfId="4" applyFont="1" applyBorder="1" applyAlignment="1" applyProtection="1">
      <alignment horizontal="center" vertical="center" wrapText="1"/>
      <protection locked="0"/>
    </xf>
    <xf numFmtId="0" fontId="38" fillId="0" borderId="22" xfId="4" applyFont="1" applyBorder="1" applyAlignment="1" applyProtection="1">
      <alignment horizontal="center" vertical="center" wrapText="1"/>
      <protection locked="0"/>
    </xf>
    <xf numFmtId="0" fontId="38" fillId="0" borderId="40" xfId="4" applyFont="1" applyBorder="1" applyAlignment="1" applyProtection="1">
      <alignment horizontal="center" vertical="center" wrapText="1"/>
      <protection locked="0"/>
    </xf>
    <xf numFmtId="9" fontId="41" fillId="0" borderId="22" xfId="5" applyFont="1" applyBorder="1" applyAlignment="1" applyProtection="1">
      <alignment horizontal="center" vertical="center" wrapText="1"/>
      <protection locked="0"/>
    </xf>
    <xf numFmtId="9" fontId="41" fillId="0" borderId="40" xfId="5" applyFont="1" applyBorder="1" applyAlignment="1" applyProtection="1">
      <alignment horizontal="center" vertical="center" wrapText="1"/>
      <protection locked="0"/>
    </xf>
    <xf numFmtId="164" fontId="25" fillId="0" borderId="23" xfId="4" applyNumberFormat="1" applyBorder="1" applyAlignment="1" applyProtection="1">
      <alignment horizontal="center" vertical="center"/>
      <protection locked="0"/>
    </xf>
    <xf numFmtId="164" fontId="25" fillId="0" borderId="41" xfId="4" applyNumberFormat="1" applyBorder="1" applyAlignment="1" applyProtection="1">
      <alignment horizontal="center" vertical="center"/>
      <protection locked="0"/>
    </xf>
    <xf numFmtId="0" fontId="38" fillId="0" borderId="28" xfId="4" applyFont="1" applyBorder="1" applyAlignment="1" applyProtection="1">
      <alignment horizontal="center" vertical="center" wrapText="1"/>
      <protection locked="0"/>
    </xf>
    <xf numFmtId="0" fontId="38" fillId="0" borderId="34" xfId="4" applyFont="1" applyBorder="1" applyAlignment="1" applyProtection="1">
      <alignment horizontal="center" vertical="center" wrapText="1"/>
      <protection locked="0"/>
    </xf>
    <xf numFmtId="0" fontId="37" fillId="7" borderId="44" xfId="4" applyFont="1" applyFill="1" applyBorder="1" applyAlignment="1" applyProtection="1">
      <alignment horizontal="center" vertical="center" wrapText="1"/>
      <protection locked="0"/>
    </xf>
    <xf numFmtId="0" fontId="37" fillId="7" borderId="46" xfId="4" applyFont="1" applyFill="1" applyBorder="1" applyAlignment="1" applyProtection="1">
      <alignment horizontal="center" vertical="center" wrapText="1"/>
      <protection locked="0"/>
    </xf>
    <xf numFmtId="0" fontId="37" fillId="7" borderId="45" xfId="4" applyFont="1" applyFill="1" applyBorder="1" applyAlignment="1" applyProtection="1">
      <alignment horizontal="center" vertical="center" wrapText="1"/>
      <protection locked="0"/>
    </xf>
    <xf numFmtId="0" fontId="37" fillId="0" borderId="47" xfId="4" applyFont="1" applyBorder="1" applyAlignment="1" applyProtection="1">
      <alignment horizontal="center" vertical="center" wrapText="1"/>
      <protection locked="0"/>
    </xf>
    <xf numFmtId="9" fontId="42" fillId="0" borderId="28" xfId="4" applyNumberFormat="1" applyFont="1" applyBorder="1" applyAlignment="1" applyProtection="1">
      <alignment horizontal="center" vertical="center" wrapText="1"/>
      <protection locked="0"/>
    </xf>
    <xf numFmtId="9" fontId="42" fillId="0" borderId="47" xfId="4" applyNumberFormat="1" applyFont="1" applyBorder="1" applyAlignment="1" applyProtection="1">
      <alignment horizontal="center" vertical="center" wrapText="1"/>
      <protection locked="0"/>
    </xf>
    <xf numFmtId="9" fontId="42" fillId="0" borderId="40" xfId="4" applyNumberFormat="1" applyFont="1" applyBorder="1" applyAlignment="1" applyProtection="1">
      <alignment horizontal="center" vertical="center" wrapText="1"/>
      <protection locked="0"/>
    </xf>
    <xf numFmtId="0" fontId="38" fillId="0" borderId="47" xfId="4" applyFont="1" applyBorder="1" applyAlignment="1" applyProtection="1">
      <alignment horizontal="center" vertical="center" wrapText="1"/>
      <protection locked="0"/>
    </xf>
    <xf numFmtId="9" fontId="41" fillId="0" borderId="47" xfId="5" applyFont="1" applyBorder="1" applyAlignment="1" applyProtection="1">
      <alignment horizontal="center" vertical="center" wrapText="1"/>
      <protection locked="0"/>
    </xf>
    <xf numFmtId="164" fontId="25" fillId="0" borderId="48" xfId="4" applyNumberFormat="1" applyBorder="1" applyAlignment="1" applyProtection="1">
      <alignment horizontal="center" vertical="center"/>
      <protection locked="0"/>
    </xf>
    <xf numFmtId="0" fontId="2" fillId="2" borderId="1" xfId="0" applyFont="1" applyFill="1"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0" fontId="2" fillId="2" borderId="2" xfId="0" applyFont="1" applyFill="1" applyBorder="1" applyAlignment="1" applyProtection="1">
      <alignment horizontal="left" vertical="center" wrapText="1"/>
      <protection locked="0"/>
    </xf>
    <xf numFmtId="0" fontId="2" fillId="2" borderId="8" xfId="0" applyFont="1" applyFill="1" applyBorder="1" applyAlignment="1" applyProtection="1">
      <alignment horizontal="left" vertical="center" wrapText="1"/>
      <protection locked="0"/>
    </xf>
    <xf numFmtId="0" fontId="2" fillId="2" borderId="5" xfId="0" applyFont="1" applyFill="1" applyBorder="1" applyAlignment="1" applyProtection="1">
      <alignment horizontal="left" vertical="center" wrapText="1"/>
      <protection locked="0"/>
    </xf>
    <xf numFmtId="0" fontId="0" fillId="0" borderId="5" xfId="0" applyBorder="1" applyProtection="1">
      <protection locked="0"/>
    </xf>
    <xf numFmtId="0" fontId="0" fillId="0" borderId="2" xfId="0" applyBorder="1" applyProtection="1">
      <protection locked="0"/>
    </xf>
    <xf numFmtId="0" fontId="2" fillId="2" borderId="6" xfId="0" applyFont="1" applyFill="1" applyBorder="1" applyAlignment="1" applyProtection="1">
      <alignment horizontal="left" vertical="center" wrapText="1"/>
      <protection locked="0"/>
    </xf>
    <xf numFmtId="0" fontId="2" fillId="2" borderId="0" xfId="0" applyFont="1" applyFill="1" applyAlignment="1" applyProtection="1">
      <alignment horizontal="left" vertical="center" wrapText="1"/>
      <protection locked="0"/>
    </xf>
    <xf numFmtId="0" fontId="0" fillId="0" borderId="5" xfId="0" applyBorder="1" applyAlignment="1" applyProtection="1">
      <alignment vertical="center" wrapText="1"/>
      <protection locked="0"/>
    </xf>
    <xf numFmtId="0" fontId="5" fillId="4" borderId="2" xfId="0" applyFont="1" applyFill="1"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5" fillId="16" borderId="2" xfId="0" applyFont="1" applyFill="1" applyBorder="1" applyAlignment="1">
      <alignment vertical="center" wrapText="1"/>
    </xf>
    <xf numFmtId="0" fontId="0" fillId="16" borderId="2" xfId="0" applyFill="1" applyBorder="1" applyAlignment="1">
      <alignment vertical="center" wrapText="1"/>
    </xf>
    <xf numFmtId="0" fontId="0" fillId="16" borderId="3" xfId="0" applyFill="1" applyBorder="1" applyAlignment="1">
      <alignment vertical="center" wrapText="1"/>
    </xf>
    <xf numFmtId="0" fontId="2" fillId="2" borderId="6" xfId="0" applyFont="1" applyFill="1" applyBorder="1" applyAlignment="1" applyProtection="1">
      <alignment horizontal="center" vertical="center" wrapText="1"/>
      <protection locked="0"/>
    </xf>
    <xf numFmtId="0" fontId="2" fillId="2" borderId="0" xfId="0" applyFont="1" applyFill="1" applyAlignment="1" applyProtection="1">
      <alignment horizontal="center" vertical="center" wrapText="1"/>
      <protection locked="0"/>
    </xf>
    <xf numFmtId="0" fontId="24" fillId="9" borderId="13" xfId="1" applyFont="1" applyFill="1" applyBorder="1" applyAlignment="1" applyProtection="1">
      <alignment horizontal="center" vertical="center" wrapText="1"/>
      <protection locked="0"/>
    </xf>
    <xf numFmtId="0" fontId="7" fillId="9" borderId="15" xfId="0" applyFont="1" applyFill="1" applyBorder="1" applyAlignment="1" applyProtection="1">
      <alignment horizontal="center" vertical="center" wrapText="1"/>
      <protection locked="0"/>
    </xf>
    <xf numFmtId="0" fontId="7" fillId="9" borderId="14" xfId="0" applyFont="1" applyFill="1" applyBorder="1" applyAlignment="1" applyProtection="1">
      <alignment horizontal="center" vertical="center" wrapText="1"/>
      <protection locked="0"/>
    </xf>
    <xf numFmtId="0" fontId="19" fillId="9" borderId="13" xfId="1" applyFont="1" applyFill="1" applyBorder="1" applyAlignment="1" applyProtection="1">
      <alignment horizontal="center" vertical="center" wrapText="1"/>
      <protection locked="0"/>
    </xf>
    <xf numFmtId="0" fontId="19" fillId="9" borderId="15" xfId="1" applyFont="1" applyFill="1" applyBorder="1" applyAlignment="1" applyProtection="1">
      <alignment horizontal="center" vertical="center" wrapText="1"/>
      <protection locked="0"/>
    </xf>
    <xf numFmtId="0" fontId="23" fillId="9" borderId="10" xfId="1" applyFont="1" applyFill="1" applyBorder="1" applyAlignment="1" applyProtection="1">
      <alignment horizontal="center" vertical="center" wrapText="1"/>
      <protection locked="0"/>
    </xf>
    <xf numFmtId="0" fontId="23" fillId="9" borderId="12" xfId="1" applyFont="1" applyFill="1" applyBorder="1" applyAlignment="1" applyProtection="1">
      <alignment horizontal="center" vertical="center" wrapText="1"/>
      <protection locked="0"/>
    </xf>
    <xf numFmtId="0" fontId="23" fillId="9" borderId="16" xfId="1" applyFont="1" applyFill="1" applyBorder="1" applyAlignment="1" applyProtection="1">
      <alignment horizontal="center" vertical="center" wrapText="1"/>
      <protection locked="0"/>
    </xf>
    <xf numFmtId="0" fontId="19" fillId="9" borderId="10" xfId="1" applyFont="1" applyFill="1" applyBorder="1" applyAlignment="1" applyProtection="1">
      <alignment horizontal="center" vertical="center" wrapText="1"/>
      <protection locked="0"/>
    </xf>
    <xf numFmtId="0" fontId="0" fillId="9" borderId="16" xfId="0" applyFill="1" applyBorder="1" applyAlignment="1" applyProtection="1">
      <alignment horizontal="center" vertical="center" wrapText="1"/>
      <protection locked="0"/>
    </xf>
    <xf numFmtId="0" fontId="0" fillId="9" borderId="14" xfId="0" applyFill="1" applyBorder="1" applyAlignment="1" applyProtection="1">
      <alignment horizontal="center" vertical="center" wrapText="1"/>
      <protection locked="0"/>
    </xf>
    <xf numFmtId="0" fontId="0" fillId="9" borderId="15" xfId="0"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9" fillId="9" borderId="11" xfId="1" applyFont="1" applyFill="1" applyBorder="1" applyAlignment="1" applyProtection="1">
      <alignment horizontal="center" vertical="center" wrapText="1"/>
      <protection locked="0"/>
    </xf>
    <xf numFmtId="0" fontId="24" fillId="9" borderId="15" xfId="1" applyFont="1" applyFill="1" applyBorder="1" applyAlignment="1" applyProtection="1">
      <alignment horizontal="center" vertical="center" wrapText="1"/>
      <protection locked="0"/>
    </xf>
    <xf numFmtId="0" fontId="24" fillId="9" borderId="14" xfId="1" applyFont="1" applyFill="1" applyBorder="1" applyAlignment="1" applyProtection="1">
      <alignment horizontal="center" vertical="center" wrapText="1"/>
      <protection locked="0"/>
    </xf>
    <xf numFmtId="0" fontId="0" fillId="9" borderId="12" xfId="0" applyFill="1" applyBorder="1" applyAlignment="1" applyProtection="1">
      <alignment horizontal="center" vertical="center" wrapText="1"/>
      <protection locked="0"/>
    </xf>
    <xf numFmtId="0" fontId="23" fillId="9" borderId="11" xfId="1" applyFont="1"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15" fillId="8" borderId="13" xfId="1" applyFont="1" applyFill="1" applyBorder="1" applyAlignment="1" applyProtection="1">
      <alignment horizontal="center" vertical="center" wrapText="1"/>
      <protection locked="0"/>
    </xf>
    <xf numFmtId="0" fontId="15" fillId="8" borderId="15" xfId="1" applyFont="1" applyFill="1" applyBorder="1" applyAlignment="1" applyProtection="1">
      <alignment horizontal="center" vertical="center" wrapText="1"/>
      <protection locked="0"/>
    </xf>
    <xf numFmtId="0" fontId="15" fillId="8" borderId="11" xfId="1" applyFont="1" applyFill="1" applyBorder="1" applyAlignment="1" applyProtection="1">
      <alignment horizontal="center" vertical="center" wrapText="1"/>
      <protection locked="0"/>
    </xf>
    <xf numFmtId="0" fontId="15" fillId="8" borderId="13" xfId="0" applyFont="1" applyFill="1" applyBorder="1" applyAlignment="1" applyProtection="1">
      <alignment horizontal="center" vertical="center" wrapText="1"/>
      <protection locked="0"/>
    </xf>
    <xf numFmtId="0" fontId="16" fillId="8" borderId="15" xfId="0" applyFont="1" applyFill="1" applyBorder="1" applyAlignment="1" applyProtection="1">
      <alignment horizontal="center" vertical="center" wrapText="1"/>
      <protection locked="0"/>
    </xf>
    <xf numFmtId="0" fontId="17" fillId="8" borderId="11" xfId="0" applyFont="1" applyFill="1" applyBorder="1" applyAlignment="1" applyProtection="1">
      <alignment horizontal="center" vertical="center" wrapText="1"/>
      <protection locked="0"/>
    </xf>
    <xf numFmtId="0" fontId="14" fillId="8" borderId="13" xfId="0" applyFont="1" applyFill="1" applyBorder="1" applyAlignment="1" applyProtection="1">
      <alignment horizontal="center" vertical="center" wrapText="1"/>
      <protection locked="0"/>
    </xf>
    <xf numFmtId="0" fontId="8" fillId="8" borderId="15" xfId="0" applyFont="1" applyFill="1" applyBorder="1" applyAlignment="1" applyProtection="1">
      <alignment horizontal="center" vertical="center" wrapText="1"/>
      <protection locked="0"/>
    </xf>
    <xf numFmtId="0" fontId="8" fillId="8" borderId="14" xfId="0" applyFont="1" applyFill="1" applyBorder="1" applyAlignment="1" applyProtection="1">
      <alignment horizontal="center" vertical="center" wrapText="1"/>
      <protection locked="0"/>
    </xf>
    <xf numFmtId="0" fontId="17" fillId="8" borderId="15" xfId="0" applyFont="1" applyFill="1" applyBorder="1" applyAlignment="1" applyProtection="1">
      <alignment horizontal="center" vertical="center" wrapText="1"/>
      <protection locked="0"/>
    </xf>
    <xf numFmtId="0" fontId="0" fillId="9" borderId="12" xfId="0" applyFill="1" applyBorder="1" applyAlignment="1" applyProtection="1">
      <alignment vertical="center" wrapText="1"/>
      <protection locked="0"/>
    </xf>
    <xf numFmtId="0" fontId="0" fillId="9" borderId="16" xfId="0" applyFill="1" applyBorder="1" applyAlignment="1" applyProtection="1">
      <alignment vertical="center" wrapText="1"/>
      <protection locked="0"/>
    </xf>
    <xf numFmtId="0" fontId="23" fillId="9" borderId="17" xfId="1"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0" fillId="0" borderId="11" xfId="0" applyFont="1" applyBorder="1" applyAlignment="1">
      <alignment horizontal="center" vertical="center"/>
    </xf>
    <xf numFmtId="0" fontId="14" fillId="8" borderId="13" xfId="0" applyFont="1" applyFill="1" applyBorder="1" applyAlignment="1">
      <alignment horizontal="center" vertical="center" wrapText="1"/>
    </xf>
    <xf numFmtId="0" fontId="8" fillId="8" borderId="15"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23" fillId="9" borderId="10" xfId="1" applyFont="1" applyFill="1" applyBorder="1" applyAlignment="1">
      <alignment horizontal="center" vertical="center" wrapText="1"/>
    </xf>
    <xf numFmtId="0" fontId="0" fillId="9" borderId="12" xfId="0" applyFill="1" applyBorder="1" applyAlignment="1">
      <alignment vertical="center" wrapText="1"/>
    </xf>
  </cellXfs>
  <cellStyles count="6">
    <cellStyle name="Normal" xfId="0" builtinId="0"/>
    <cellStyle name="Normal 2" xfId="1" xr:uid="{FEC79D52-73BE-409B-B017-7A87C3C577CB}"/>
    <cellStyle name="Normal 3" xfId="3" xr:uid="{434403B4-EC16-4B0A-9F11-86E5D4A0A71B}"/>
    <cellStyle name="Normal 3 2" xfId="4" xr:uid="{0AA4662D-DD6A-4EB5-8257-1B456A321ADB}"/>
    <cellStyle name="Percent" xfId="2" builtinId="5"/>
    <cellStyle name="Percent 2" xfId="5" xr:uid="{ADAD1EE3-1004-4594-BE50-C818C6BE129F}"/>
  </cellStyles>
  <dxfs count="35">
    <dxf>
      <font>
        <b/>
        <i val="0"/>
        <condense val="0"/>
        <extend val="0"/>
      </font>
      <fill>
        <patternFill>
          <bgColor indexed="22"/>
        </patternFill>
      </fill>
    </dxf>
    <dxf>
      <font>
        <b/>
        <i val="0"/>
        <color theme="0"/>
      </font>
      <fill>
        <patternFill>
          <bgColor rgb="FF00783F"/>
        </patternFill>
      </fill>
    </dxf>
    <dxf>
      <font>
        <b/>
        <i val="0"/>
        <condense val="0"/>
        <extend val="0"/>
      </font>
      <fill>
        <patternFill>
          <bgColor rgb="FFFFDA00"/>
        </patternFill>
      </fill>
    </dxf>
    <dxf>
      <font>
        <color auto="1"/>
      </font>
      <fill>
        <patternFill patternType="none">
          <bgColor auto="1"/>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FFC000"/>
        </patternFill>
      </fill>
    </dxf>
    <dxf>
      <font>
        <color auto="1"/>
      </font>
      <fill>
        <patternFill>
          <bgColor rgb="FF00B050"/>
        </patternFill>
      </fill>
    </dxf>
    <dxf>
      <font>
        <color auto="1"/>
      </font>
      <fill>
        <patternFill>
          <bgColor rgb="FF00B050"/>
        </patternFill>
      </fill>
    </dxf>
    <dxf>
      <font>
        <color theme="0"/>
      </font>
      <fill>
        <patternFill>
          <bgColor rgb="FFFF0000"/>
        </patternFill>
      </fill>
    </dxf>
    <dxf>
      <font>
        <color auto="1"/>
      </font>
      <fill>
        <patternFill>
          <bgColor rgb="FFFFC000"/>
        </patternFill>
      </fill>
    </dxf>
    <dxf>
      <fill>
        <patternFill>
          <bgColor rgb="FF00B050"/>
        </patternFill>
      </fill>
    </dxf>
    <dxf>
      <fill>
        <patternFill>
          <bgColor rgb="FFFFC000"/>
        </patternFill>
      </fill>
    </dxf>
    <dxf>
      <font>
        <color theme="0"/>
      </font>
      <fill>
        <patternFill>
          <bgColor rgb="FFFF0000"/>
        </patternFill>
      </fill>
    </dxf>
    <dxf>
      <font>
        <color theme="0"/>
      </font>
      <fill>
        <patternFill>
          <bgColor rgb="FFFF0000"/>
        </patternFill>
      </fill>
    </dxf>
    <dxf>
      <fill>
        <patternFill>
          <bgColor rgb="FFFFC000"/>
        </patternFill>
      </fill>
    </dxf>
    <dxf>
      <font>
        <color auto="1"/>
      </font>
      <fill>
        <patternFill>
          <bgColor rgb="FF00B050"/>
        </patternFill>
      </fill>
    </dxf>
    <dxf>
      <fill>
        <patternFill>
          <bgColor rgb="FFFFC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bgColor rgb="FFFFC000"/>
        </patternFill>
      </fill>
    </dxf>
    <dxf>
      <font>
        <color auto="1"/>
      </font>
      <fill>
        <patternFill>
          <bgColor rgb="FF00B050"/>
        </patternFill>
      </fill>
    </dxf>
    <dxf>
      <font>
        <color theme="0"/>
      </font>
      <fill>
        <patternFill>
          <bgColor rgb="FFFF0000"/>
        </patternFill>
      </fill>
    </dxf>
    <dxf>
      <font>
        <color auto="1"/>
      </font>
      <fill>
        <patternFill>
          <bgColor rgb="FF00B050"/>
        </patternFill>
      </fill>
    </dxf>
    <dxf>
      <font>
        <color auto="1"/>
      </font>
      <fill>
        <patternFill>
          <bgColor rgb="FFFFC000"/>
        </patternFill>
      </fill>
    </dxf>
    <dxf>
      <font>
        <color auto="1"/>
      </font>
      <fill>
        <patternFill>
          <bgColor rgb="FF00B050"/>
        </patternFill>
      </fill>
    </dxf>
    <dxf>
      <font>
        <color auto="1"/>
      </font>
      <fill>
        <patternFill>
          <bgColor rgb="FFFFC000"/>
        </patternFill>
      </fill>
    </dxf>
    <dxf>
      <font>
        <color theme="0"/>
      </font>
      <fill>
        <patternFill>
          <bgColor rgb="FFFF0000"/>
        </patternFill>
      </fill>
    </dxf>
    <dxf>
      <font>
        <color theme="0"/>
      </font>
      <fill>
        <patternFill>
          <bgColor rgb="FFFF0000"/>
        </patternFill>
      </fill>
    </dxf>
    <dxf>
      <fill>
        <patternFill>
          <bgColor rgb="FFFFC000"/>
        </patternFill>
      </fill>
    </dxf>
    <dxf>
      <fill>
        <patternFill>
          <bgColor rgb="FF00B050"/>
        </patternFill>
      </fill>
    </dxf>
    <dxf>
      <font>
        <color auto="1"/>
      </font>
      <fill>
        <patternFill patternType="none">
          <bgColor auto="1"/>
        </patternFill>
      </fill>
    </dxf>
    <dxf>
      <font>
        <color auto="1"/>
      </font>
      <fill>
        <patternFill>
          <bgColor rgb="FF00B050"/>
        </patternFill>
      </fill>
    </dxf>
  </dxfs>
  <tableStyles count="0" defaultTableStyle="TableStyleMedium2" defaultPivotStyle="PivotStyleLight16"/>
  <colors>
    <mruColors>
      <color rgb="FF009A46"/>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312965</xdr:colOff>
      <xdr:row>0</xdr:row>
      <xdr:rowOff>114300</xdr:rowOff>
    </xdr:from>
    <xdr:ext cx="805491" cy="781595"/>
    <xdr:pic>
      <xdr:nvPicPr>
        <xdr:cNvPr id="2" name="Picture 1">
          <a:extLst>
            <a:ext uri="{FF2B5EF4-FFF2-40B4-BE49-F238E27FC236}">
              <a16:creationId xmlns:a16="http://schemas.microsoft.com/office/drawing/2014/main" id="{34827194-D36C-4B7B-9B34-64874C3D69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6140" y="114300"/>
          <a:ext cx="805491" cy="78159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312965</xdr:colOff>
      <xdr:row>0</xdr:row>
      <xdr:rowOff>114300</xdr:rowOff>
    </xdr:from>
    <xdr:to>
      <xdr:col>1</xdr:col>
      <xdr:colOff>621568</xdr:colOff>
      <xdr:row>0</xdr:row>
      <xdr:rowOff>895895</xdr:rowOff>
    </xdr:to>
    <xdr:pic>
      <xdr:nvPicPr>
        <xdr:cNvPr id="2" name="Picture 1">
          <a:extLst>
            <a:ext uri="{FF2B5EF4-FFF2-40B4-BE49-F238E27FC236}">
              <a16:creationId xmlns:a16="http://schemas.microsoft.com/office/drawing/2014/main" id="{25D25E9C-EAEB-4CC5-8C3E-5A58A76535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6140" y="114300"/>
          <a:ext cx="797553" cy="7815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F2E0F-F3CA-4425-9AF7-C778F0FF52DD}">
  <dimension ref="A1:X71"/>
  <sheetViews>
    <sheetView showGridLines="0" tabSelected="1" topLeftCell="A9" zoomScale="85" zoomScaleNormal="85" workbookViewId="0">
      <selection activeCell="C30" sqref="C30"/>
    </sheetView>
  </sheetViews>
  <sheetFormatPr baseColWidth="10" defaultColWidth="8.5" defaultRowHeight="15"/>
  <cols>
    <col min="1" max="1" width="26.5" style="27" bestFit="1" customWidth="1"/>
    <col min="2" max="2" width="31.5" style="27" customWidth="1"/>
    <col min="3" max="3" width="32.5" style="27" customWidth="1"/>
    <col min="4" max="4" width="21.5" style="27" customWidth="1"/>
    <col min="5" max="5" width="24.83203125" style="27" customWidth="1"/>
    <col min="6" max="6" width="22.5" style="27" customWidth="1"/>
    <col min="7" max="7" width="22" style="27" customWidth="1"/>
    <col min="8" max="8" width="21.83203125" style="27" customWidth="1"/>
    <col min="9" max="9" width="21" style="27" customWidth="1"/>
    <col min="10" max="11" width="26.5" style="27" customWidth="1"/>
    <col min="12" max="13" width="8.5" style="27"/>
    <col min="14" max="14" width="9.5" style="27" bestFit="1" customWidth="1"/>
    <col min="15" max="15" width="6.5" style="27" bestFit="1" customWidth="1"/>
    <col min="16" max="16" width="8.5" style="27"/>
    <col min="17" max="17" width="8.1640625" style="27" bestFit="1" customWidth="1"/>
    <col min="18" max="19" width="8.5" style="27" bestFit="1" customWidth="1"/>
    <col min="20" max="20" width="8.1640625" style="27" bestFit="1" customWidth="1"/>
    <col min="21" max="22" width="8.5" style="27"/>
    <col min="23" max="23" width="10.5" style="27" bestFit="1" customWidth="1"/>
    <col min="24" max="24" width="8.5" style="27"/>
    <col min="25" max="25" width="8.5" style="27" bestFit="1" customWidth="1"/>
    <col min="26" max="27" width="9.5" style="27" bestFit="1" customWidth="1"/>
    <col min="28" max="28" width="7.83203125" style="27" bestFit="1" customWidth="1"/>
    <col min="29" max="29" width="8.5" style="27"/>
    <col min="30" max="30" width="8.1640625" style="27" bestFit="1" customWidth="1"/>
    <col min="31" max="31" width="12.1640625" style="27" bestFit="1" customWidth="1"/>
    <col min="32" max="32" width="9.5" style="27" bestFit="1" customWidth="1"/>
    <col min="33" max="33" width="11.5" style="27" bestFit="1" customWidth="1"/>
    <col min="34" max="35" width="8.5" style="27"/>
    <col min="36" max="36" width="11.5" style="27" bestFit="1" customWidth="1"/>
    <col min="37" max="37" width="8.5" style="27"/>
    <col min="38" max="38" width="11.5" style="27" bestFit="1" customWidth="1"/>
    <col min="39" max="40" width="12.5" style="27" bestFit="1" customWidth="1"/>
    <col min="41" max="41" width="8.5" style="27"/>
    <col min="42" max="42" width="10.5" style="27" bestFit="1" customWidth="1"/>
    <col min="43" max="16384" width="8.5" style="27"/>
  </cols>
  <sheetData>
    <row r="1" spans="1:13" ht="16" thickBot="1">
      <c r="A1" s="174" t="s">
        <v>0</v>
      </c>
      <c r="B1" s="177"/>
      <c r="C1" s="177"/>
      <c r="D1" s="177"/>
      <c r="E1" s="177"/>
      <c r="F1" s="177"/>
    </row>
    <row r="2" spans="1:13" ht="16" thickBot="1">
      <c r="A2" s="28" t="s">
        <v>1</v>
      </c>
      <c r="B2" s="185"/>
      <c r="C2" s="186"/>
      <c r="D2" s="187"/>
      <c r="E2" s="28" t="s">
        <v>2</v>
      </c>
      <c r="F2" s="86" t="s">
        <v>287</v>
      </c>
    </row>
    <row r="3" spans="1:13" ht="16" thickBot="1">
      <c r="A3" s="28" t="s">
        <v>80</v>
      </c>
      <c r="B3" s="185" t="s">
        <v>168</v>
      </c>
      <c r="C3" s="186"/>
      <c r="D3" s="187"/>
      <c r="E3" s="28" t="s">
        <v>3</v>
      </c>
      <c r="F3" s="30">
        <v>110</v>
      </c>
    </row>
    <row r="4" spans="1:13" ht="16" thickBot="1">
      <c r="A4" s="28" t="s">
        <v>4</v>
      </c>
      <c r="B4" s="29" t="s">
        <v>180</v>
      </c>
      <c r="C4" s="28" t="s">
        <v>5</v>
      </c>
      <c r="D4" s="29" t="s">
        <v>6</v>
      </c>
      <c r="E4" s="28" t="s">
        <v>7</v>
      </c>
      <c r="F4" s="30" t="s">
        <v>8</v>
      </c>
    </row>
    <row r="5" spans="1:13" ht="15.75" customHeight="1" thickBot="1">
      <c r="A5" s="178" t="s">
        <v>9</v>
      </c>
      <c r="B5" s="179"/>
      <c r="C5" s="179"/>
      <c r="D5" s="179"/>
      <c r="E5" s="179"/>
      <c r="F5" s="179"/>
      <c r="G5" s="180"/>
    </row>
    <row r="6" spans="1:13" ht="33" customHeight="1" thickBot="1">
      <c r="A6" s="14"/>
      <c r="B6" s="21" t="s">
        <v>153</v>
      </c>
      <c r="C6" s="14" t="s">
        <v>11</v>
      </c>
      <c r="D6" s="14" t="s">
        <v>12</v>
      </c>
      <c r="E6" s="14" t="s">
        <v>13</v>
      </c>
      <c r="F6" s="14" t="s">
        <v>14</v>
      </c>
      <c r="G6" s="22" t="s">
        <v>154</v>
      </c>
      <c r="H6" s="14" t="s">
        <v>155</v>
      </c>
    </row>
    <row r="7" spans="1:13" ht="16" thickBot="1">
      <c r="A7" s="30" t="s">
        <v>16</v>
      </c>
      <c r="B7" s="54">
        <f>SUM(C7:F7)</f>
        <v>1</v>
      </c>
      <c r="C7" s="20">
        <v>0</v>
      </c>
      <c r="D7" s="20">
        <v>1</v>
      </c>
      <c r="E7" s="20">
        <v>0</v>
      </c>
      <c r="F7" s="20">
        <v>0</v>
      </c>
      <c r="G7" s="55">
        <f>IFERROR((C7+D7)/B7, "0")</f>
        <v>1</v>
      </c>
      <c r="H7" s="15"/>
    </row>
    <row r="8" spans="1:13" ht="16" thickBot="1">
      <c r="A8" s="32" t="s">
        <v>17</v>
      </c>
      <c r="B8" s="54">
        <f t="shared" ref="B8:B14" si="0">SUM(C8:F8)</f>
        <v>3</v>
      </c>
      <c r="C8" s="33">
        <v>2</v>
      </c>
      <c r="D8" s="33">
        <v>1</v>
      </c>
      <c r="E8" s="33">
        <v>0</v>
      </c>
      <c r="F8" s="33">
        <v>0</v>
      </c>
      <c r="G8" s="55">
        <f t="shared" ref="G8:G14" si="1">IFERROR((C8+D8)/B8, "0")</f>
        <v>1</v>
      </c>
      <c r="H8" s="16"/>
    </row>
    <row r="9" spans="1:13" ht="16" thickBot="1">
      <c r="A9" s="30" t="s">
        <v>18</v>
      </c>
      <c r="B9" s="54">
        <f t="shared" si="0"/>
        <v>11</v>
      </c>
      <c r="C9" s="20">
        <v>3</v>
      </c>
      <c r="D9" s="20">
        <v>8</v>
      </c>
      <c r="E9" s="20">
        <v>0</v>
      </c>
      <c r="F9" s="20">
        <v>0</v>
      </c>
      <c r="G9" s="55">
        <f t="shared" si="1"/>
        <v>1</v>
      </c>
      <c r="H9" s="15"/>
    </row>
    <row r="10" spans="1:13" ht="16" thickBot="1">
      <c r="A10" s="32" t="s">
        <v>19</v>
      </c>
      <c r="B10" s="54">
        <f t="shared" si="0"/>
        <v>71</v>
      </c>
      <c r="C10" s="33">
        <v>13</v>
      </c>
      <c r="D10" s="33">
        <v>46</v>
      </c>
      <c r="E10" s="33">
        <v>9</v>
      </c>
      <c r="F10" s="33">
        <v>3</v>
      </c>
      <c r="G10" s="55">
        <f t="shared" si="1"/>
        <v>0.83098591549295775</v>
      </c>
      <c r="H10" s="16"/>
    </row>
    <row r="11" spans="1:13" ht="16" thickBot="1">
      <c r="A11" s="30" t="s">
        <v>20</v>
      </c>
      <c r="B11" s="54">
        <f t="shared" si="0"/>
        <v>55</v>
      </c>
      <c r="C11" s="20">
        <v>4</v>
      </c>
      <c r="D11" s="20">
        <v>50</v>
      </c>
      <c r="E11" s="20">
        <v>1</v>
      </c>
      <c r="F11" s="20">
        <v>0</v>
      </c>
      <c r="G11" s="55">
        <f t="shared" si="1"/>
        <v>0.98181818181818181</v>
      </c>
      <c r="H11" s="15"/>
    </row>
    <row r="12" spans="1:13" ht="16" thickBot="1">
      <c r="A12" s="32" t="s">
        <v>21</v>
      </c>
      <c r="B12" s="54">
        <f t="shared" si="0"/>
        <v>171</v>
      </c>
      <c r="C12" s="33">
        <v>1</v>
      </c>
      <c r="D12" s="33">
        <v>120</v>
      </c>
      <c r="E12" s="33">
        <v>43</v>
      </c>
      <c r="F12" s="33">
        <v>7</v>
      </c>
      <c r="G12" s="55">
        <f t="shared" si="1"/>
        <v>0.70760233918128657</v>
      </c>
      <c r="H12" s="16"/>
    </row>
    <row r="13" spans="1:13" ht="16" thickBot="1">
      <c r="A13" s="30" t="s">
        <v>22</v>
      </c>
      <c r="B13" s="54">
        <f t="shared" si="0"/>
        <v>0</v>
      </c>
      <c r="C13" s="20">
        <v>0</v>
      </c>
      <c r="D13" s="20">
        <v>0</v>
      </c>
      <c r="E13" s="20">
        <v>0</v>
      </c>
      <c r="F13" s="20">
        <v>0</v>
      </c>
      <c r="G13" s="55" t="str">
        <f t="shared" si="1"/>
        <v>0</v>
      </c>
      <c r="H13" s="15"/>
    </row>
    <row r="14" spans="1:13" ht="16" thickBot="1">
      <c r="A14" s="32" t="s">
        <v>23</v>
      </c>
      <c r="B14" s="54">
        <f t="shared" si="0"/>
        <v>853</v>
      </c>
      <c r="C14" s="33">
        <v>1</v>
      </c>
      <c r="D14" s="33">
        <v>612</v>
      </c>
      <c r="E14" s="33">
        <v>223</v>
      </c>
      <c r="F14" s="33">
        <v>17</v>
      </c>
      <c r="G14" s="55">
        <f t="shared" si="1"/>
        <v>0.7186400937866354</v>
      </c>
      <c r="H14" s="16"/>
    </row>
    <row r="15" spans="1:13" ht="15.75" customHeight="1" thickBot="1">
      <c r="A15" s="182" t="s">
        <v>24</v>
      </c>
      <c r="B15" s="183"/>
      <c r="C15" s="183"/>
      <c r="D15" s="183"/>
      <c r="E15" s="183"/>
      <c r="F15" s="183"/>
      <c r="G15" s="183"/>
      <c r="H15" s="183"/>
      <c r="I15" s="183"/>
      <c r="J15" s="183"/>
    </row>
    <row r="16" spans="1:13" ht="25" customHeight="1" thickBot="1">
      <c r="A16" s="14"/>
      <c r="B16" s="14" t="s">
        <v>25</v>
      </c>
      <c r="C16" s="14" t="s">
        <v>26</v>
      </c>
      <c r="D16" s="14" t="s">
        <v>27</v>
      </c>
      <c r="E16" s="14" t="s">
        <v>28</v>
      </c>
      <c r="F16" s="21" t="s">
        <v>156</v>
      </c>
      <c r="G16" s="21" t="s">
        <v>157</v>
      </c>
      <c r="H16" s="21" t="s">
        <v>158</v>
      </c>
      <c r="I16" s="22" t="s">
        <v>159</v>
      </c>
      <c r="J16" s="17" t="s">
        <v>160</v>
      </c>
      <c r="K16" s="14" t="s">
        <v>155</v>
      </c>
      <c r="M16" s="34"/>
    </row>
    <row r="17" spans="1:24" ht="15.75" customHeight="1" thickBot="1">
      <c r="A17" s="30" t="s">
        <v>31</v>
      </c>
      <c r="B17" s="20">
        <v>13</v>
      </c>
      <c r="C17" s="20">
        <v>13</v>
      </c>
      <c r="D17" s="20">
        <v>3</v>
      </c>
      <c r="E17" s="20">
        <v>0</v>
      </c>
      <c r="F17" s="18">
        <f>IFERROR(D17/B17, "NA")</f>
        <v>0.23076923076923078</v>
      </c>
      <c r="G17" s="18">
        <f>IFERROR(E17/(D17+J17), "NA")</f>
        <v>0</v>
      </c>
      <c r="H17" s="56">
        <f>B25</f>
        <v>258</v>
      </c>
      <c r="I17" s="19">
        <f>IFERROR(B17/H17, "NA")</f>
        <v>5.0387596899224806E-2</v>
      </c>
      <c r="J17" s="20"/>
      <c r="K17" s="15"/>
      <c r="L17" s="35"/>
      <c r="M17" s="34"/>
      <c r="N17" s="35"/>
      <c r="O17" s="36"/>
      <c r="P17" s="36"/>
      <c r="Q17" s="36"/>
      <c r="R17" s="36"/>
      <c r="S17" s="36"/>
      <c r="T17" s="36"/>
      <c r="U17" s="36"/>
      <c r="V17" s="36"/>
      <c r="W17" s="36"/>
      <c r="X17" s="36"/>
    </row>
    <row r="18" spans="1:24" ht="15" customHeight="1" thickBot="1">
      <c r="A18" s="32" t="s">
        <v>32</v>
      </c>
      <c r="B18" s="33">
        <v>34</v>
      </c>
      <c r="C18" s="33">
        <v>11</v>
      </c>
      <c r="D18" s="33">
        <v>23</v>
      </c>
      <c r="E18" s="33">
        <v>3</v>
      </c>
      <c r="F18" s="18">
        <f>IFERROR(D18/B18, "NA")</f>
        <v>0.67647058823529416</v>
      </c>
      <c r="G18" s="18">
        <f>IFERROR(E18/(D18+J18), "NA")</f>
        <v>0.13043478260869565</v>
      </c>
      <c r="H18" s="56">
        <f>B26</f>
        <v>1171</v>
      </c>
      <c r="I18" s="19">
        <f>IFERROR(B18/H18, "NA")</f>
        <v>2.9035012809564473E-2</v>
      </c>
      <c r="J18" s="20"/>
      <c r="K18" s="16"/>
      <c r="L18" s="35"/>
      <c r="M18" s="34"/>
      <c r="N18" s="37"/>
      <c r="O18" s="36"/>
      <c r="P18" s="36"/>
      <c r="Q18" s="36"/>
      <c r="R18" s="36"/>
      <c r="S18" s="36"/>
      <c r="T18" s="36"/>
      <c r="U18" s="36"/>
      <c r="V18" s="36"/>
      <c r="W18" s="36"/>
      <c r="X18" s="36"/>
    </row>
    <row r="19" spans="1:24" ht="15.75" customHeight="1" thickBot="1">
      <c r="A19" s="174" t="s">
        <v>33</v>
      </c>
      <c r="B19" s="177"/>
      <c r="C19" s="177"/>
      <c r="D19" s="177"/>
      <c r="E19" s="181"/>
      <c r="F19" s="181"/>
      <c r="M19" s="34"/>
      <c r="N19" s="37"/>
    </row>
    <row r="20" spans="1:24" ht="34.5" customHeight="1" thickBot="1">
      <c r="A20" s="31"/>
      <c r="B20" s="14" t="s">
        <v>34</v>
      </c>
      <c r="C20" s="14" t="s">
        <v>35</v>
      </c>
      <c r="D20" s="14" t="s">
        <v>36</v>
      </c>
      <c r="E20" s="14" t="s">
        <v>37</v>
      </c>
      <c r="F20" s="14" t="s">
        <v>38</v>
      </c>
      <c r="G20" s="14" t="s">
        <v>155</v>
      </c>
    </row>
    <row r="21" spans="1:24" ht="16" thickBot="1">
      <c r="A21" s="30" t="s">
        <v>31</v>
      </c>
      <c r="B21" s="20">
        <v>20</v>
      </c>
      <c r="C21" s="20">
        <v>12</v>
      </c>
      <c r="D21" s="20">
        <v>12</v>
      </c>
      <c r="E21" s="57">
        <f>IFERROR(C21/B21, "NA")</f>
        <v>0.6</v>
      </c>
      <c r="F21" s="57">
        <f>IFERROR(D21/C21, "NA")</f>
        <v>1</v>
      </c>
      <c r="G21" s="15"/>
      <c r="H21" s="35"/>
      <c r="O21" s="36"/>
      <c r="P21" s="36"/>
      <c r="Q21" s="36"/>
      <c r="R21" s="36"/>
      <c r="S21" s="36"/>
      <c r="T21" s="36"/>
      <c r="U21" s="36"/>
      <c r="V21" s="36"/>
      <c r="W21" s="36"/>
      <c r="X21" s="36"/>
    </row>
    <row r="22" spans="1:24" ht="16" thickBot="1">
      <c r="A22" s="32" t="s">
        <v>32</v>
      </c>
      <c r="B22" s="33">
        <v>114</v>
      </c>
      <c r="C22" s="33">
        <v>94</v>
      </c>
      <c r="D22" s="33">
        <v>81</v>
      </c>
      <c r="E22" s="57">
        <f>IFERROR(C22/B22, "NA")</f>
        <v>0.82456140350877194</v>
      </c>
      <c r="F22" s="57">
        <f>IFERROR(D22/C22, "NA")</f>
        <v>0.86170212765957444</v>
      </c>
      <c r="G22" s="16"/>
      <c r="H22" s="35"/>
    </row>
    <row r="23" spans="1:24" ht="15.75" customHeight="1" thickBot="1">
      <c r="A23" s="178" t="s">
        <v>39</v>
      </c>
      <c r="B23" s="179"/>
      <c r="C23" s="179"/>
      <c r="D23" s="179"/>
      <c r="E23" s="179"/>
      <c r="F23" s="179"/>
    </row>
    <row r="24" spans="1:24" ht="33" customHeight="1" thickBot="1">
      <c r="A24" s="31"/>
      <c r="B24" s="14" t="s">
        <v>29</v>
      </c>
      <c r="C24" s="14" t="s">
        <v>35</v>
      </c>
      <c r="D24" s="14" t="s">
        <v>36</v>
      </c>
      <c r="E24" s="14" t="s">
        <v>37</v>
      </c>
      <c r="F24" s="14" t="s">
        <v>38</v>
      </c>
      <c r="G24" s="14" t="s">
        <v>155</v>
      </c>
    </row>
    <row r="25" spans="1:24" ht="16" thickBot="1">
      <c r="A25" s="30" t="s">
        <v>31</v>
      </c>
      <c r="B25" s="20">
        <v>258</v>
      </c>
      <c r="C25" s="20">
        <v>158</v>
      </c>
      <c r="D25" s="20">
        <v>139</v>
      </c>
      <c r="E25" s="57">
        <f>IFERROR(C25/B25, "NA")</f>
        <v>0.61240310077519378</v>
      </c>
      <c r="F25" s="57">
        <f>IFERROR(D25/C25, "NA")</f>
        <v>0.879746835443038</v>
      </c>
      <c r="G25" s="15"/>
      <c r="V25" s="36"/>
      <c r="W25" s="36"/>
      <c r="X25" s="36"/>
    </row>
    <row r="26" spans="1:24" ht="16" thickBot="1">
      <c r="A26" s="32" t="s">
        <v>32</v>
      </c>
      <c r="B26" s="33">
        <v>1171</v>
      </c>
      <c r="C26" s="33">
        <v>1007</v>
      </c>
      <c r="D26" s="33">
        <v>910</v>
      </c>
      <c r="E26" s="57">
        <f>IFERROR(C26/B26, "NA")</f>
        <v>0.85994876174210078</v>
      </c>
      <c r="F26" s="57">
        <f>IFERROR(D26/C26, "NA")</f>
        <v>0.90367428003972194</v>
      </c>
      <c r="G26" s="16"/>
    </row>
    <row r="27" spans="1:24" ht="16.5" customHeight="1" thickBot="1">
      <c r="A27" s="178" t="s">
        <v>40</v>
      </c>
      <c r="B27" s="179"/>
      <c r="C27" s="179"/>
      <c r="D27" s="179"/>
      <c r="E27" s="179"/>
      <c r="F27" s="179"/>
      <c r="G27" s="179"/>
    </row>
    <row r="28" spans="1:24" ht="16" thickBot="1">
      <c r="A28" s="28"/>
      <c r="B28" s="23" t="s">
        <v>10</v>
      </c>
      <c r="C28" s="23" t="s">
        <v>41</v>
      </c>
      <c r="D28" s="23" t="s">
        <v>42</v>
      </c>
      <c r="E28" s="23" t="s">
        <v>43</v>
      </c>
      <c r="F28" s="23" t="s">
        <v>44</v>
      </c>
      <c r="G28" s="17" t="s">
        <v>161</v>
      </c>
      <c r="H28" s="14" t="s">
        <v>155</v>
      </c>
    </row>
    <row r="29" spans="1:24" ht="16" thickBot="1">
      <c r="A29" s="30" t="s">
        <v>31</v>
      </c>
      <c r="B29" s="20">
        <v>13</v>
      </c>
      <c r="C29" s="20">
        <v>4</v>
      </c>
      <c r="D29" s="20">
        <v>4</v>
      </c>
      <c r="E29" s="57">
        <f>IFERROR(C29/B29, "-")</f>
        <v>0.30769230769230771</v>
      </c>
      <c r="F29" s="57">
        <f>IFERROR(D29/(C29+G29), "-")</f>
        <v>1</v>
      </c>
      <c r="G29" s="20"/>
      <c r="H29" s="15"/>
      <c r="V29" s="36"/>
      <c r="W29" s="36"/>
      <c r="X29" s="36"/>
    </row>
    <row r="30" spans="1:24" ht="16" thickBot="1">
      <c r="A30" s="32" t="s">
        <v>32</v>
      </c>
      <c r="B30" s="33">
        <v>161</v>
      </c>
      <c r="C30" s="33">
        <v>140</v>
      </c>
      <c r="D30" s="33">
        <v>140</v>
      </c>
      <c r="E30" s="57">
        <f>IFERROR(C30/B30, "-")</f>
        <v>0.86956521739130432</v>
      </c>
      <c r="F30" s="57">
        <f>IFERROR(D30/(C30+G30), "-")</f>
        <v>1</v>
      </c>
      <c r="G30" s="20"/>
      <c r="H30" s="16"/>
    </row>
    <row r="31" spans="1:24" ht="17" thickBot="1">
      <c r="A31" s="174" t="s">
        <v>45</v>
      </c>
      <c r="B31" s="175"/>
      <c r="C31" s="175"/>
      <c r="D31" s="175"/>
      <c r="E31" s="38"/>
    </row>
    <row r="32" spans="1:24" ht="16" thickBot="1">
      <c r="A32" s="28"/>
      <c r="B32" s="23" t="s">
        <v>46</v>
      </c>
      <c r="C32" s="23" t="s">
        <v>47</v>
      </c>
      <c r="D32" s="23" t="s">
        <v>48</v>
      </c>
      <c r="E32" s="14" t="s">
        <v>155</v>
      </c>
    </row>
    <row r="33" spans="1:13" ht="16" thickBot="1">
      <c r="A33" s="30" t="s">
        <v>49</v>
      </c>
      <c r="B33" s="20">
        <v>0</v>
      </c>
      <c r="C33" s="20">
        <v>0</v>
      </c>
      <c r="D33" s="57" t="str">
        <f>IFERROR(C33/B33, "NA")</f>
        <v>NA</v>
      </c>
      <c r="E33" s="15"/>
    </row>
    <row r="34" spans="1:13" ht="16" thickBot="1">
      <c r="A34" s="32" t="s">
        <v>32</v>
      </c>
      <c r="B34" s="33">
        <v>6</v>
      </c>
      <c r="C34" s="33">
        <v>1</v>
      </c>
      <c r="D34" s="57">
        <f>IFERROR(C34/B34, "NA")</f>
        <v>0.16666666666666666</v>
      </c>
      <c r="E34" s="16"/>
    </row>
    <row r="35" spans="1:13" ht="16.5" customHeight="1" thickBot="1">
      <c r="A35" s="178" t="s">
        <v>50</v>
      </c>
      <c r="B35" s="179"/>
      <c r="C35" s="179"/>
      <c r="D35" s="179"/>
      <c r="E35" s="184"/>
      <c r="F35" s="38"/>
    </row>
    <row r="36" spans="1:13" ht="16" thickBot="1">
      <c r="A36" s="28"/>
      <c r="B36" s="23" t="s">
        <v>10</v>
      </c>
      <c r="C36" s="23" t="s">
        <v>51</v>
      </c>
      <c r="D36" s="23" t="s">
        <v>52</v>
      </c>
      <c r="E36" s="23" t="s">
        <v>53</v>
      </c>
      <c r="F36" s="14" t="s">
        <v>155</v>
      </c>
    </row>
    <row r="37" spans="1:13" ht="16" thickBot="1">
      <c r="A37" s="30" t="s">
        <v>49</v>
      </c>
      <c r="B37" s="20">
        <v>0</v>
      </c>
      <c r="C37" s="20"/>
      <c r="D37" s="20"/>
      <c r="E37" s="18" t="str">
        <f>IFERROR(D37/B37, "NA")</f>
        <v>NA</v>
      </c>
      <c r="F37" s="15"/>
    </row>
    <row r="38" spans="1:13" ht="16" thickBot="1">
      <c r="A38" s="32" t="s">
        <v>32</v>
      </c>
      <c r="B38" s="33">
        <v>0</v>
      </c>
      <c r="C38" s="33"/>
      <c r="D38" s="33"/>
      <c r="E38" s="18" t="str">
        <f>IFERROR(D38/B38, "NA")</f>
        <v>NA</v>
      </c>
      <c r="F38" s="16"/>
    </row>
    <row r="39" spans="1:13" ht="16" thickBot="1">
      <c r="A39" s="174" t="s">
        <v>54</v>
      </c>
      <c r="B39" s="175"/>
      <c r="C39" s="175"/>
      <c r="D39" s="175"/>
      <c r="E39" s="24" t="s">
        <v>162</v>
      </c>
      <c r="F39" s="25"/>
    </row>
    <row r="40" spans="1:13" ht="31.25" customHeight="1" thickBot="1">
      <c r="A40" s="39" t="s">
        <v>55</v>
      </c>
      <c r="B40" s="23" t="s">
        <v>56</v>
      </c>
      <c r="C40" s="23" t="s">
        <v>57</v>
      </c>
      <c r="D40" s="23" t="s">
        <v>58</v>
      </c>
    </row>
    <row r="41" spans="1:13" ht="94" customHeight="1" thickBot="1">
      <c r="A41" s="40">
        <v>1</v>
      </c>
      <c r="B41" s="20" t="s">
        <v>59</v>
      </c>
      <c r="C41" s="40" t="s">
        <v>60</v>
      </c>
      <c r="D41" s="20" t="s">
        <v>27</v>
      </c>
    </row>
    <row r="42" spans="1:13" ht="94" customHeight="1" thickBot="1">
      <c r="A42" s="41">
        <v>2</v>
      </c>
      <c r="B42" s="33" t="s">
        <v>61</v>
      </c>
      <c r="C42" s="41" t="s">
        <v>62</v>
      </c>
      <c r="D42" s="33" t="s">
        <v>27</v>
      </c>
    </row>
    <row r="43" spans="1:13" ht="94" customHeight="1" thickBot="1">
      <c r="A43" s="40">
        <v>3</v>
      </c>
      <c r="B43" s="20" t="s">
        <v>63</v>
      </c>
      <c r="C43" s="40" t="s">
        <v>64</v>
      </c>
      <c r="D43" s="20" t="s">
        <v>52</v>
      </c>
    </row>
    <row r="44" spans="1:13" ht="94" customHeight="1" thickBot="1">
      <c r="A44" s="41">
        <v>4</v>
      </c>
      <c r="B44" s="33" t="s">
        <v>65</v>
      </c>
      <c r="C44" s="41" t="s">
        <v>66</v>
      </c>
      <c r="D44" s="33" t="s">
        <v>52</v>
      </c>
    </row>
    <row r="45" spans="1:13" ht="94" customHeight="1" thickBot="1">
      <c r="A45" s="40">
        <v>5</v>
      </c>
      <c r="B45" s="20" t="s">
        <v>67</v>
      </c>
      <c r="C45" s="40" t="s">
        <v>68</v>
      </c>
      <c r="D45" s="20" t="s">
        <v>52</v>
      </c>
    </row>
    <row r="46" spans="1:13" ht="16" thickBot="1">
      <c r="A46" s="42" t="s">
        <v>10</v>
      </c>
      <c r="B46" s="43">
        <v>17</v>
      </c>
      <c r="C46" s="43">
        <v>17</v>
      </c>
      <c r="D46" s="93">
        <v>0</v>
      </c>
    </row>
    <row r="47" spans="1:13" ht="17" thickBot="1">
      <c r="A47" s="174" t="s">
        <v>69</v>
      </c>
      <c r="B47" s="175"/>
      <c r="C47" s="175"/>
      <c r="D47" s="176"/>
      <c r="K47" s="38"/>
      <c r="L47" s="38"/>
      <c r="M47" s="38"/>
    </row>
    <row r="48" spans="1:13" ht="16" thickBot="1">
      <c r="A48" s="39" t="s">
        <v>55</v>
      </c>
      <c r="B48" s="23" t="s">
        <v>70</v>
      </c>
      <c r="C48" s="23" t="s">
        <v>71</v>
      </c>
      <c r="D48" s="23" t="s">
        <v>72</v>
      </c>
    </row>
    <row r="49" spans="1:4" ht="68.5" customHeight="1" thickBot="1">
      <c r="A49" s="40">
        <v>1</v>
      </c>
      <c r="B49" s="20" t="s">
        <v>148</v>
      </c>
      <c r="C49" s="40" t="s">
        <v>73</v>
      </c>
      <c r="D49" s="20" t="s">
        <v>73</v>
      </c>
    </row>
    <row r="50" spans="1:4" ht="68.5" customHeight="1" thickBot="1">
      <c r="A50" s="41">
        <v>2</v>
      </c>
      <c r="B50" s="33" t="s">
        <v>149</v>
      </c>
      <c r="C50" s="41" t="s">
        <v>73</v>
      </c>
      <c r="D50" s="33" t="s">
        <v>73</v>
      </c>
    </row>
    <row r="51" spans="1:4" ht="68.5" customHeight="1" thickBot="1">
      <c r="A51" s="40">
        <v>3</v>
      </c>
      <c r="B51" s="20" t="s">
        <v>150</v>
      </c>
      <c r="C51" s="40" t="s">
        <v>73</v>
      </c>
      <c r="D51" s="20" t="s">
        <v>73</v>
      </c>
    </row>
    <row r="52" spans="1:4" ht="68.5" customHeight="1" thickBot="1">
      <c r="A52" s="41">
        <v>4</v>
      </c>
      <c r="B52" s="33" t="s">
        <v>151</v>
      </c>
      <c r="C52" s="41" t="s">
        <v>73</v>
      </c>
      <c r="D52" s="33" t="s">
        <v>73</v>
      </c>
    </row>
    <row r="53" spans="1:4" ht="68.5" customHeight="1" thickBot="1">
      <c r="A53" s="40">
        <v>5</v>
      </c>
      <c r="B53" s="20" t="s">
        <v>152</v>
      </c>
      <c r="C53" s="40" t="s">
        <v>73</v>
      </c>
      <c r="D53" s="20" t="s">
        <v>73</v>
      </c>
    </row>
    <row r="54" spans="1:4" ht="16" thickBot="1">
      <c r="A54" s="42" t="s">
        <v>10</v>
      </c>
      <c r="B54" s="43">
        <v>12</v>
      </c>
      <c r="C54" s="43">
        <v>12</v>
      </c>
      <c r="D54" s="43">
        <v>11</v>
      </c>
    </row>
    <row r="55" spans="1:4" ht="16" thickBot="1">
      <c r="A55" s="174" t="s">
        <v>74</v>
      </c>
      <c r="B55" s="175"/>
      <c r="C55" s="175"/>
      <c r="D55" s="176"/>
    </row>
    <row r="56" spans="1:4" ht="16" thickBot="1">
      <c r="A56" s="28" t="s">
        <v>75</v>
      </c>
      <c r="B56" s="23" t="s">
        <v>46</v>
      </c>
      <c r="C56" s="23" t="s">
        <v>47</v>
      </c>
      <c r="D56" s="23" t="s">
        <v>48</v>
      </c>
    </row>
    <row r="57" spans="1:4" ht="16" thickBot="1">
      <c r="A57" s="30" t="s">
        <v>49</v>
      </c>
      <c r="B57" s="20">
        <v>3</v>
      </c>
      <c r="C57" s="20">
        <v>3</v>
      </c>
      <c r="D57" s="18">
        <f>IFERROR(C57/B57, "NA")</f>
        <v>1</v>
      </c>
    </row>
    <row r="58" spans="1:4" ht="16" thickBot="1">
      <c r="A58" s="32" t="s">
        <v>32</v>
      </c>
      <c r="B58" s="33">
        <v>28</v>
      </c>
      <c r="C58" s="33">
        <v>28</v>
      </c>
      <c r="D58" s="18">
        <f>IFERROR(C58/B58, "NA")</f>
        <v>1</v>
      </c>
    </row>
    <row r="59" spans="1:4" ht="16" thickBot="1">
      <c r="A59" s="28" t="s">
        <v>76</v>
      </c>
      <c r="B59" s="23" t="s">
        <v>46</v>
      </c>
      <c r="C59" s="23" t="s">
        <v>47</v>
      </c>
      <c r="D59" s="23" t="s">
        <v>48</v>
      </c>
    </row>
    <row r="60" spans="1:4" ht="16" thickBot="1">
      <c r="A60" s="30" t="s">
        <v>49</v>
      </c>
      <c r="B60" s="20">
        <v>1</v>
      </c>
      <c r="C60" s="20">
        <v>1</v>
      </c>
      <c r="D60" s="18">
        <f>IFERROR(C60/B60, "NA")</f>
        <v>1</v>
      </c>
    </row>
    <row r="61" spans="1:4" ht="16" thickBot="1">
      <c r="A61" s="32" t="s">
        <v>32</v>
      </c>
      <c r="B61" s="33">
        <v>10</v>
      </c>
      <c r="C61" s="33">
        <v>10</v>
      </c>
      <c r="D61" s="18">
        <f>IFERROR(C61/B61, "NA")</f>
        <v>1</v>
      </c>
    </row>
    <row r="62" spans="1:4" ht="16" thickBot="1">
      <c r="A62" s="42" t="s">
        <v>10</v>
      </c>
      <c r="B62" s="26">
        <f>SUM(B58,B61)</f>
        <v>38</v>
      </c>
      <c r="C62" s="26">
        <f>SUM(C58,C61)</f>
        <v>38</v>
      </c>
      <c r="D62" s="18">
        <f>IFERROR(C62/B62, "NA")</f>
        <v>1</v>
      </c>
    </row>
    <row r="63" spans="1:4" ht="16" thickBot="1">
      <c r="A63" s="174" t="s">
        <v>77</v>
      </c>
      <c r="B63" s="175"/>
      <c r="C63" s="175"/>
      <c r="D63" s="176"/>
    </row>
    <row r="64" spans="1:4" ht="16" thickBot="1">
      <c r="A64" s="28" t="s">
        <v>78</v>
      </c>
      <c r="B64" s="23" t="s">
        <v>46</v>
      </c>
      <c r="C64" s="23" t="s">
        <v>47</v>
      </c>
      <c r="D64" s="23" t="s">
        <v>48</v>
      </c>
    </row>
    <row r="65" spans="1:15" ht="16" thickBot="1">
      <c r="A65" s="30" t="s">
        <v>49</v>
      </c>
      <c r="B65" s="20">
        <v>3</v>
      </c>
      <c r="C65" s="20">
        <v>3</v>
      </c>
      <c r="D65" s="18">
        <f>IFERROR(C65/B65, "NA")</f>
        <v>1</v>
      </c>
    </row>
    <row r="66" spans="1:15" ht="16" thickBot="1">
      <c r="A66" s="32" t="s">
        <v>32</v>
      </c>
      <c r="B66" s="33">
        <v>18</v>
      </c>
      <c r="C66" s="33">
        <v>18</v>
      </c>
      <c r="D66" s="18">
        <f>IFERROR(C66/B66, "NA")</f>
        <v>1</v>
      </c>
    </row>
    <row r="67" spans="1:15" ht="16" thickBot="1">
      <c r="A67" s="28" t="s">
        <v>79</v>
      </c>
      <c r="B67" s="23" t="s">
        <v>46</v>
      </c>
      <c r="C67" s="23" t="s">
        <v>47</v>
      </c>
      <c r="D67" s="23" t="s">
        <v>48</v>
      </c>
    </row>
    <row r="68" spans="1:15" ht="16" thickBot="1">
      <c r="A68" s="30" t="s">
        <v>49</v>
      </c>
      <c r="B68" s="20">
        <v>1</v>
      </c>
      <c r="C68" s="20">
        <v>1</v>
      </c>
      <c r="D68" s="18">
        <f>IFERROR(C68/B68, "NA")</f>
        <v>1</v>
      </c>
    </row>
    <row r="69" spans="1:15" ht="17" thickBot="1">
      <c r="A69" s="32" t="s">
        <v>32</v>
      </c>
      <c r="B69" s="33">
        <v>9</v>
      </c>
      <c r="C69" s="33">
        <v>9</v>
      </c>
      <c r="D69" s="18">
        <f>IFERROR(C69/B69, "NA")</f>
        <v>1</v>
      </c>
      <c r="E69" s="44"/>
      <c r="F69" s="38"/>
      <c r="N69" s="44"/>
      <c r="O69" s="38"/>
    </row>
    <row r="70" spans="1:15" ht="17" thickBot="1">
      <c r="A70" s="42" t="s">
        <v>10</v>
      </c>
      <c r="B70" s="26">
        <f>SUM(B66,B69)</f>
        <v>27</v>
      </c>
      <c r="C70" s="26">
        <f>SUM(C66,C69)</f>
        <v>27</v>
      </c>
      <c r="D70" s="18">
        <f>IFERROR(C70/B70, "NA")</f>
        <v>1</v>
      </c>
      <c r="E70" s="44"/>
    </row>
    <row r="71" spans="1:15" ht="16">
      <c r="J71" s="44"/>
      <c r="K71" s="38"/>
    </row>
  </sheetData>
  <sheetProtection sheet="1" objects="1" scenarios="1" formatColumns="0" formatRows="0"/>
  <mergeCells count="14">
    <mergeCell ref="A55:D55"/>
    <mergeCell ref="A63:D63"/>
    <mergeCell ref="A47:D47"/>
    <mergeCell ref="A1:F1"/>
    <mergeCell ref="A5:G5"/>
    <mergeCell ref="A19:F19"/>
    <mergeCell ref="A23:F23"/>
    <mergeCell ref="A15:J15"/>
    <mergeCell ref="A35:E35"/>
    <mergeCell ref="A31:D31"/>
    <mergeCell ref="A39:D39"/>
    <mergeCell ref="B2:D2"/>
    <mergeCell ref="B3:D3"/>
    <mergeCell ref="A27:G27"/>
  </mergeCells>
  <pageMargins left="0.7" right="0.7" top="0.75" bottom="0.75" header="0.3" footer="0.3"/>
  <pageSetup orientation="portrait" verticalDpi="0" r:id="rId1"/>
  <headerFooter>
    <oddFooter>&amp;L_x000D_&amp;1#&amp;"Calibri"&amp;12&amp;K000000 Information Classification: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3AE9-4ABD-4472-B82F-7C16C56F163F}">
  <dimension ref="A1:X71"/>
  <sheetViews>
    <sheetView showGridLines="0" zoomScale="85" zoomScaleNormal="85" workbookViewId="0">
      <selection activeCell="E95" sqref="E95"/>
    </sheetView>
  </sheetViews>
  <sheetFormatPr baseColWidth="10" defaultColWidth="8.5" defaultRowHeight="15"/>
  <cols>
    <col min="1" max="1" width="25.5" style="27" bestFit="1" customWidth="1"/>
    <col min="2" max="2" width="17" style="27" bestFit="1" customWidth="1"/>
    <col min="3" max="3" width="16.5" style="27" bestFit="1" customWidth="1"/>
    <col min="4" max="4" width="19.1640625" style="27" bestFit="1" customWidth="1"/>
    <col min="5" max="5" width="38.5" style="27" bestFit="1" customWidth="1"/>
    <col min="6" max="7" width="21.83203125" style="27" bestFit="1" customWidth="1"/>
    <col min="8" max="8" width="21.83203125" style="27" customWidth="1"/>
    <col min="9" max="9" width="14.5" style="27" bestFit="1" customWidth="1"/>
    <col min="10" max="10" width="19.83203125" style="27" bestFit="1" customWidth="1"/>
    <col min="11" max="11" width="21.83203125" style="27" bestFit="1" customWidth="1"/>
    <col min="12" max="13" width="8.5" style="27"/>
    <col min="14" max="14" width="9.5" style="27" bestFit="1" customWidth="1"/>
    <col min="15" max="15" width="6.5" style="27" bestFit="1" customWidth="1"/>
    <col min="16" max="16" width="8.5" style="27"/>
    <col min="17" max="17" width="8.1640625" style="27" bestFit="1" customWidth="1"/>
    <col min="18" max="19" width="8.5" style="27" bestFit="1" customWidth="1"/>
    <col min="20" max="20" width="8.1640625" style="27" bestFit="1" customWidth="1"/>
    <col min="21" max="22" width="8.5" style="27"/>
    <col min="23" max="23" width="10.5" style="27" bestFit="1" customWidth="1"/>
    <col min="24" max="24" width="8.5" style="27"/>
    <col min="25" max="25" width="8.5" style="27" bestFit="1" customWidth="1"/>
    <col min="26" max="27" width="9.5" style="27" bestFit="1" customWidth="1"/>
    <col min="28" max="28" width="7.83203125" style="27" bestFit="1" customWidth="1"/>
    <col min="29" max="29" width="8.5" style="27"/>
    <col min="30" max="30" width="8.1640625" style="27" bestFit="1" customWidth="1"/>
    <col min="31" max="31" width="12.1640625" style="27" bestFit="1" customWidth="1"/>
    <col min="32" max="32" width="9.5" style="27" bestFit="1" customWidth="1"/>
    <col min="33" max="33" width="11.5" style="27" bestFit="1" customWidth="1"/>
    <col min="34" max="35" width="8.5" style="27"/>
    <col min="36" max="36" width="11.5" style="27" bestFit="1" customWidth="1"/>
    <col min="37" max="37" width="8.5" style="27"/>
    <col min="38" max="38" width="11.5" style="27" bestFit="1" customWidth="1"/>
    <col min="39" max="40" width="12.5" style="27" bestFit="1" customWidth="1"/>
    <col min="41" max="41" width="8.5" style="27"/>
    <col min="42" max="42" width="10.5" style="27" bestFit="1" customWidth="1"/>
    <col min="43" max="16384" width="8.5" style="27"/>
  </cols>
  <sheetData>
    <row r="1" spans="1:13" ht="16" thickBot="1">
      <c r="A1" s="174" t="s">
        <v>0</v>
      </c>
      <c r="B1" s="177"/>
      <c r="C1" s="177"/>
      <c r="D1" s="177"/>
      <c r="E1" s="177"/>
      <c r="F1" s="177"/>
    </row>
    <row r="2" spans="1:13" ht="16" thickBot="1">
      <c r="A2" s="28" t="s">
        <v>1</v>
      </c>
      <c r="B2" s="188">
        <f>'GRAND MOSQUE'!B2</f>
        <v>0</v>
      </c>
      <c r="C2" s="189"/>
      <c r="D2" s="190"/>
      <c r="E2" s="28" t="s">
        <v>2</v>
      </c>
      <c r="F2" s="87" t="str">
        <f>'GRAND MOSQUE'!F2</f>
        <v xml:space="preserve"> </v>
      </c>
    </row>
    <row r="3" spans="1:13" ht="16" thickBot="1">
      <c r="A3" s="28" t="s">
        <v>80</v>
      </c>
      <c r="B3" s="185" t="s">
        <v>174</v>
      </c>
      <c r="C3" s="186"/>
      <c r="D3" s="187"/>
      <c r="E3" s="28" t="s">
        <v>3</v>
      </c>
      <c r="F3" s="30">
        <v>108</v>
      </c>
    </row>
    <row r="4" spans="1:13" ht="16" thickBot="1">
      <c r="A4" s="28" t="s">
        <v>4</v>
      </c>
      <c r="B4" s="29" t="s">
        <v>180</v>
      </c>
      <c r="C4" s="28" t="s">
        <v>5</v>
      </c>
      <c r="D4" s="29"/>
      <c r="E4" s="28" t="s">
        <v>7</v>
      </c>
      <c r="F4" s="30"/>
    </row>
    <row r="5" spans="1:13" ht="15.75" customHeight="1" thickBot="1">
      <c r="A5" s="178" t="s">
        <v>9</v>
      </c>
      <c r="B5" s="179"/>
      <c r="C5" s="179"/>
      <c r="D5" s="179"/>
      <c r="E5" s="179"/>
      <c r="F5" s="179"/>
      <c r="G5" s="180"/>
    </row>
    <row r="6" spans="1:13" ht="33" customHeight="1" thickBot="1">
      <c r="A6" s="31"/>
      <c r="B6" s="21" t="s">
        <v>153</v>
      </c>
      <c r="C6" s="14" t="s">
        <v>11</v>
      </c>
      <c r="D6" s="14" t="s">
        <v>12</v>
      </c>
      <c r="E6" s="14" t="s">
        <v>13</v>
      </c>
      <c r="F6" s="14" t="s">
        <v>14</v>
      </c>
      <c r="G6" s="84" t="s">
        <v>15</v>
      </c>
      <c r="H6" s="14" t="s">
        <v>155</v>
      </c>
    </row>
    <row r="7" spans="1:13" ht="16" thickBot="1">
      <c r="A7" s="30" t="s">
        <v>16</v>
      </c>
      <c r="B7" s="54">
        <f>SUM(C7:F7)</f>
        <v>0</v>
      </c>
      <c r="C7" s="20"/>
      <c r="D7" s="20"/>
      <c r="E7" s="20"/>
      <c r="F7" s="20"/>
      <c r="G7" s="55" t="str">
        <f>IFERROR((C7+D7)/B7, "0")</f>
        <v>0</v>
      </c>
      <c r="H7" s="15"/>
    </row>
    <row r="8" spans="1:13" ht="16" thickBot="1">
      <c r="A8" s="32" t="s">
        <v>17</v>
      </c>
      <c r="B8" s="54">
        <f t="shared" ref="B8:B14" si="0">SUM(C8:F8)</f>
        <v>0</v>
      </c>
      <c r="C8" s="33"/>
      <c r="D8" s="33"/>
      <c r="E8" s="33"/>
      <c r="F8" s="33"/>
      <c r="G8" s="55" t="str">
        <f t="shared" ref="G8:G14" si="1">IFERROR((C8+D8)/B8, "0")</f>
        <v>0</v>
      </c>
      <c r="H8" s="16"/>
    </row>
    <row r="9" spans="1:13" ht="16" thickBot="1">
      <c r="A9" s="30" t="s">
        <v>18</v>
      </c>
      <c r="B9" s="54">
        <f t="shared" si="0"/>
        <v>0</v>
      </c>
      <c r="C9" s="20"/>
      <c r="D9" s="20"/>
      <c r="E9" s="20"/>
      <c r="F9" s="20"/>
      <c r="G9" s="55" t="str">
        <f t="shared" si="1"/>
        <v>0</v>
      </c>
      <c r="H9" s="15"/>
    </row>
    <row r="10" spans="1:13" ht="16" thickBot="1">
      <c r="A10" s="32" t="s">
        <v>19</v>
      </c>
      <c r="B10" s="54">
        <f t="shared" si="0"/>
        <v>0</v>
      </c>
      <c r="C10" s="33"/>
      <c r="D10" s="33"/>
      <c r="E10" s="33"/>
      <c r="F10" s="33"/>
      <c r="G10" s="55" t="str">
        <f t="shared" si="1"/>
        <v>0</v>
      </c>
      <c r="H10" s="16"/>
    </row>
    <row r="11" spans="1:13" ht="16" thickBot="1">
      <c r="A11" s="30" t="s">
        <v>20</v>
      </c>
      <c r="B11" s="54">
        <f t="shared" si="0"/>
        <v>0</v>
      </c>
      <c r="C11" s="20"/>
      <c r="D11" s="20"/>
      <c r="E11" s="20"/>
      <c r="F11" s="20"/>
      <c r="G11" s="55" t="str">
        <f t="shared" si="1"/>
        <v>0</v>
      </c>
      <c r="H11" s="15"/>
    </row>
    <row r="12" spans="1:13" ht="16" thickBot="1">
      <c r="A12" s="32" t="s">
        <v>21</v>
      </c>
      <c r="B12" s="54">
        <f t="shared" si="0"/>
        <v>0</v>
      </c>
      <c r="C12" s="33"/>
      <c r="D12" s="33"/>
      <c r="E12" s="33"/>
      <c r="F12" s="33"/>
      <c r="G12" s="55" t="str">
        <f t="shared" si="1"/>
        <v>0</v>
      </c>
      <c r="H12" s="16"/>
    </row>
    <row r="13" spans="1:13" ht="16" thickBot="1">
      <c r="A13" s="30" t="s">
        <v>22</v>
      </c>
      <c r="B13" s="54">
        <f t="shared" si="0"/>
        <v>0</v>
      </c>
      <c r="C13" s="20"/>
      <c r="D13" s="20"/>
      <c r="E13" s="20"/>
      <c r="F13" s="20"/>
      <c r="G13" s="55" t="str">
        <f t="shared" si="1"/>
        <v>0</v>
      </c>
      <c r="H13" s="15"/>
    </row>
    <row r="14" spans="1:13" ht="16" thickBot="1">
      <c r="A14" s="32" t="s">
        <v>23</v>
      </c>
      <c r="B14" s="54">
        <f t="shared" si="0"/>
        <v>0</v>
      </c>
      <c r="C14" s="33"/>
      <c r="D14" s="33"/>
      <c r="E14" s="33"/>
      <c r="F14" s="33"/>
      <c r="G14" s="55" t="str">
        <f t="shared" si="1"/>
        <v>0</v>
      </c>
      <c r="H14" s="16"/>
    </row>
    <row r="15" spans="1:13" ht="15.75" customHeight="1" thickBot="1">
      <c r="A15" s="182" t="s">
        <v>24</v>
      </c>
      <c r="B15" s="183"/>
      <c r="C15" s="183"/>
      <c r="D15" s="183"/>
      <c r="E15" s="183"/>
      <c r="F15" s="183"/>
      <c r="G15" s="183"/>
      <c r="H15" s="183"/>
      <c r="I15" s="183"/>
      <c r="J15" s="183"/>
    </row>
    <row r="16" spans="1:13" ht="25" customHeight="1" thickBot="1">
      <c r="A16" s="14"/>
      <c r="B16" s="14" t="s">
        <v>25</v>
      </c>
      <c r="C16" s="14" t="s">
        <v>26</v>
      </c>
      <c r="D16" s="14" t="s">
        <v>27</v>
      </c>
      <c r="E16" s="14" t="s">
        <v>28</v>
      </c>
      <c r="F16" s="21" t="s">
        <v>156</v>
      </c>
      <c r="G16" s="21" t="s">
        <v>157</v>
      </c>
      <c r="H16" s="21" t="s">
        <v>158</v>
      </c>
      <c r="I16" s="22" t="s">
        <v>159</v>
      </c>
      <c r="J16" s="17" t="s">
        <v>160</v>
      </c>
      <c r="K16" s="14" t="s">
        <v>155</v>
      </c>
      <c r="M16" s="34"/>
    </row>
    <row r="17" spans="1:24" ht="15.75" customHeight="1" thickBot="1">
      <c r="A17" s="30" t="s">
        <v>31</v>
      </c>
      <c r="B17" s="20"/>
      <c r="C17" s="20"/>
      <c r="D17" s="20"/>
      <c r="E17" s="20"/>
      <c r="F17" s="18" t="str">
        <f>IFERROR(D17/B17, "NA")</f>
        <v>NA</v>
      </c>
      <c r="G17" s="18" t="str">
        <f>IFERROR(E17/(D17+J17), "NA")</f>
        <v>NA</v>
      </c>
      <c r="H17" s="56">
        <f>B25</f>
        <v>0</v>
      </c>
      <c r="I17" s="19" t="str">
        <f>IFERROR(B17/H17, "NA")</f>
        <v>NA</v>
      </c>
      <c r="J17" s="20"/>
      <c r="K17" s="15"/>
      <c r="L17" s="35"/>
      <c r="M17" s="34"/>
      <c r="N17" s="35"/>
      <c r="O17" s="36"/>
      <c r="P17" s="36"/>
      <c r="Q17" s="36"/>
      <c r="R17" s="36"/>
      <c r="S17" s="36"/>
      <c r="T17" s="36"/>
      <c r="U17" s="36"/>
      <c r="V17" s="36"/>
      <c r="W17" s="36"/>
      <c r="X17" s="36"/>
    </row>
    <row r="18" spans="1:24" ht="15" customHeight="1" thickBot="1">
      <c r="A18" s="32" t="s">
        <v>32</v>
      </c>
      <c r="B18" s="33"/>
      <c r="C18" s="33"/>
      <c r="D18" s="33"/>
      <c r="E18" s="33"/>
      <c r="F18" s="18" t="str">
        <f>IFERROR(D18/B18, "NA")</f>
        <v>NA</v>
      </c>
      <c r="G18" s="18" t="str">
        <f>IFERROR(E18/(D18+J18), "NA")</f>
        <v>NA</v>
      </c>
      <c r="H18" s="56">
        <f>B26</f>
        <v>0</v>
      </c>
      <c r="I18" s="19" t="str">
        <f>IFERROR(B18/H18, "NA")</f>
        <v>NA</v>
      </c>
      <c r="J18" s="20"/>
      <c r="K18" s="16"/>
      <c r="L18" s="35"/>
      <c r="M18" s="34"/>
      <c r="N18" s="37"/>
      <c r="O18" s="36"/>
      <c r="P18" s="36"/>
      <c r="Q18" s="36"/>
      <c r="R18" s="36"/>
      <c r="S18" s="36"/>
      <c r="T18" s="36"/>
      <c r="U18" s="36"/>
      <c r="V18" s="36"/>
      <c r="W18" s="36"/>
      <c r="X18" s="36"/>
    </row>
    <row r="19" spans="1:24" ht="15.75" customHeight="1" thickBot="1">
      <c r="A19" s="174" t="s">
        <v>33</v>
      </c>
      <c r="B19" s="177"/>
      <c r="C19" s="177"/>
      <c r="D19" s="177"/>
      <c r="E19" s="181"/>
      <c r="F19" s="181"/>
      <c r="M19" s="34"/>
      <c r="N19" s="37"/>
    </row>
    <row r="20" spans="1:24" ht="34.5" customHeight="1" thickBot="1">
      <c r="A20" s="31"/>
      <c r="B20" s="14" t="s">
        <v>34</v>
      </c>
      <c r="C20" s="14" t="s">
        <v>35</v>
      </c>
      <c r="D20" s="14" t="s">
        <v>36</v>
      </c>
      <c r="E20" s="14" t="s">
        <v>37</v>
      </c>
      <c r="F20" s="14" t="s">
        <v>38</v>
      </c>
      <c r="G20" s="14" t="s">
        <v>155</v>
      </c>
    </row>
    <row r="21" spans="1:24" ht="16" thickBot="1">
      <c r="A21" s="30" t="s">
        <v>31</v>
      </c>
      <c r="B21" s="20"/>
      <c r="C21" s="20"/>
      <c r="D21" s="20"/>
      <c r="E21" s="57" t="str">
        <f>IFERROR(C21/B21, "NA")</f>
        <v>NA</v>
      </c>
      <c r="F21" s="57" t="str">
        <f>IFERROR(D21/C21, "NA")</f>
        <v>NA</v>
      </c>
      <c r="G21" s="15"/>
      <c r="H21" s="35"/>
      <c r="O21" s="36"/>
      <c r="P21" s="36"/>
      <c r="Q21" s="36"/>
      <c r="R21" s="36"/>
      <c r="S21" s="36"/>
      <c r="T21" s="36"/>
      <c r="U21" s="36"/>
      <c r="V21" s="36"/>
      <c r="W21" s="36"/>
      <c r="X21" s="36"/>
    </row>
    <row r="22" spans="1:24" ht="16" thickBot="1">
      <c r="A22" s="32" t="s">
        <v>32</v>
      </c>
      <c r="B22" s="33"/>
      <c r="C22" s="33"/>
      <c r="D22" s="33"/>
      <c r="E22" s="57" t="str">
        <f>IFERROR(C22/B22, "NA")</f>
        <v>NA</v>
      </c>
      <c r="F22" s="57" t="str">
        <f>IFERROR(D22/C22, "NA")</f>
        <v>NA</v>
      </c>
      <c r="G22" s="16"/>
      <c r="H22" s="35"/>
    </row>
    <row r="23" spans="1:24" ht="15.75" customHeight="1" thickBot="1">
      <c r="A23" s="178" t="s">
        <v>39</v>
      </c>
      <c r="B23" s="179"/>
      <c r="C23" s="179"/>
      <c r="D23" s="179"/>
      <c r="E23" s="179"/>
      <c r="F23" s="179"/>
    </row>
    <row r="24" spans="1:24" ht="33" customHeight="1" thickBot="1">
      <c r="A24" s="31"/>
      <c r="B24" s="14" t="s">
        <v>29</v>
      </c>
      <c r="C24" s="14" t="s">
        <v>35</v>
      </c>
      <c r="D24" s="14" t="s">
        <v>36</v>
      </c>
      <c r="E24" s="14" t="s">
        <v>37</v>
      </c>
      <c r="F24" s="14" t="s">
        <v>38</v>
      </c>
      <c r="G24" s="14" t="s">
        <v>155</v>
      </c>
    </row>
    <row r="25" spans="1:24" ht="16" thickBot="1">
      <c r="A25" s="30" t="s">
        <v>31</v>
      </c>
      <c r="B25" s="20"/>
      <c r="C25" s="20"/>
      <c r="D25" s="20"/>
      <c r="E25" s="57" t="str">
        <f>IFERROR(C25/B25, "NA")</f>
        <v>NA</v>
      </c>
      <c r="F25" s="57" t="str">
        <f>IFERROR(D25/C25, "NA")</f>
        <v>NA</v>
      </c>
      <c r="G25" s="15"/>
      <c r="V25" s="36"/>
      <c r="W25" s="36"/>
      <c r="X25" s="36"/>
    </row>
    <row r="26" spans="1:24" ht="16" thickBot="1">
      <c r="A26" s="32" t="s">
        <v>32</v>
      </c>
      <c r="B26" s="33"/>
      <c r="C26" s="33"/>
      <c r="D26" s="33"/>
      <c r="E26" s="57" t="str">
        <f>IFERROR(C26/B26, "NA")</f>
        <v>NA</v>
      </c>
      <c r="F26" s="57" t="str">
        <f>IFERROR(D26/C26, "NA")</f>
        <v>NA</v>
      </c>
      <c r="G26" s="16"/>
    </row>
    <row r="27" spans="1:24" ht="16.5" customHeight="1" thickBot="1">
      <c r="A27" s="178" t="s">
        <v>40</v>
      </c>
      <c r="B27" s="179"/>
      <c r="C27" s="179"/>
      <c r="D27" s="179"/>
      <c r="E27" s="179"/>
      <c r="F27" s="179"/>
      <c r="G27" s="179"/>
    </row>
    <row r="28" spans="1:24" ht="16" thickBot="1">
      <c r="A28" s="28"/>
      <c r="B28" s="23" t="s">
        <v>10</v>
      </c>
      <c r="C28" s="23" t="s">
        <v>41</v>
      </c>
      <c r="D28" s="23" t="s">
        <v>42</v>
      </c>
      <c r="E28" s="23" t="s">
        <v>43</v>
      </c>
      <c r="F28" s="23" t="s">
        <v>44</v>
      </c>
      <c r="G28" s="17" t="s">
        <v>161</v>
      </c>
      <c r="H28" s="14" t="s">
        <v>155</v>
      </c>
    </row>
    <row r="29" spans="1:24" ht="16" thickBot="1">
      <c r="A29" s="30" t="s">
        <v>31</v>
      </c>
      <c r="B29" s="20"/>
      <c r="C29" s="20"/>
      <c r="D29" s="20"/>
      <c r="E29" s="57" t="str">
        <f>IFERROR(C29/B29, "-")</f>
        <v>-</v>
      </c>
      <c r="F29" s="57" t="str">
        <f>IFERROR(D29/(C29+G29), "-")</f>
        <v>-</v>
      </c>
      <c r="G29" s="20"/>
      <c r="H29" s="15"/>
      <c r="V29" s="36"/>
      <c r="W29" s="36"/>
      <c r="X29" s="36"/>
    </row>
    <row r="30" spans="1:24" ht="16" thickBot="1">
      <c r="A30" s="32" t="s">
        <v>32</v>
      </c>
      <c r="B30" s="33"/>
      <c r="C30" s="33"/>
      <c r="D30" s="33"/>
      <c r="E30" s="57" t="str">
        <f>IFERROR(C30/B30, "-")</f>
        <v>-</v>
      </c>
      <c r="F30" s="57" t="str">
        <f>IFERROR(D30/(C30+G30), "-")</f>
        <v>-</v>
      </c>
      <c r="G30" s="20"/>
      <c r="H30" s="16"/>
    </row>
    <row r="31" spans="1:24" ht="17" thickBot="1">
      <c r="A31" s="174" t="s">
        <v>45</v>
      </c>
      <c r="B31" s="175"/>
      <c r="C31" s="175"/>
      <c r="D31" s="175"/>
      <c r="E31" s="38"/>
    </row>
    <row r="32" spans="1:24" ht="16" thickBot="1">
      <c r="A32" s="28"/>
      <c r="B32" s="23" t="s">
        <v>46</v>
      </c>
      <c r="C32" s="23" t="s">
        <v>47</v>
      </c>
      <c r="D32" s="23" t="s">
        <v>48</v>
      </c>
      <c r="E32" s="14" t="s">
        <v>155</v>
      </c>
    </row>
    <row r="33" spans="1:13" ht="16" thickBot="1">
      <c r="A33" s="30" t="s">
        <v>49</v>
      </c>
      <c r="B33" s="20"/>
      <c r="C33" s="20"/>
      <c r="D33" s="57" t="str">
        <f>IFERROR(C33/B33, "NA")</f>
        <v>NA</v>
      </c>
      <c r="E33" s="15"/>
    </row>
    <row r="34" spans="1:13" ht="16" thickBot="1">
      <c r="A34" s="32" t="s">
        <v>32</v>
      </c>
      <c r="B34" s="33"/>
      <c r="C34" s="33"/>
      <c r="D34" s="57" t="str">
        <f>IFERROR(C34/B34, "NA")</f>
        <v>NA</v>
      </c>
      <c r="E34" s="16"/>
    </row>
    <row r="35" spans="1:13" ht="16.5" customHeight="1" thickBot="1">
      <c r="A35" s="178" t="s">
        <v>50</v>
      </c>
      <c r="B35" s="179"/>
      <c r="C35" s="179"/>
      <c r="D35" s="179"/>
      <c r="E35" s="184"/>
      <c r="F35" s="38"/>
    </row>
    <row r="36" spans="1:13" ht="16" thickBot="1">
      <c r="A36" s="28"/>
      <c r="B36" s="23" t="s">
        <v>10</v>
      </c>
      <c r="C36" s="23" t="s">
        <v>51</v>
      </c>
      <c r="D36" s="23" t="s">
        <v>52</v>
      </c>
      <c r="E36" s="23" t="s">
        <v>53</v>
      </c>
      <c r="F36" s="14" t="s">
        <v>155</v>
      </c>
    </row>
    <row r="37" spans="1:13" ht="16" thickBot="1">
      <c r="A37" s="30" t="s">
        <v>49</v>
      </c>
      <c r="B37" s="20"/>
      <c r="C37" s="20"/>
      <c r="D37" s="20"/>
      <c r="E37" s="18" t="str">
        <f>IFERROR(D37/B37, "NA")</f>
        <v>NA</v>
      </c>
      <c r="F37" s="15"/>
    </row>
    <row r="38" spans="1:13" ht="16" thickBot="1">
      <c r="A38" s="32" t="s">
        <v>32</v>
      </c>
      <c r="B38" s="33"/>
      <c r="C38" s="33"/>
      <c r="D38" s="33"/>
      <c r="E38" s="18" t="str">
        <f>IFERROR(D38/B38, "NA")</f>
        <v>NA</v>
      </c>
      <c r="F38" s="16"/>
    </row>
    <row r="39" spans="1:13" ht="16" thickBot="1">
      <c r="A39" s="174" t="s">
        <v>54</v>
      </c>
      <c r="B39" s="175"/>
      <c r="C39" s="175"/>
      <c r="D39" s="175"/>
      <c r="E39" s="24" t="s">
        <v>162</v>
      </c>
      <c r="F39" s="25"/>
    </row>
    <row r="40" spans="1:13" ht="31.25" customHeight="1" thickBot="1">
      <c r="A40" s="39" t="s">
        <v>55</v>
      </c>
      <c r="B40" s="23" t="s">
        <v>56</v>
      </c>
      <c r="C40" s="23" t="s">
        <v>57</v>
      </c>
      <c r="D40" s="23" t="s">
        <v>58</v>
      </c>
    </row>
    <row r="41" spans="1:13" ht="16" thickBot="1">
      <c r="A41" s="40"/>
      <c r="B41" s="20"/>
      <c r="C41" s="40"/>
      <c r="D41" s="20"/>
    </row>
    <row r="42" spans="1:13" ht="16" thickBot="1">
      <c r="A42" s="41"/>
      <c r="B42" s="33"/>
      <c r="C42" s="41"/>
      <c r="D42" s="33"/>
    </row>
    <row r="43" spans="1:13" ht="16" thickBot="1">
      <c r="A43" s="40"/>
      <c r="B43" s="20"/>
      <c r="C43" s="40"/>
      <c r="D43" s="20"/>
    </row>
    <row r="44" spans="1:13" ht="16" thickBot="1">
      <c r="A44" s="41"/>
      <c r="B44" s="33"/>
      <c r="C44" s="41"/>
      <c r="D44" s="33"/>
    </row>
    <row r="45" spans="1:13" ht="16" thickBot="1">
      <c r="A45" s="40"/>
      <c r="B45" s="20"/>
      <c r="C45" s="40"/>
      <c r="D45" s="20"/>
    </row>
    <row r="46" spans="1:13" ht="16" thickBot="1">
      <c r="A46" s="42" t="s">
        <v>10</v>
      </c>
      <c r="B46" s="43"/>
      <c r="C46" s="43"/>
      <c r="D46" s="93">
        <v>0</v>
      </c>
    </row>
    <row r="47" spans="1:13" ht="17" thickBot="1">
      <c r="A47" s="174" t="s">
        <v>69</v>
      </c>
      <c r="B47" s="175"/>
      <c r="C47" s="175"/>
      <c r="D47" s="176"/>
      <c r="K47" s="38"/>
      <c r="L47" s="38"/>
      <c r="M47" s="38"/>
    </row>
    <row r="48" spans="1:13" ht="16" thickBot="1">
      <c r="A48" s="39" t="s">
        <v>55</v>
      </c>
      <c r="B48" s="23" t="s">
        <v>70</v>
      </c>
      <c r="C48" s="23" t="s">
        <v>71</v>
      </c>
      <c r="D48" s="23" t="s">
        <v>72</v>
      </c>
    </row>
    <row r="49" spans="1:4" ht="16" thickBot="1">
      <c r="A49" s="40"/>
      <c r="B49" s="20"/>
      <c r="C49" s="40"/>
      <c r="D49" s="20"/>
    </row>
    <row r="50" spans="1:4" ht="16" thickBot="1">
      <c r="A50" s="41"/>
      <c r="B50" s="33"/>
      <c r="C50" s="41"/>
      <c r="D50" s="33"/>
    </row>
    <row r="51" spans="1:4" ht="16" thickBot="1">
      <c r="A51" s="40"/>
      <c r="B51" s="20"/>
      <c r="C51" s="40"/>
      <c r="D51" s="20"/>
    </row>
    <row r="52" spans="1:4" ht="16" thickBot="1">
      <c r="A52" s="41"/>
      <c r="B52" s="33"/>
      <c r="C52" s="41"/>
      <c r="D52" s="33"/>
    </row>
    <row r="53" spans="1:4" ht="16" thickBot="1">
      <c r="A53" s="40"/>
      <c r="B53" s="20"/>
      <c r="C53" s="40"/>
      <c r="D53" s="20"/>
    </row>
    <row r="54" spans="1:4" ht="16" thickBot="1">
      <c r="A54" s="42" t="s">
        <v>10</v>
      </c>
      <c r="B54" s="43"/>
      <c r="C54" s="43"/>
      <c r="D54" s="43"/>
    </row>
    <row r="55" spans="1:4" ht="16" thickBot="1">
      <c r="A55" s="174" t="s">
        <v>74</v>
      </c>
      <c r="B55" s="175"/>
      <c r="C55" s="175"/>
      <c r="D55" s="176"/>
    </row>
    <row r="56" spans="1:4" ht="16" thickBot="1">
      <c r="A56" s="28" t="s">
        <v>75</v>
      </c>
      <c r="B56" s="23" t="s">
        <v>46</v>
      </c>
      <c r="C56" s="23" t="s">
        <v>47</v>
      </c>
      <c r="D56" s="23" t="s">
        <v>48</v>
      </c>
    </row>
    <row r="57" spans="1:4" ht="16" thickBot="1">
      <c r="A57" s="30" t="s">
        <v>49</v>
      </c>
      <c r="B57" s="20"/>
      <c r="C57" s="20"/>
      <c r="D57" s="18" t="str">
        <f>IFERROR(C57/B57, "NA")</f>
        <v>NA</v>
      </c>
    </row>
    <row r="58" spans="1:4" ht="16" thickBot="1">
      <c r="A58" s="32" t="s">
        <v>32</v>
      </c>
      <c r="B58" s="33"/>
      <c r="C58" s="33"/>
      <c r="D58" s="18" t="str">
        <f>IFERROR(C58/B58, "NA")</f>
        <v>NA</v>
      </c>
    </row>
    <row r="59" spans="1:4" ht="16" thickBot="1">
      <c r="A59" s="28" t="s">
        <v>76</v>
      </c>
      <c r="B59" s="23" t="s">
        <v>46</v>
      </c>
      <c r="C59" s="23" t="s">
        <v>47</v>
      </c>
      <c r="D59" s="23" t="s">
        <v>48</v>
      </c>
    </row>
    <row r="60" spans="1:4" ht="16" thickBot="1">
      <c r="A60" s="30" t="s">
        <v>49</v>
      </c>
      <c r="B60" s="20"/>
      <c r="C60" s="20"/>
      <c r="D60" s="18" t="str">
        <f>IFERROR(C60/B60, "NA")</f>
        <v>NA</v>
      </c>
    </row>
    <row r="61" spans="1:4" ht="16" thickBot="1">
      <c r="A61" s="32" t="s">
        <v>32</v>
      </c>
      <c r="B61" s="33"/>
      <c r="C61" s="33"/>
      <c r="D61" s="18" t="str">
        <f>IFERROR(C61/B61, "NA")</f>
        <v>NA</v>
      </c>
    </row>
    <row r="62" spans="1:4" ht="16" thickBot="1">
      <c r="A62" s="42" t="s">
        <v>10</v>
      </c>
      <c r="B62" s="26">
        <f>SUM(B58,B61)</f>
        <v>0</v>
      </c>
      <c r="C62" s="26">
        <f>SUM(C58,C61)</f>
        <v>0</v>
      </c>
      <c r="D62" s="18" t="str">
        <f>IFERROR(C62/B62, "NA")</f>
        <v>NA</v>
      </c>
    </row>
    <row r="63" spans="1:4" ht="16" thickBot="1">
      <c r="A63" s="174" t="s">
        <v>77</v>
      </c>
      <c r="B63" s="175"/>
      <c r="C63" s="175"/>
      <c r="D63" s="176"/>
    </row>
    <row r="64" spans="1:4" ht="16" thickBot="1">
      <c r="A64" s="28" t="s">
        <v>78</v>
      </c>
      <c r="B64" s="23" t="s">
        <v>46</v>
      </c>
      <c r="C64" s="23" t="s">
        <v>47</v>
      </c>
      <c r="D64" s="23" t="s">
        <v>48</v>
      </c>
    </row>
    <row r="65" spans="1:15" ht="16" thickBot="1">
      <c r="A65" s="30" t="s">
        <v>49</v>
      </c>
      <c r="B65" s="20"/>
      <c r="C65" s="20"/>
      <c r="D65" s="18" t="str">
        <f>IFERROR(C65/B65, "NA")</f>
        <v>NA</v>
      </c>
    </row>
    <row r="66" spans="1:15" ht="16" thickBot="1">
      <c r="A66" s="32" t="s">
        <v>32</v>
      </c>
      <c r="B66" s="33"/>
      <c r="C66" s="33"/>
      <c r="D66" s="18" t="str">
        <f>IFERROR(C66/B66, "NA")</f>
        <v>NA</v>
      </c>
    </row>
    <row r="67" spans="1:15" ht="16" thickBot="1">
      <c r="A67" s="28" t="s">
        <v>79</v>
      </c>
      <c r="B67" s="23" t="s">
        <v>46</v>
      </c>
      <c r="C67" s="23" t="s">
        <v>47</v>
      </c>
      <c r="D67" s="23" t="s">
        <v>48</v>
      </c>
    </row>
    <row r="68" spans="1:15" ht="16" thickBot="1">
      <c r="A68" s="30" t="s">
        <v>49</v>
      </c>
      <c r="B68" s="20"/>
      <c r="C68" s="20"/>
      <c r="D68" s="18" t="str">
        <f>IFERROR(C68/B68, "NA")</f>
        <v>NA</v>
      </c>
    </row>
    <row r="69" spans="1:15" ht="17" thickBot="1">
      <c r="A69" s="32" t="s">
        <v>32</v>
      </c>
      <c r="B69" s="33"/>
      <c r="C69" s="33"/>
      <c r="D69" s="18" t="str">
        <f>IFERROR(C69/B69, "NA")</f>
        <v>NA</v>
      </c>
      <c r="E69" s="44"/>
      <c r="F69" s="38"/>
      <c r="N69" s="44"/>
      <c r="O69" s="38"/>
    </row>
    <row r="70" spans="1:15" ht="17" thickBot="1">
      <c r="A70" s="42" t="s">
        <v>10</v>
      </c>
      <c r="B70" s="26">
        <f>SUM(B66,B69)</f>
        <v>0</v>
      </c>
      <c r="C70" s="26">
        <f>SUM(C66,C69)</f>
        <v>0</v>
      </c>
      <c r="D70" s="18" t="str">
        <f>IFERROR(C70/B70, "NA")</f>
        <v>NA</v>
      </c>
      <c r="E70" s="44"/>
    </row>
    <row r="71" spans="1:15" ht="16">
      <c r="J71" s="44"/>
      <c r="K71" s="38"/>
    </row>
  </sheetData>
  <sheetProtection sheet="1" objects="1" scenarios="1" formatColumns="0" formatRows="0"/>
  <mergeCells count="14">
    <mergeCell ref="A19:F19"/>
    <mergeCell ref="A1:F1"/>
    <mergeCell ref="B2:D2"/>
    <mergeCell ref="B3:D3"/>
    <mergeCell ref="A5:G5"/>
    <mergeCell ref="A15:J15"/>
    <mergeCell ref="A55:D55"/>
    <mergeCell ref="A63:D63"/>
    <mergeCell ref="A23:F23"/>
    <mergeCell ref="A27:G27"/>
    <mergeCell ref="A31:D31"/>
    <mergeCell ref="A35:E35"/>
    <mergeCell ref="A39:D39"/>
    <mergeCell ref="A47:D47"/>
  </mergeCells>
  <pageMargins left="0.7" right="0.7" top="0.75" bottom="0.75" header="0.3" footer="0.3"/>
  <pageSetup orientation="portrait" verticalDpi="0" r:id="rId1"/>
  <headerFooter>
    <oddFooter>&amp;L_x000D_&amp;1#&amp;"Calibri"&amp;12&amp;K000000 Information Classification: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D0286-05D6-4FAE-B718-1C1BC0E08143}">
  <dimension ref="A1:O71"/>
  <sheetViews>
    <sheetView showGridLines="0" topLeftCell="A2" zoomScale="86" zoomScaleNormal="112" workbookViewId="0">
      <selection activeCell="F30" sqref="F30"/>
    </sheetView>
  </sheetViews>
  <sheetFormatPr baseColWidth="10" defaultColWidth="8.5" defaultRowHeight="15"/>
  <cols>
    <col min="1" max="1" width="26.5" style="27" bestFit="1" customWidth="1"/>
    <col min="2" max="2" width="31.5" style="27" customWidth="1"/>
    <col min="3" max="3" width="32.5" style="27" customWidth="1"/>
    <col min="4" max="4" width="21.5" style="27" customWidth="1"/>
    <col min="5" max="5" width="24.83203125" style="27" customWidth="1"/>
    <col min="6" max="6" width="22.5" style="27" customWidth="1"/>
    <col min="7" max="7" width="22" style="27" customWidth="1"/>
    <col min="8" max="8" width="21.83203125" style="27" customWidth="1"/>
    <col min="9" max="9" width="21" style="27" customWidth="1"/>
    <col min="10" max="10" width="22.5" style="27" customWidth="1"/>
    <col min="11" max="11" width="26.5" style="27" customWidth="1"/>
    <col min="12" max="13" width="8.5" style="27"/>
    <col min="14" max="14" width="16.83203125" style="27" customWidth="1"/>
    <col min="15" max="15" width="21.5" style="27" customWidth="1"/>
    <col min="16" max="16" width="8.5" style="27"/>
    <col min="17" max="17" width="8.1640625" style="27" bestFit="1" customWidth="1"/>
    <col min="18" max="19" width="8.5" style="27" bestFit="1" customWidth="1"/>
    <col min="20" max="20" width="8.1640625" style="27" bestFit="1" customWidth="1"/>
    <col min="21" max="22" width="8.5" style="27"/>
    <col min="23" max="23" width="10.5" style="27" bestFit="1" customWidth="1"/>
    <col min="24" max="24" width="8.5" style="27"/>
    <col min="25" max="25" width="8.5" style="27" bestFit="1" customWidth="1"/>
    <col min="26" max="27" width="9.5" style="27" bestFit="1" customWidth="1"/>
    <col min="28" max="28" width="7.83203125" style="27" bestFit="1" customWidth="1"/>
    <col min="29" max="29" width="8.5" style="27"/>
    <col min="30" max="30" width="8.1640625" style="27" bestFit="1" customWidth="1"/>
    <col min="31" max="31" width="12.1640625" style="27" bestFit="1" customWidth="1"/>
    <col min="32" max="32" width="9.5" style="27" bestFit="1" customWidth="1"/>
    <col min="33" max="33" width="11.5" style="27" bestFit="1" customWidth="1"/>
    <col min="34" max="35" width="8.5" style="27"/>
    <col min="36" max="36" width="11.5" style="27" bestFit="1" customWidth="1"/>
    <col min="37" max="37" width="8.5" style="27"/>
    <col min="38" max="38" width="11.5" style="27" bestFit="1" customWidth="1"/>
    <col min="39" max="40" width="12.5" style="27" bestFit="1" customWidth="1"/>
    <col min="41" max="41" width="8.5" style="27"/>
    <col min="42" max="42" width="10.5" style="27" bestFit="1" customWidth="1"/>
    <col min="43" max="16384" width="8.5" style="27"/>
  </cols>
  <sheetData>
    <row r="1" spans="1:11" ht="16" thickBot="1">
      <c r="A1" s="174" t="s">
        <v>0</v>
      </c>
      <c r="B1" s="177"/>
      <c r="C1" s="177"/>
      <c r="D1" s="177"/>
      <c r="E1" s="177"/>
      <c r="F1" s="177"/>
    </row>
    <row r="2" spans="1:11" ht="16" thickBot="1">
      <c r="A2" s="28" t="s">
        <v>1</v>
      </c>
      <c r="B2" s="188">
        <f>'GRAND MOSQUE'!B2</f>
        <v>0</v>
      </c>
      <c r="C2" s="189"/>
      <c r="D2" s="190"/>
      <c r="E2" s="28" t="s">
        <v>2</v>
      </c>
      <c r="F2" s="88" t="str">
        <f>'GRAND MOSQUE'!F2</f>
        <v xml:space="preserve"> </v>
      </c>
    </row>
    <row r="3" spans="1:11" ht="18.5" customHeight="1" thickBot="1">
      <c r="A3" s="28" t="s">
        <v>80</v>
      </c>
      <c r="B3" s="185" t="s">
        <v>175</v>
      </c>
      <c r="C3" s="186"/>
      <c r="D3" s="187"/>
      <c r="E3" s="28" t="s">
        <v>3</v>
      </c>
      <c r="F3" s="30">
        <v>105</v>
      </c>
    </row>
    <row r="4" spans="1:11" ht="24" customHeight="1" thickBot="1">
      <c r="A4" s="28" t="s">
        <v>81</v>
      </c>
      <c r="B4" s="29" t="s">
        <v>180</v>
      </c>
      <c r="C4" s="28" t="s">
        <v>5</v>
      </c>
      <c r="D4" s="29" t="s">
        <v>82</v>
      </c>
      <c r="E4" s="28" t="s">
        <v>7</v>
      </c>
      <c r="F4" s="30" t="s">
        <v>83</v>
      </c>
    </row>
    <row r="5" spans="1:11" ht="15.75" customHeight="1" thickBot="1">
      <c r="A5" s="178" t="s">
        <v>9</v>
      </c>
      <c r="B5" s="179"/>
      <c r="C5" s="179"/>
      <c r="D5" s="179"/>
      <c r="E5" s="179"/>
      <c r="F5" s="179"/>
      <c r="G5" s="180"/>
    </row>
    <row r="6" spans="1:11" ht="16" thickBot="1">
      <c r="A6" s="14"/>
      <c r="B6" s="21" t="s">
        <v>153</v>
      </c>
      <c r="C6" s="14" t="s">
        <v>11</v>
      </c>
      <c r="D6" s="14" t="s">
        <v>12</v>
      </c>
      <c r="E6" s="14" t="s">
        <v>13</v>
      </c>
      <c r="F6" s="14" t="s">
        <v>14</v>
      </c>
      <c r="G6" s="22" t="s">
        <v>154</v>
      </c>
      <c r="H6" s="14" t="s">
        <v>155</v>
      </c>
    </row>
    <row r="7" spans="1:11" ht="16" thickBot="1">
      <c r="A7" s="30" t="s">
        <v>16</v>
      </c>
      <c r="B7" s="54">
        <f>SUM(C7:F7)</f>
        <v>1</v>
      </c>
      <c r="C7" s="20">
        <v>0</v>
      </c>
      <c r="D7" s="20">
        <v>1</v>
      </c>
      <c r="E7" s="20">
        <v>0</v>
      </c>
      <c r="F7" s="20">
        <v>0</v>
      </c>
      <c r="G7" s="55">
        <f>IFERROR((C7+D7)/B7, "0")</f>
        <v>1</v>
      </c>
      <c r="H7" s="15"/>
    </row>
    <row r="8" spans="1:11" ht="16" thickBot="1">
      <c r="A8" s="32" t="s">
        <v>17</v>
      </c>
      <c r="B8" s="54">
        <f t="shared" ref="B8:B14" si="0">SUM(C8:F8)</f>
        <v>1</v>
      </c>
      <c r="C8" s="33">
        <v>1</v>
      </c>
      <c r="D8" s="33">
        <v>0</v>
      </c>
      <c r="E8" s="33">
        <v>0</v>
      </c>
      <c r="F8" s="33">
        <v>0</v>
      </c>
      <c r="G8" s="55">
        <f t="shared" ref="G8:G14" si="1">IFERROR((C8+D8)/B8, "0")</f>
        <v>1</v>
      </c>
      <c r="H8" s="16"/>
    </row>
    <row r="9" spans="1:11" ht="16" thickBot="1">
      <c r="A9" s="30" t="s">
        <v>18</v>
      </c>
      <c r="B9" s="54">
        <f t="shared" si="0"/>
        <v>11</v>
      </c>
      <c r="C9" s="20">
        <v>0</v>
      </c>
      <c r="D9" s="20">
        <v>11</v>
      </c>
      <c r="E9" s="20">
        <v>0</v>
      </c>
      <c r="F9" s="20">
        <v>0</v>
      </c>
      <c r="G9" s="55">
        <f t="shared" si="1"/>
        <v>1</v>
      </c>
      <c r="H9" s="15"/>
    </row>
    <row r="10" spans="1:11" ht="16" thickBot="1">
      <c r="A10" s="32" t="s">
        <v>19</v>
      </c>
      <c r="B10" s="54">
        <f t="shared" si="0"/>
        <v>78</v>
      </c>
      <c r="C10" s="33">
        <v>26</v>
      </c>
      <c r="D10" s="33">
        <v>34</v>
      </c>
      <c r="E10" s="33">
        <v>18</v>
      </c>
      <c r="F10" s="33">
        <v>0</v>
      </c>
      <c r="G10" s="55">
        <f t="shared" si="1"/>
        <v>0.76923076923076927</v>
      </c>
      <c r="H10" s="16" t="s">
        <v>367</v>
      </c>
    </row>
    <row r="11" spans="1:11" ht="16" thickBot="1">
      <c r="A11" s="30" t="s">
        <v>20</v>
      </c>
      <c r="B11" s="54">
        <f t="shared" si="0"/>
        <v>47</v>
      </c>
      <c r="C11" s="20">
        <v>16</v>
      </c>
      <c r="D11" s="20">
        <v>20</v>
      </c>
      <c r="E11" s="20">
        <v>10</v>
      </c>
      <c r="F11" s="20">
        <v>1</v>
      </c>
      <c r="G11" s="55">
        <f t="shared" si="1"/>
        <v>0.76595744680851063</v>
      </c>
      <c r="H11" s="15" t="s">
        <v>368</v>
      </c>
    </row>
    <row r="12" spans="1:11" ht="16" thickBot="1">
      <c r="A12" s="32" t="s">
        <v>21</v>
      </c>
      <c r="B12" s="54">
        <f t="shared" si="0"/>
        <v>264</v>
      </c>
      <c r="C12" s="33">
        <v>2</v>
      </c>
      <c r="D12" s="20">
        <v>161</v>
      </c>
      <c r="E12" s="20">
        <v>90</v>
      </c>
      <c r="F12" s="33">
        <v>11</v>
      </c>
      <c r="G12" s="55">
        <f t="shared" si="1"/>
        <v>0.61742424242424243</v>
      </c>
      <c r="H12" s="16" t="s">
        <v>369</v>
      </c>
    </row>
    <row r="13" spans="1:11" ht="16" thickBot="1">
      <c r="A13" s="30" t="s">
        <v>22</v>
      </c>
      <c r="B13" s="54">
        <f t="shared" si="0"/>
        <v>0</v>
      </c>
      <c r="C13" s="20">
        <v>0</v>
      </c>
      <c r="D13" s="20">
        <v>0</v>
      </c>
      <c r="E13" s="20">
        <v>0</v>
      </c>
      <c r="F13" s="20">
        <v>0</v>
      </c>
      <c r="G13" s="55" t="str">
        <f t="shared" si="1"/>
        <v>0</v>
      </c>
      <c r="H13" s="15"/>
    </row>
    <row r="14" spans="1:11" ht="16" thickBot="1">
      <c r="A14" s="32" t="s">
        <v>23</v>
      </c>
      <c r="B14" s="54">
        <f t="shared" si="0"/>
        <v>7990</v>
      </c>
      <c r="C14" s="20">
        <v>1263</v>
      </c>
      <c r="D14" s="20">
        <v>5275</v>
      </c>
      <c r="E14" s="20">
        <v>1440</v>
      </c>
      <c r="F14" s="33">
        <v>12</v>
      </c>
      <c r="G14" s="55">
        <f t="shared" si="1"/>
        <v>0.81827284105131415</v>
      </c>
      <c r="H14" s="16" t="s">
        <v>370</v>
      </c>
    </row>
    <row r="15" spans="1:11" ht="15.75" customHeight="1" thickBot="1">
      <c r="A15" s="191" t="s">
        <v>24</v>
      </c>
      <c r="B15" s="192"/>
      <c r="C15" s="192"/>
      <c r="D15" s="192"/>
      <c r="E15" s="192"/>
      <c r="F15" s="192"/>
      <c r="G15" s="192"/>
      <c r="H15" s="192"/>
      <c r="I15" s="192"/>
      <c r="J15" s="192"/>
    </row>
    <row r="16" spans="1:11" ht="16" thickBot="1">
      <c r="A16" s="14"/>
      <c r="B16" s="14" t="s">
        <v>25</v>
      </c>
      <c r="C16" s="14" t="s">
        <v>26</v>
      </c>
      <c r="D16" s="14" t="s">
        <v>27</v>
      </c>
      <c r="E16" s="14" t="s">
        <v>28</v>
      </c>
      <c r="F16" s="21" t="s">
        <v>156</v>
      </c>
      <c r="G16" s="21" t="s">
        <v>157</v>
      </c>
      <c r="H16" s="21" t="s">
        <v>158</v>
      </c>
      <c r="I16" s="22" t="s">
        <v>159</v>
      </c>
      <c r="J16" s="17" t="s">
        <v>160</v>
      </c>
      <c r="K16" s="14" t="s">
        <v>155</v>
      </c>
    </row>
    <row r="17" spans="1:11" ht="16" thickBot="1">
      <c r="A17" s="30" t="s">
        <v>31</v>
      </c>
      <c r="B17" s="20">
        <v>10</v>
      </c>
      <c r="C17" s="20">
        <v>10</v>
      </c>
      <c r="D17" s="20">
        <v>1</v>
      </c>
      <c r="E17" s="20">
        <v>0</v>
      </c>
      <c r="F17" s="18">
        <f>IFERROR(D17/B17, "NA")</f>
        <v>0.1</v>
      </c>
      <c r="G17" s="18">
        <f>IFERROR(E17/(D17+J17), "NA")</f>
        <v>0</v>
      </c>
      <c r="H17" s="56">
        <f>B25</f>
        <v>701</v>
      </c>
      <c r="I17" s="19">
        <f>IFERROR(B17/H17, "NA")</f>
        <v>1.4265335235378032E-2</v>
      </c>
      <c r="J17" s="20"/>
      <c r="K17" s="15"/>
    </row>
    <row r="18" spans="1:11" ht="16" thickBot="1">
      <c r="A18" s="32" t="s">
        <v>32</v>
      </c>
      <c r="B18" s="20">
        <v>41</v>
      </c>
      <c r="C18" s="33">
        <v>20</v>
      </c>
      <c r="D18" s="33">
        <v>21</v>
      </c>
      <c r="E18" s="33">
        <v>18</v>
      </c>
      <c r="F18" s="18">
        <f>IFERROR(D18/B18, "NA")</f>
        <v>0.51219512195121952</v>
      </c>
      <c r="G18" s="18">
        <f>IFERROR(E18/(D18+J18), "NA")</f>
        <v>0.5625</v>
      </c>
      <c r="H18" s="56">
        <f>B26</f>
        <v>6315</v>
      </c>
      <c r="I18" s="19">
        <f>IFERROR(B18/H18, "NA")</f>
        <v>6.4924782264449725E-3</v>
      </c>
      <c r="J18" s="20">
        <v>11</v>
      </c>
      <c r="K18" s="16" t="s">
        <v>356</v>
      </c>
    </row>
    <row r="19" spans="1:11" ht="15.75" customHeight="1" thickBot="1">
      <c r="A19" s="174" t="s">
        <v>33</v>
      </c>
      <c r="B19" s="177"/>
      <c r="C19" s="177"/>
      <c r="D19" s="177"/>
      <c r="E19" s="181"/>
      <c r="F19" s="181"/>
    </row>
    <row r="20" spans="1:11" ht="16" thickBot="1">
      <c r="A20" s="31"/>
      <c r="B20" s="14" t="s">
        <v>34</v>
      </c>
      <c r="C20" s="14" t="s">
        <v>35</v>
      </c>
      <c r="D20" s="14" t="s">
        <v>36</v>
      </c>
      <c r="E20" s="14" t="s">
        <v>37</v>
      </c>
      <c r="F20" s="14" t="s">
        <v>38</v>
      </c>
      <c r="G20" s="14" t="s">
        <v>155</v>
      </c>
    </row>
    <row r="21" spans="1:11" ht="16" thickBot="1">
      <c r="A21" s="30" t="s">
        <v>31</v>
      </c>
      <c r="B21" s="33">
        <v>66</v>
      </c>
      <c r="C21" s="20">
        <v>54</v>
      </c>
      <c r="D21" s="20">
        <v>50</v>
      </c>
      <c r="E21" s="57">
        <f>IFERROR(C21/B21, "NA")</f>
        <v>0.81818181818181823</v>
      </c>
      <c r="F21" s="57">
        <f>IFERROR(D21/C21, "NA")</f>
        <v>0.92592592592592593</v>
      </c>
      <c r="G21" s="15"/>
    </row>
    <row r="22" spans="1:11" ht="16" thickBot="1">
      <c r="A22" s="32" t="s">
        <v>32</v>
      </c>
      <c r="B22" s="33">
        <v>385</v>
      </c>
      <c r="C22" s="20">
        <v>365</v>
      </c>
      <c r="D22" s="20">
        <v>315</v>
      </c>
      <c r="E22" s="57">
        <f>IFERROR(C22/B22, "NA")</f>
        <v>0.94805194805194803</v>
      </c>
      <c r="F22" s="57">
        <f>IFERROR(D22/C22, "NA")</f>
        <v>0.86301369863013699</v>
      </c>
      <c r="G22" s="16"/>
    </row>
    <row r="23" spans="1:11" ht="15.75" customHeight="1" thickBot="1">
      <c r="A23" s="178" t="s">
        <v>39</v>
      </c>
      <c r="B23" s="179"/>
      <c r="C23" s="179"/>
      <c r="D23" s="179"/>
      <c r="E23" s="180"/>
      <c r="F23" s="180"/>
    </row>
    <row r="24" spans="1:11" ht="16" thickBot="1">
      <c r="A24" s="31"/>
      <c r="B24" s="14" t="s">
        <v>29</v>
      </c>
      <c r="C24" s="14" t="s">
        <v>35</v>
      </c>
      <c r="D24" s="14" t="s">
        <v>36</v>
      </c>
      <c r="E24" s="14" t="s">
        <v>37</v>
      </c>
      <c r="F24" s="14" t="s">
        <v>38</v>
      </c>
      <c r="G24" s="14" t="s">
        <v>155</v>
      </c>
    </row>
    <row r="25" spans="1:11" ht="16" thickBot="1">
      <c r="A25" s="30" t="s">
        <v>31</v>
      </c>
      <c r="B25" s="20">
        <v>701</v>
      </c>
      <c r="C25" s="20">
        <v>605</v>
      </c>
      <c r="D25" s="20">
        <v>550</v>
      </c>
      <c r="E25" s="57">
        <f>IFERROR(C25/B25, "NA")</f>
        <v>0.86305278174037092</v>
      </c>
      <c r="F25" s="57">
        <f>IFERROR(D25/C25, "NA")</f>
        <v>0.90909090909090906</v>
      </c>
      <c r="G25" s="15"/>
    </row>
    <row r="26" spans="1:11" ht="16" thickBot="1">
      <c r="A26" s="32" t="s">
        <v>32</v>
      </c>
      <c r="B26" s="20">
        <v>6315</v>
      </c>
      <c r="C26" s="20">
        <v>6051</v>
      </c>
      <c r="D26" s="20">
        <v>5218</v>
      </c>
      <c r="E26" s="57">
        <f>IFERROR(C26/B26, "NA")</f>
        <v>0.95819477434679334</v>
      </c>
      <c r="F26" s="57">
        <f>IFERROR(D26/C26, "NA")</f>
        <v>0.86233680383407696</v>
      </c>
      <c r="G26" s="16"/>
    </row>
    <row r="27" spans="1:11" ht="16.5" customHeight="1" thickBot="1">
      <c r="A27" s="182" t="s">
        <v>40</v>
      </c>
      <c r="B27" s="183"/>
      <c r="C27" s="183"/>
      <c r="D27" s="183"/>
      <c r="E27" s="183"/>
      <c r="F27" s="183"/>
      <c r="G27" s="183"/>
    </row>
    <row r="28" spans="1:11" ht="16" thickBot="1">
      <c r="A28" s="28"/>
      <c r="B28" s="23" t="s">
        <v>10</v>
      </c>
      <c r="C28" s="23" t="s">
        <v>41</v>
      </c>
      <c r="D28" s="23" t="s">
        <v>42</v>
      </c>
      <c r="E28" s="23" t="s">
        <v>43</v>
      </c>
      <c r="F28" s="23" t="s">
        <v>44</v>
      </c>
      <c r="G28" s="17" t="s">
        <v>161</v>
      </c>
      <c r="H28" s="14" t="s">
        <v>155</v>
      </c>
    </row>
    <row r="29" spans="1:11" ht="16" thickBot="1">
      <c r="A29" s="30" t="s">
        <v>31</v>
      </c>
      <c r="B29" s="20">
        <v>119</v>
      </c>
      <c r="C29" s="20">
        <v>93</v>
      </c>
      <c r="D29" s="20">
        <v>66</v>
      </c>
      <c r="E29" s="57">
        <f>IFERROR(C29/B29, "-")</f>
        <v>0.78151260504201681</v>
      </c>
      <c r="F29" s="57">
        <f>IFERROR(D29/(C29+G29), "-")</f>
        <v>0.70967741935483875</v>
      </c>
      <c r="G29" s="20"/>
      <c r="H29" s="15"/>
    </row>
    <row r="30" spans="1:11" ht="16" thickBot="1">
      <c r="A30" s="32" t="s">
        <v>32</v>
      </c>
      <c r="B30" s="33">
        <v>1320</v>
      </c>
      <c r="C30" s="33">
        <v>1294</v>
      </c>
      <c r="D30" s="33">
        <v>882</v>
      </c>
      <c r="E30" s="57">
        <f>IFERROR(C30/B30, "-")</f>
        <v>0.98030303030303034</v>
      </c>
      <c r="F30" s="57">
        <f>IFERROR(D30/(C30+G30), "-")</f>
        <v>0.68108108108108112</v>
      </c>
      <c r="G30" s="20">
        <v>1</v>
      </c>
      <c r="H30" s="16"/>
    </row>
    <row r="31" spans="1:11" ht="17" thickBot="1">
      <c r="A31" s="174" t="s">
        <v>45</v>
      </c>
      <c r="B31" s="175"/>
      <c r="C31" s="175"/>
      <c r="D31" s="175"/>
      <c r="E31" s="38"/>
    </row>
    <row r="32" spans="1:11" ht="16" thickBot="1">
      <c r="A32" s="28"/>
      <c r="B32" s="23" t="s">
        <v>46</v>
      </c>
      <c r="C32" s="23" t="s">
        <v>47</v>
      </c>
      <c r="D32" s="23" t="s">
        <v>48</v>
      </c>
      <c r="E32" s="14" t="s">
        <v>155</v>
      </c>
      <c r="G32" s="27" t="s">
        <v>371</v>
      </c>
    </row>
    <row r="33" spans="1:13" ht="16" thickBot="1">
      <c r="A33" s="30" t="s">
        <v>49</v>
      </c>
      <c r="B33" s="49">
        <v>1</v>
      </c>
      <c r="C33" s="49">
        <v>1</v>
      </c>
      <c r="D33" s="57">
        <f>IFERROR(C33/B33, "NA")</f>
        <v>1</v>
      </c>
      <c r="E33" s="15" t="s">
        <v>357</v>
      </c>
    </row>
    <row r="34" spans="1:13" ht="16" thickBot="1">
      <c r="A34" s="32" t="s">
        <v>32</v>
      </c>
      <c r="B34" s="50">
        <v>1</v>
      </c>
      <c r="C34" s="50">
        <v>1</v>
      </c>
      <c r="D34" s="57">
        <f>IFERROR(C34/B34, "NA")</f>
        <v>1</v>
      </c>
      <c r="E34" s="16"/>
    </row>
    <row r="35" spans="1:13" ht="16.5" customHeight="1" thickBot="1">
      <c r="A35" s="178" t="s">
        <v>50</v>
      </c>
      <c r="B35" s="179"/>
      <c r="C35" s="179"/>
      <c r="D35" s="179"/>
      <c r="E35" s="184"/>
      <c r="F35" s="38"/>
    </row>
    <row r="36" spans="1:13" ht="16" thickBot="1">
      <c r="A36" s="28"/>
      <c r="B36" s="23" t="s">
        <v>10</v>
      </c>
      <c r="C36" s="23" t="s">
        <v>51</v>
      </c>
      <c r="D36" s="23" t="s">
        <v>52</v>
      </c>
      <c r="E36" s="23" t="s">
        <v>53</v>
      </c>
      <c r="F36" s="14" t="s">
        <v>155</v>
      </c>
    </row>
    <row r="37" spans="1:13" ht="16" thickBot="1">
      <c r="A37" s="30" t="s">
        <v>49</v>
      </c>
      <c r="B37" s="20"/>
      <c r="C37" s="20"/>
      <c r="D37" s="20"/>
      <c r="E37" s="18" t="str">
        <f>IFERROR(D37/B37, "NA")</f>
        <v>NA</v>
      </c>
      <c r="F37" s="15"/>
    </row>
    <row r="38" spans="1:13" ht="16" thickBot="1">
      <c r="A38" s="32" t="s">
        <v>32</v>
      </c>
      <c r="B38" s="33"/>
      <c r="C38" s="33"/>
      <c r="D38" s="33"/>
      <c r="E38" s="18" t="str">
        <f>IFERROR(D38/B38, "NA")</f>
        <v>NA</v>
      </c>
      <c r="F38" s="16"/>
    </row>
    <row r="39" spans="1:13" ht="16" thickBot="1">
      <c r="A39" s="174" t="s">
        <v>54</v>
      </c>
      <c r="B39" s="175"/>
      <c r="C39" s="175"/>
      <c r="D39" s="175"/>
      <c r="E39" s="24" t="s">
        <v>162</v>
      </c>
      <c r="F39" s="25"/>
    </row>
    <row r="40" spans="1:13" ht="16" thickBot="1">
      <c r="A40" s="39" t="s">
        <v>55</v>
      </c>
      <c r="B40" s="23" t="s">
        <v>56</v>
      </c>
      <c r="C40" s="23" t="s">
        <v>57</v>
      </c>
      <c r="D40" s="23" t="s">
        <v>58</v>
      </c>
    </row>
    <row r="41" spans="1:13" ht="261.75" customHeight="1" thickBot="1">
      <c r="A41" s="40">
        <v>1</v>
      </c>
      <c r="B41" s="20" t="s">
        <v>359</v>
      </c>
      <c r="C41" s="40" t="s">
        <v>360</v>
      </c>
      <c r="D41" s="20" t="s">
        <v>361</v>
      </c>
    </row>
    <row r="42" spans="1:13" ht="185.25" customHeight="1" thickBot="1">
      <c r="A42" s="41">
        <v>2</v>
      </c>
      <c r="B42" s="33" t="s">
        <v>362</v>
      </c>
      <c r="C42" s="41" t="s">
        <v>363</v>
      </c>
      <c r="D42" s="33" t="s">
        <v>361</v>
      </c>
    </row>
    <row r="43" spans="1:13" ht="94" customHeight="1" thickBot="1">
      <c r="A43" s="40">
        <v>3</v>
      </c>
      <c r="B43" s="20" t="s">
        <v>364</v>
      </c>
      <c r="C43" s="40" t="s">
        <v>365</v>
      </c>
      <c r="D43" s="20" t="s">
        <v>361</v>
      </c>
    </row>
    <row r="44" spans="1:13" ht="94" customHeight="1" thickBot="1">
      <c r="A44" s="41"/>
      <c r="B44" s="33"/>
      <c r="C44" s="41"/>
      <c r="D44" s="33"/>
    </row>
    <row r="45" spans="1:13" ht="94" customHeight="1" thickBot="1">
      <c r="A45" s="40"/>
      <c r="B45" s="20"/>
      <c r="C45" s="40"/>
      <c r="D45" s="20"/>
    </row>
    <row r="46" spans="1:13" ht="16" thickBot="1">
      <c r="A46" s="42" t="s">
        <v>10</v>
      </c>
      <c r="B46" s="43">
        <v>3</v>
      </c>
      <c r="C46" s="43">
        <v>3</v>
      </c>
      <c r="D46" s="93">
        <f>C46/B46</f>
        <v>1</v>
      </c>
    </row>
    <row r="47" spans="1:13" ht="17" thickBot="1">
      <c r="A47" s="174" t="s">
        <v>69</v>
      </c>
      <c r="B47" s="175"/>
      <c r="C47" s="175"/>
      <c r="D47" s="176"/>
      <c r="K47" s="38"/>
      <c r="L47" s="38"/>
      <c r="M47" s="38"/>
    </row>
    <row r="48" spans="1:13" ht="16" thickBot="1">
      <c r="A48" s="39" t="s">
        <v>55</v>
      </c>
      <c r="B48" s="23" t="s">
        <v>70</v>
      </c>
      <c r="C48" s="23" t="s">
        <v>71</v>
      </c>
      <c r="D48" s="23" t="s">
        <v>72</v>
      </c>
    </row>
    <row r="49" spans="1:4" ht="85.5" customHeight="1" thickBot="1">
      <c r="A49" s="40">
        <v>1</v>
      </c>
      <c r="B49" s="20" t="s">
        <v>358</v>
      </c>
      <c r="C49" s="40" t="s">
        <v>73</v>
      </c>
      <c r="D49" s="20" t="s">
        <v>73</v>
      </c>
    </row>
    <row r="50" spans="1:4" ht="265.5" customHeight="1" thickBot="1">
      <c r="A50" s="41">
        <v>2</v>
      </c>
      <c r="B50" s="33" t="s">
        <v>366</v>
      </c>
      <c r="C50" s="41" t="s">
        <v>73</v>
      </c>
      <c r="D50" s="33" t="s">
        <v>73</v>
      </c>
    </row>
    <row r="51" spans="1:4" ht="123.75" customHeight="1" thickBot="1">
      <c r="A51" s="40"/>
      <c r="B51" s="20"/>
      <c r="C51" s="40"/>
      <c r="D51" s="20"/>
    </row>
    <row r="52" spans="1:4" ht="100.5" customHeight="1" thickBot="1">
      <c r="A52" s="41"/>
      <c r="B52" s="33"/>
      <c r="C52" s="41"/>
      <c r="D52" s="33"/>
    </row>
    <row r="53" spans="1:4" ht="68.5" customHeight="1" thickBot="1">
      <c r="A53" s="40"/>
      <c r="B53" s="20"/>
      <c r="C53" s="40"/>
      <c r="D53" s="20"/>
    </row>
    <row r="54" spans="1:4" ht="16" thickBot="1">
      <c r="A54" s="42" t="s">
        <v>10</v>
      </c>
      <c r="B54" s="43">
        <v>2</v>
      </c>
      <c r="C54" s="43">
        <v>2</v>
      </c>
      <c r="D54" s="43">
        <f>(C54/B54)*100</f>
        <v>100</v>
      </c>
    </row>
    <row r="55" spans="1:4" ht="16" thickBot="1">
      <c r="A55" s="174" t="s">
        <v>74</v>
      </c>
      <c r="B55" s="175"/>
      <c r="C55" s="175"/>
      <c r="D55" s="176"/>
    </row>
    <row r="56" spans="1:4" ht="16" thickBot="1">
      <c r="A56" s="28" t="s">
        <v>75</v>
      </c>
      <c r="B56" s="23" t="s">
        <v>46</v>
      </c>
      <c r="C56" s="23" t="s">
        <v>47</v>
      </c>
      <c r="D56" s="23" t="s">
        <v>48</v>
      </c>
    </row>
    <row r="57" spans="1:4" ht="16" thickBot="1">
      <c r="A57" s="30" t="s">
        <v>49</v>
      </c>
      <c r="B57" s="20">
        <v>4</v>
      </c>
      <c r="C57" s="20">
        <v>4</v>
      </c>
      <c r="D57" s="18">
        <f>IFERROR(C57/B57, "NA")</f>
        <v>1</v>
      </c>
    </row>
    <row r="58" spans="1:4" ht="16" thickBot="1">
      <c r="A58" s="32" t="s">
        <v>32</v>
      </c>
      <c r="B58" s="33">
        <v>36</v>
      </c>
      <c r="C58" s="33">
        <v>36</v>
      </c>
      <c r="D58" s="18">
        <f>IFERROR(C58/B58, "NA")</f>
        <v>1</v>
      </c>
    </row>
    <row r="59" spans="1:4" ht="16" thickBot="1">
      <c r="A59" s="28" t="s">
        <v>76</v>
      </c>
      <c r="B59" s="23" t="s">
        <v>46</v>
      </c>
      <c r="C59" s="23" t="s">
        <v>47</v>
      </c>
      <c r="D59" s="23" t="s">
        <v>48</v>
      </c>
    </row>
    <row r="60" spans="1:4" ht="16" thickBot="1">
      <c r="A60" s="30" t="s">
        <v>49</v>
      </c>
      <c r="B60" s="20">
        <v>1</v>
      </c>
      <c r="C60" s="20">
        <v>1</v>
      </c>
      <c r="D60" s="18">
        <f>IFERROR(C60/B60, "NA")</f>
        <v>1</v>
      </c>
    </row>
    <row r="61" spans="1:4" ht="16" thickBot="1">
      <c r="A61" s="32" t="s">
        <v>32</v>
      </c>
      <c r="B61" s="33">
        <v>13</v>
      </c>
      <c r="C61" s="33">
        <v>13</v>
      </c>
      <c r="D61" s="18">
        <f>IFERROR(C61/B61, "NA")</f>
        <v>1</v>
      </c>
    </row>
    <row r="62" spans="1:4" ht="16" thickBot="1">
      <c r="A62" s="42" t="s">
        <v>10</v>
      </c>
      <c r="B62" s="26">
        <f>SUM(B58,B61)</f>
        <v>49</v>
      </c>
      <c r="C62" s="26">
        <f>SUM(C58,C61)</f>
        <v>49</v>
      </c>
      <c r="D62" s="18">
        <f>IFERROR(C62/B62, "NA")</f>
        <v>1</v>
      </c>
    </row>
    <row r="63" spans="1:4" ht="16" thickBot="1">
      <c r="A63" s="174" t="s">
        <v>77</v>
      </c>
      <c r="B63" s="175"/>
      <c r="C63" s="175"/>
      <c r="D63" s="176"/>
    </row>
    <row r="64" spans="1:4" ht="16" thickBot="1">
      <c r="A64" s="28" t="s">
        <v>78</v>
      </c>
      <c r="B64" s="23" t="s">
        <v>46</v>
      </c>
      <c r="C64" s="23" t="s">
        <v>47</v>
      </c>
      <c r="D64" s="23" t="s">
        <v>48</v>
      </c>
    </row>
    <row r="65" spans="1:15" ht="16" thickBot="1">
      <c r="A65" s="30" t="s">
        <v>49</v>
      </c>
      <c r="B65" s="20">
        <v>4</v>
      </c>
      <c r="C65" s="20">
        <v>4</v>
      </c>
      <c r="D65" s="18">
        <f>IFERROR(C65/B65, "NA")</f>
        <v>1</v>
      </c>
    </row>
    <row r="66" spans="1:15" ht="16" thickBot="1">
      <c r="A66" s="32" t="s">
        <v>32</v>
      </c>
      <c r="B66" s="33">
        <f>B58</f>
        <v>36</v>
      </c>
      <c r="C66" s="33">
        <f>C58</f>
        <v>36</v>
      </c>
      <c r="D66" s="18">
        <f>IFERROR(C66/B66, "NA")</f>
        <v>1</v>
      </c>
    </row>
    <row r="67" spans="1:15" ht="16" thickBot="1">
      <c r="A67" s="28" t="s">
        <v>79</v>
      </c>
      <c r="B67" s="23" t="s">
        <v>46</v>
      </c>
      <c r="C67" s="23" t="s">
        <v>47</v>
      </c>
      <c r="D67" s="23" t="s">
        <v>48</v>
      </c>
    </row>
    <row r="68" spans="1:15" ht="16" thickBot="1">
      <c r="A68" s="30" t="s">
        <v>49</v>
      </c>
      <c r="B68" s="20">
        <v>1</v>
      </c>
      <c r="C68" s="20">
        <v>1</v>
      </c>
      <c r="D68" s="18">
        <f>IFERROR(C68/B68, "NA")</f>
        <v>1</v>
      </c>
    </row>
    <row r="69" spans="1:15" ht="17" thickBot="1">
      <c r="A69" s="32" t="s">
        <v>32</v>
      </c>
      <c r="B69" s="33">
        <v>13</v>
      </c>
      <c r="C69" s="33">
        <v>13</v>
      </c>
      <c r="D69" s="18">
        <f>IFERROR(C69/B69, "NA")</f>
        <v>1</v>
      </c>
      <c r="E69" s="44"/>
      <c r="F69" s="38"/>
      <c r="N69" s="44"/>
      <c r="O69" s="38"/>
    </row>
    <row r="70" spans="1:15" ht="17" thickBot="1">
      <c r="A70" s="42" t="s">
        <v>10</v>
      </c>
      <c r="B70" s="26">
        <f>SUM(B66,B69)</f>
        <v>49</v>
      </c>
      <c r="C70" s="26">
        <f>SUM(C66,C69)</f>
        <v>49</v>
      </c>
      <c r="D70" s="18">
        <f>IFERROR(C70/B70, "NA")</f>
        <v>1</v>
      </c>
      <c r="E70" s="44"/>
    </row>
    <row r="71" spans="1:15" ht="16">
      <c r="J71" s="44"/>
      <c r="K71" s="38"/>
    </row>
  </sheetData>
  <sheetProtection sheet="1" objects="1" scenarios="1" formatColumns="0" formatRows="0"/>
  <mergeCells count="14">
    <mergeCell ref="A27:G27"/>
    <mergeCell ref="A1:F1"/>
    <mergeCell ref="A5:G5"/>
    <mergeCell ref="A19:F19"/>
    <mergeCell ref="A23:F23"/>
    <mergeCell ref="B3:D3"/>
    <mergeCell ref="B2:D2"/>
    <mergeCell ref="A15:J15"/>
    <mergeCell ref="A63:D63"/>
    <mergeCell ref="A31:D31"/>
    <mergeCell ref="A35:E35"/>
    <mergeCell ref="A39:D39"/>
    <mergeCell ref="A47:D47"/>
    <mergeCell ref="A55:D55"/>
  </mergeCells>
  <pageMargins left="0.7" right="0.7" top="0.75" bottom="0.75" header="0.3" footer="0.3"/>
  <pageSetup orientation="portrait" r:id="rId1"/>
  <headerFooter>
    <oddFooter>&amp;L_x000D_&amp;1#&amp;"Calibri"&amp;12&amp;K000000 Information Classification: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839E-2035-456E-BC21-D9F189CF89B8}">
  <sheetPr>
    <pageSetUpPr fitToPage="1"/>
  </sheetPr>
  <dimension ref="A1:O71"/>
  <sheetViews>
    <sheetView showGridLines="0" zoomScale="91" zoomScaleNormal="70" workbookViewId="0">
      <selection activeCell="C54" sqref="C54"/>
    </sheetView>
  </sheetViews>
  <sheetFormatPr baseColWidth="10" defaultColWidth="8.5" defaultRowHeight="15"/>
  <cols>
    <col min="1" max="1" width="17.5" style="27" customWidth="1"/>
    <col min="2" max="2" width="31.5" style="27" customWidth="1"/>
    <col min="3" max="3" width="32.5" style="27" customWidth="1"/>
    <col min="4" max="4" width="21.5" style="27" customWidth="1"/>
    <col min="5" max="5" width="24.83203125" style="27" customWidth="1"/>
    <col min="6" max="6" width="22.5" style="27" customWidth="1"/>
    <col min="7" max="7" width="22" style="27" customWidth="1"/>
    <col min="8" max="8" width="21.83203125" style="27" customWidth="1"/>
    <col min="9" max="9" width="21" style="45" customWidth="1"/>
    <col min="10" max="11" width="26.5" style="27" customWidth="1"/>
    <col min="12" max="13" width="8.5" style="27"/>
    <col min="14" max="14" width="9.5" style="27" bestFit="1" customWidth="1"/>
    <col min="15" max="15" width="6.5" style="27" bestFit="1" customWidth="1"/>
    <col min="16" max="16" width="8.5" style="27"/>
    <col min="17" max="17" width="8.1640625" style="27" bestFit="1" customWidth="1"/>
    <col min="18" max="19" width="8.5" style="27" bestFit="1" customWidth="1"/>
    <col min="20" max="20" width="8.1640625" style="27" bestFit="1" customWidth="1"/>
    <col min="21" max="22" width="8.5" style="27"/>
    <col min="23" max="23" width="10.5" style="27" bestFit="1" customWidth="1"/>
    <col min="24" max="24" width="8.5" style="27"/>
    <col min="25" max="25" width="8.5" style="27" bestFit="1" customWidth="1"/>
    <col min="26" max="27" width="9.5" style="27" bestFit="1" customWidth="1"/>
    <col min="28" max="28" width="7.83203125" style="27" bestFit="1" customWidth="1"/>
    <col min="29" max="29" width="8.5" style="27"/>
    <col min="30" max="30" width="8.1640625" style="27" bestFit="1" customWidth="1"/>
    <col min="31" max="31" width="12.1640625" style="27" bestFit="1" customWidth="1"/>
    <col min="32" max="32" width="9.5" style="27" bestFit="1" customWidth="1"/>
    <col min="33" max="33" width="11.5" style="27" bestFit="1" customWidth="1"/>
    <col min="34" max="35" width="8.5" style="27"/>
    <col min="36" max="36" width="11.5" style="27" bestFit="1" customWidth="1"/>
    <col min="37" max="37" width="8.5" style="27"/>
    <col min="38" max="38" width="11.5" style="27" bestFit="1" customWidth="1"/>
    <col min="39" max="40" width="12.5" style="27" bestFit="1" customWidth="1"/>
    <col min="41" max="41" width="8.5" style="27"/>
    <col min="42" max="42" width="10.5" style="27" bestFit="1" customWidth="1"/>
    <col min="43" max="16384" width="8.5" style="27"/>
  </cols>
  <sheetData>
    <row r="1" spans="1:11" ht="16" thickBot="1">
      <c r="A1" s="174" t="s">
        <v>0</v>
      </c>
      <c r="B1" s="177"/>
      <c r="C1" s="177"/>
      <c r="D1" s="177"/>
      <c r="E1" s="177"/>
      <c r="F1" s="177"/>
    </row>
    <row r="2" spans="1:11" ht="16" thickBot="1">
      <c r="A2" s="28" t="s">
        <v>1</v>
      </c>
      <c r="B2" s="188">
        <f>'GRAND MOSQUE'!B2</f>
        <v>0</v>
      </c>
      <c r="C2" s="189"/>
      <c r="D2" s="190"/>
      <c r="E2" s="28" t="s">
        <v>2</v>
      </c>
      <c r="F2" s="87" t="str">
        <f>'GRAND MOSQUE'!F2</f>
        <v xml:space="preserve"> </v>
      </c>
    </row>
    <row r="3" spans="1:11" ht="16" thickBot="1">
      <c r="A3" s="28" t="s">
        <v>84</v>
      </c>
      <c r="B3" s="185" t="s">
        <v>179</v>
      </c>
      <c r="C3" s="186"/>
      <c r="D3" s="187"/>
      <c r="E3" s="28" t="s">
        <v>85</v>
      </c>
      <c r="F3" s="30" t="s">
        <v>145</v>
      </c>
      <c r="I3" s="27"/>
    </row>
    <row r="4" spans="1:11" ht="27" thickBot="1">
      <c r="A4" s="28" t="s">
        <v>81</v>
      </c>
      <c r="B4" s="185" t="s">
        <v>180</v>
      </c>
      <c r="C4" s="186"/>
      <c r="D4" s="187"/>
      <c r="E4" s="28" t="s">
        <v>86</v>
      </c>
      <c r="F4" s="30" t="s">
        <v>87</v>
      </c>
      <c r="I4" s="27"/>
    </row>
    <row r="5" spans="1:11" ht="15.75" customHeight="1" thickBot="1">
      <c r="A5" s="178" t="s">
        <v>9</v>
      </c>
      <c r="B5" s="179"/>
      <c r="C5" s="179"/>
      <c r="D5" s="179"/>
      <c r="E5" s="179"/>
      <c r="F5" s="179"/>
      <c r="G5" s="180"/>
      <c r="I5" s="27"/>
    </row>
    <row r="6" spans="1:11" ht="16" thickBot="1">
      <c r="A6" s="31"/>
      <c r="B6" s="13" t="s">
        <v>153</v>
      </c>
      <c r="C6" s="46" t="s">
        <v>11</v>
      </c>
      <c r="D6" s="14" t="s">
        <v>12</v>
      </c>
      <c r="E6" s="14" t="s">
        <v>13</v>
      </c>
      <c r="F6" s="14" t="s">
        <v>14</v>
      </c>
      <c r="G6" s="22" t="s">
        <v>154</v>
      </c>
      <c r="H6" s="14" t="s">
        <v>155</v>
      </c>
      <c r="I6" s="27"/>
    </row>
    <row r="7" spans="1:11" ht="16" thickBot="1">
      <c r="A7" s="30" t="s">
        <v>16</v>
      </c>
      <c r="B7" s="89" t="e">
        <f>SUM(C7:F7)</f>
        <v>#REF!</v>
      </c>
      <c r="C7" s="90" t="e">
        <f>'OPERA HOUSE '!C7+#REF!</f>
        <v>#REF!</v>
      </c>
      <c r="D7" s="90" t="e">
        <f>'OPERA HOUSE '!D7+#REF!</f>
        <v>#REF!</v>
      </c>
      <c r="E7" s="90" t="e">
        <f>'OPERA HOUSE '!E7+#REF!</f>
        <v>#REF!</v>
      </c>
      <c r="F7" s="90" t="e">
        <f>'OPERA HOUSE '!F7+#REF!</f>
        <v>#REF!</v>
      </c>
      <c r="G7" s="91" t="str">
        <f>IFERROR((C7+D7)/B7, "0")</f>
        <v>0</v>
      </c>
      <c r="H7" s="15"/>
      <c r="I7" s="27"/>
    </row>
    <row r="8" spans="1:11" ht="16" thickBot="1">
      <c r="A8" s="32" t="s">
        <v>17</v>
      </c>
      <c r="B8" s="89" t="e">
        <f t="shared" ref="B8:B14" si="0">SUM(C8:F8)</f>
        <v>#REF!</v>
      </c>
      <c r="C8" s="90" t="e">
        <f>'OPERA HOUSE '!C8+#REF!</f>
        <v>#REF!</v>
      </c>
      <c r="D8" s="90" t="e">
        <f>'OPERA HOUSE '!D8+#REF!</f>
        <v>#REF!</v>
      </c>
      <c r="E8" s="90" t="e">
        <f>'OPERA HOUSE '!E8+#REF!</f>
        <v>#REF!</v>
      </c>
      <c r="F8" s="90" t="e">
        <f>'OPERA HOUSE '!F8+#REF!</f>
        <v>#REF!</v>
      </c>
      <c r="G8" s="91" t="str">
        <f t="shared" ref="G8:G14" si="1">IFERROR((C8+D8)/B8, "0")</f>
        <v>0</v>
      </c>
      <c r="H8" s="16"/>
      <c r="I8" s="27"/>
    </row>
    <row r="9" spans="1:11" ht="16" thickBot="1">
      <c r="A9" s="30" t="s">
        <v>18</v>
      </c>
      <c r="B9" s="89" t="e">
        <f t="shared" si="0"/>
        <v>#REF!</v>
      </c>
      <c r="C9" s="90" t="e">
        <f>'OPERA HOUSE '!C9+#REF!</f>
        <v>#REF!</v>
      </c>
      <c r="D9" s="90" t="e">
        <f>'OPERA HOUSE '!D9+#REF!</f>
        <v>#REF!</v>
      </c>
      <c r="E9" s="90" t="e">
        <f>'OPERA HOUSE '!E9+#REF!</f>
        <v>#REF!</v>
      </c>
      <c r="F9" s="90" t="e">
        <f>'OPERA HOUSE '!F9+#REF!</f>
        <v>#REF!</v>
      </c>
      <c r="G9" s="91" t="str">
        <f t="shared" si="1"/>
        <v>0</v>
      </c>
      <c r="H9" s="15"/>
      <c r="I9" s="27"/>
    </row>
    <row r="10" spans="1:11" ht="16" thickBot="1">
      <c r="A10" s="32" t="s">
        <v>19</v>
      </c>
      <c r="B10" s="89" t="e">
        <f t="shared" si="0"/>
        <v>#REF!</v>
      </c>
      <c r="C10" s="90" t="e">
        <f>'OPERA HOUSE '!C10+#REF!</f>
        <v>#REF!</v>
      </c>
      <c r="D10" s="90" t="e">
        <f>'OPERA HOUSE '!D10+#REF!</f>
        <v>#REF!</v>
      </c>
      <c r="E10" s="90" t="e">
        <f>'OPERA HOUSE '!E10+#REF!</f>
        <v>#REF!</v>
      </c>
      <c r="F10" s="90" t="e">
        <f>'OPERA HOUSE '!F10+#REF!</f>
        <v>#REF!</v>
      </c>
      <c r="G10" s="91" t="str">
        <f t="shared" si="1"/>
        <v>0</v>
      </c>
      <c r="H10" s="16"/>
      <c r="I10" s="27"/>
    </row>
    <row r="11" spans="1:11" ht="16" thickBot="1">
      <c r="A11" s="30" t="s">
        <v>20</v>
      </c>
      <c r="B11" s="89" t="e">
        <f t="shared" si="0"/>
        <v>#REF!</v>
      </c>
      <c r="C11" s="90" t="e">
        <f>'OPERA HOUSE '!C11+#REF!</f>
        <v>#REF!</v>
      </c>
      <c r="D11" s="90" t="e">
        <f>'OPERA HOUSE '!D11+#REF!</f>
        <v>#REF!</v>
      </c>
      <c r="E11" s="90" t="e">
        <f>'OPERA HOUSE '!E11+#REF!</f>
        <v>#REF!</v>
      </c>
      <c r="F11" s="90" t="e">
        <f>'OPERA HOUSE '!F11+#REF!</f>
        <v>#REF!</v>
      </c>
      <c r="G11" s="91" t="str">
        <f t="shared" si="1"/>
        <v>0</v>
      </c>
      <c r="H11" s="15"/>
      <c r="I11" s="27"/>
    </row>
    <row r="12" spans="1:11" ht="16" thickBot="1">
      <c r="A12" s="32" t="s">
        <v>21</v>
      </c>
      <c r="B12" s="89" t="e">
        <f t="shared" si="0"/>
        <v>#REF!</v>
      </c>
      <c r="C12" s="90" t="e">
        <f>'OPERA HOUSE '!C12+#REF!</f>
        <v>#REF!</v>
      </c>
      <c r="D12" s="90" t="e">
        <f>'OPERA HOUSE '!D12+#REF!</f>
        <v>#REF!</v>
      </c>
      <c r="E12" s="90" t="e">
        <f>'OPERA HOUSE '!E12+#REF!</f>
        <v>#REF!</v>
      </c>
      <c r="F12" s="90" t="e">
        <f>'OPERA HOUSE '!F12+#REF!</f>
        <v>#REF!</v>
      </c>
      <c r="G12" s="91" t="str">
        <f t="shared" si="1"/>
        <v>0</v>
      </c>
      <c r="H12" s="16"/>
      <c r="I12" s="27"/>
    </row>
    <row r="13" spans="1:11" ht="16" thickBot="1">
      <c r="A13" s="30" t="s">
        <v>22</v>
      </c>
      <c r="B13" s="89" t="e">
        <f t="shared" si="0"/>
        <v>#REF!</v>
      </c>
      <c r="C13" s="90" t="e">
        <f>'OPERA HOUSE '!C13+#REF!</f>
        <v>#REF!</v>
      </c>
      <c r="D13" s="90" t="e">
        <f>'OPERA HOUSE '!D13+#REF!</f>
        <v>#REF!</v>
      </c>
      <c r="E13" s="90" t="e">
        <f>'OPERA HOUSE '!E13+#REF!</f>
        <v>#REF!</v>
      </c>
      <c r="F13" s="90" t="e">
        <f>'OPERA HOUSE '!F13+#REF!</f>
        <v>#REF!</v>
      </c>
      <c r="G13" s="91" t="str">
        <f t="shared" si="1"/>
        <v>0</v>
      </c>
      <c r="H13" s="15"/>
      <c r="I13" s="27"/>
    </row>
    <row r="14" spans="1:11" ht="16" thickBot="1">
      <c r="A14" s="32" t="s">
        <v>23</v>
      </c>
      <c r="B14" s="89" t="e">
        <f t="shared" si="0"/>
        <v>#REF!</v>
      </c>
      <c r="C14" s="90" t="e">
        <f>'OPERA HOUSE '!C14+#REF!</f>
        <v>#REF!</v>
      </c>
      <c r="D14" s="90" t="e">
        <f>'OPERA HOUSE '!D14+#REF!</f>
        <v>#REF!</v>
      </c>
      <c r="E14" s="90" t="e">
        <f>'OPERA HOUSE '!E14+#REF!</f>
        <v>#REF!</v>
      </c>
      <c r="F14" s="90" t="e">
        <f>'OPERA HOUSE '!F14+#REF!</f>
        <v>#REF!</v>
      </c>
      <c r="G14" s="91" t="str">
        <f t="shared" si="1"/>
        <v>0</v>
      </c>
      <c r="H14" s="16"/>
      <c r="I14" s="27"/>
    </row>
    <row r="15" spans="1:11" ht="15.75" customHeight="1" thickBot="1">
      <c r="A15" s="182" t="s">
        <v>24</v>
      </c>
      <c r="B15" s="183"/>
      <c r="C15" s="183"/>
      <c r="D15" s="183"/>
      <c r="E15" s="183"/>
      <c r="F15" s="183"/>
      <c r="G15" s="183"/>
      <c r="H15" s="183"/>
      <c r="I15" s="183"/>
      <c r="J15" s="183"/>
    </row>
    <row r="16" spans="1:11" ht="26.5" customHeight="1" thickBot="1">
      <c r="A16" s="14"/>
      <c r="B16" s="14" t="s">
        <v>25</v>
      </c>
      <c r="C16" s="14" t="s">
        <v>26</v>
      </c>
      <c r="D16" s="14" t="s">
        <v>27</v>
      </c>
      <c r="E16" s="14" t="s">
        <v>28</v>
      </c>
      <c r="F16" s="21" t="s">
        <v>156</v>
      </c>
      <c r="G16" s="21" t="s">
        <v>157</v>
      </c>
      <c r="H16" s="21" t="s">
        <v>158</v>
      </c>
      <c r="I16" s="22" t="s">
        <v>159</v>
      </c>
      <c r="J16" s="17" t="s">
        <v>160</v>
      </c>
      <c r="K16" s="14" t="s">
        <v>155</v>
      </c>
    </row>
    <row r="17" spans="1:11" ht="16" thickBot="1">
      <c r="A17" s="30" t="s">
        <v>31</v>
      </c>
      <c r="B17" s="90" t="e">
        <f>'OPERA HOUSE '!B17+#REF!</f>
        <v>#REF!</v>
      </c>
      <c r="C17" s="90" t="e">
        <f>'OPERA HOUSE '!C17+#REF!</f>
        <v>#REF!</v>
      </c>
      <c r="D17" s="90" t="e">
        <f>'OPERA HOUSE '!D17+#REF!</f>
        <v>#REF!</v>
      </c>
      <c r="E17" s="90" t="e">
        <f>'OPERA HOUSE '!E17+#REF!</f>
        <v>#REF!</v>
      </c>
      <c r="F17" s="51" t="str">
        <f>IFERROR(D17/B17, "NA")</f>
        <v>NA</v>
      </c>
      <c r="G17" s="51" t="str">
        <f>IFERROR(E17/(D17+J17), "NA")</f>
        <v>NA</v>
      </c>
      <c r="H17" s="90" t="e">
        <f>B25</f>
        <v>#REF!</v>
      </c>
      <c r="I17" s="52" t="str">
        <f>IFERROR(B17/H17, "NA")</f>
        <v>NA</v>
      </c>
      <c r="J17" s="90" t="e">
        <f>'OPERA HOUSE '!J17+#REF!</f>
        <v>#REF!</v>
      </c>
      <c r="K17" s="15"/>
    </row>
    <row r="18" spans="1:11" ht="16" thickBot="1">
      <c r="A18" s="32" t="s">
        <v>32</v>
      </c>
      <c r="B18" s="90" t="e">
        <f>'OPERA HOUSE '!B18+#REF!</f>
        <v>#REF!</v>
      </c>
      <c r="C18" s="90" t="e">
        <f>'OPERA HOUSE '!C18+#REF!</f>
        <v>#REF!</v>
      </c>
      <c r="D18" s="90" t="e">
        <f>'OPERA HOUSE '!D18+#REF!</f>
        <v>#REF!</v>
      </c>
      <c r="E18" s="90" t="e">
        <f>'OPERA HOUSE '!E18+#REF!</f>
        <v>#REF!</v>
      </c>
      <c r="F18" s="51" t="str">
        <f>IFERROR(D18/B18, "NA")</f>
        <v>NA</v>
      </c>
      <c r="G18" s="51" t="str">
        <f>IFERROR(E18/(D18+J18), "NA")</f>
        <v>NA</v>
      </c>
      <c r="H18" s="90" t="e">
        <f>B26</f>
        <v>#REF!</v>
      </c>
      <c r="I18" s="52" t="str">
        <f>IFERROR(B18/H18, "NA")</f>
        <v>NA</v>
      </c>
      <c r="J18" s="90" t="e">
        <f>'OPERA HOUSE '!J18+#REF!</f>
        <v>#REF!</v>
      </c>
      <c r="K18" s="16"/>
    </row>
    <row r="19" spans="1:11" ht="15.75" customHeight="1" thickBot="1">
      <c r="A19" s="174" t="s">
        <v>33</v>
      </c>
      <c r="B19" s="177"/>
      <c r="C19" s="177"/>
      <c r="D19" s="177"/>
      <c r="E19" s="181"/>
      <c r="F19" s="181"/>
    </row>
    <row r="20" spans="1:11" ht="24" customHeight="1" thickBot="1">
      <c r="A20" s="31"/>
      <c r="B20" s="14" t="s">
        <v>34</v>
      </c>
      <c r="C20" s="14" t="s">
        <v>35</v>
      </c>
      <c r="D20" s="14" t="s">
        <v>36</v>
      </c>
      <c r="E20" s="14" t="s">
        <v>37</v>
      </c>
      <c r="F20" s="14" t="s">
        <v>38</v>
      </c>
      <c r="G20" s="14" t="s">
        <v>155</v>
      </c>
    </row>
    <row r="21" spans="1:11" ht="16" thickBot="1">
      <c r="A21" s="30" t="s">
        <v>31</v>
      </c>
      <c r="B21" s="90" t="e">
        <f>'OPERA HOUSE '!B21+#REF!</f>
        <v>#REF!</v>
      </c>
      <c r="C21" s="90" t="e">
        <f>'OPERA HOUSE '!C21+#REF!</f>
        <v>#REF!</v>
      </c>
      <c r="D21" s="90" t="e">
        <f>'OPERA HOUSE '!D21+#REF!</f>
        <v>#REF!</v>
      </c>
      <c r="E21" s="92" t="str">
        <f>IFERROR(C21/B21, "NA")</f>
        <v>NA</v>
      </c>
      <c r="F21" s="92" t="str">
        <f>IFERROR(D21/C21, "NA")</f>
        <v>NA</v>
      </c>
      <c r="G21" s="15"/>
    </row>
    <row r="22" spans="1:11" ht="16" thickBot="1">
      <c r="A22" s="32" t="s">
        <v>32</v>
      </c>
      <c r="B22" s="90" t="e">
        <f>'OPERA HOUSE '!B22+#REF!</f>
        <v>#REF!</v>
      </c>
      <c r="C22" s="90" t="e">
        <f>'OPERA HOUSE '!C22+#REF!</f>
        <v>#REF!</v>
      </c>
      <c r="D22" s="90" t="e">
        <f>'OPERA HOUSE '!D22+#REF!</f>
        <v>#REF!</v>
      </c>
      <c r="E22" s="92" t="str">
        <f>IFERROR(C22/B22, "NA")</f>
        <v>NA</v>
      </c>
      <c r="F22" s="92" t="str">
        <f>IFERROR(D22/C22, "NA")</f>
        <v>NA</v>
      </c>
      <c r="G22" s="16"/>
    </row>
    <row r="23" spans="1:11" ht="15.75" customHeight="1" thickBot="1">
      <c r="A23" s="178" t="s">
        <v>39</v>
      </c>
      <c r="B23" s="179"/>
      <c r="C23" s="179"/>
      <c r="D23" s="179"/>
      <c r="E23" s="180"/>
      <c r="F23" s="180"/>
    </row>
    <row r="24" spans="1:11" ht="16" thickBot="1">
      <c r="A24" s="31"/>
      <c r="B24" s="14" t="s">
        <v>29</v>
      </c>
      <c r="C24" s="14" t="s">
        <v>35</v>
      </c>
      <c r="D24" s="14" t="s">
        <v>36</v>
      </c>
      <c r="E24" s="14" t="s">
        <v>37</v>
      </c>
      <c r="F24" s="14" t="s">
        <v>38</v>
      </c>
      <c r="G24" s="14" t="s">
        <v>155</v>
      </c>
      <c r="I24" s="27"/>
    </row>
    <row r="25" spans="1:11" ht="16" thickBot="1">
      <c r="A25" s="30" t="s">
        <v>31</v>
      </c>
      <c r="B25" s="90" t="e">
        <f>'OPERA HOUSE '!B25+#REF!</f>
        <v>#REF!</v>
      </c>
      <c r="C25" s="90" t="e">
        <f>'OPERA HOUSE '!C25+#REF!</f>
        <v>#REF!</v>
      </c>
      <c r="D25" s="90" t="e">
        <f>'OPERA HOUSE '!D25+#REF!</f>
        <v>#REF!</v>
      </c>
      <c r="E25" s="92" t="str">
        <f>IFERROR(C25/B25, "NA")</f>
        <v>NA</v>
      </c>
      <c r="F25" s="92" t="str">
        <f>IFERROR(D25/C25, "NA")</f>
        <v>NA</v>
      </c>
      <c r="G25" s="15"/>
      <c r="I25" s="27"/>
    </row>
    <row r="26" spans="1:11" ht="16" thickBot="1">
      <c r="A26" s="32" t="s">
        <v>32</v>
      </c>
      <c r="B26" s="90" t="e">
        <f>'OPERA HOUSE '!B26+#REF!</f>
        <v>#REF!</v>
      </c>
      <c r="C26" s="90" t="e">
        <f>'OPERA HOUSE '!C26+#REF!</f>
        <v>#REF!</v>
      </c>
      <c r="D26" s="90" t="e">
        <f>'OPERA HOUSE '!D26+#REF!</f>
        <v>#REF!</v>
      </c>
      <c r="E26" s="92" t="str">
        <f>IFERROR(C26/B26, "NA")</f>
        <v>NA</v>
      </c>
      <c r="F26" s="92" t="str">
        <f>IFERROR(D26/C26, "NA")</f>
        <v>NA</v>
      </c>
      <c r="G26" s="16"/>
      <c r="I26" s="27"/>
    </row>
    <row r="27" spans="1:11" ht="16.5" customHeight="1" thickBot="1">
      <c r="A27" s="178" t="s">
        <v>40</v>
      </c>
      <c r="B27" s="179"/>
      <c r="C27" s="179"/>
      <c r="D27" s="179"/>
      <c r="E27" s="179"/>
      <c r="F27" s="179"/>
      <c r="G27" s="179"/>
      <c r="I27" s="27"/>
    </row>
    <row r="28" spans="1:11" ht="16" thickBot="1">
      <c r="A28" s="28"/>
      <c r="B28" s="23" t="s">
        <v>10</v>
      </c>
      <c r="C28" s="23" t="s">
        <v>41</v>
      </c>
      <c r="D28" s="23" t="s">
        <v>42</v>
      </c>
      <c r="E28" s="23" t="s">
        <v>43</v>
      </c>
      <c r="F28" s="23" t="s">
        <v>44</v>
      </c>
      <c r="G28" s="17" t="s">
        <v>161</v>
      </c>
      <c r="H28" s="14" t="s">
        <v>155</v>
      </c>
      <c r="I28" s="27"/>
    </row>
    <row r="29" spans="1:11" ht="16" thickBot="1">
      <c r="A29" s="30" t="s">
        <v>31</v>
      </c>
      <c r="B29" s="90" t="e">
        <f>'OPERA HOUSE '!B29+#REF!</f>
        <v>#REF!</v>
      </c>
      <c r="C29" s="90" t="e">
        <f>'OPERA HOUSE '!C29+#REF!</f>
        <v>#REF!</v>
      </c>
      <c r="D29" s="90" t="e">
        <f>'OPERA HOUSE '!D29+#REF!</f>
        <v>#REF!</v>
      </c>
      <c r="E29" s="92" t="str">
        <f>IFERROR(C29/B29, "-")</f>
        <v>-</v>
      </c>
      <c r="F29" s="92" t="str">
        <f>IFERROR(D29/(C29+G29), "-")</f>
        <v>-</v>
      </c>
      <c r="G29" s="90" t="e">
        <f>'OPERA HOUSE '!G29+#REF!</f>
        <v>#REF!</v>
      </c>
      <c r="H29" s="15"/>
      <c r="I29" s="27"/>
    </row>
    <row r="30" spans="1:11" ht="16" thickBot="1">
      <c r="A30" s="32" t="s">
        <v>32</v>
      </c>
      <c r="B30" s="90" t="e">
        <f>'OPERA HOUSE '!B30+#REF!</f>
        <v>#REF!</v>
      </c>
      <c r="C30" s="90" t="e">
        <f>'OPERA HOUSE '!C30+#REF!</f>
        <v>#REF!</v>
      </c>
      <c r="D30" s="90" t="e">
        <f>'OPERA HOUSE '!D30+#REF!</f>
        <v>#REF!</v>
      </c>
      <c r="E30" s="92" t="str">
        <f>IFERROR(C30/B30, "-")</f>
        <v>-</v>
      </c>
      <c r="F30" s="92" t="str">
        <f>IFERROR(D30/(C30+G30), "-")</f>
        <v>-</v>
      </c>
      <c r="G30" s="90" t="e">
        <f>'OPERA HOUSE '!G30+#REF!</f>
        <v>#REF!</v>
      </c>
      <c r="H30" s="16"/>
      <c r="I30" s="27"/>
    </row>
    <row r="31" spans="1:11" ht="17" thickBot="1">
      <c r="A31" s="174" t="s">
        <v>45</v>
      </c>
      <c r="B31" s="175"/>
      <c r="C31" s="175"/>
      <c r="D31" s="175"/>
      <c r="E31" s="38"/>
      <c r="I31" s="27"/>
    </row>
    <row r="32" spans="1:11" ht="16" thickBot="1">
      <c r="A32" s="28"/>
      <c r="B32" s="23" t="s">
        <v>46</v>
      </c>
      <c r="C32" s="23" t="s">
        <v>47</v>
      </c>
      <c r="D32" s="23" t="s">
        <v>48</v>
      </c>
      <c r="E32" s="14" t="s">
        <v>155</v>
      </c>
      <c r="I32" s="27"/>
    </row>
    <row r="33" spans="1:13" ht="16" thickBot="1">
      <c r="A33" s="30" t="s">
        <v>49</v>
      </c>
      <c r="B33" s="90" t="e">
        <f>'OPERA HOUSE '!B33+#REF!</f>
        <v>#REF!</v>
      </c>
      <c r="C33" s="90" t="e">
        <f>'OPERA HOUSE '!C33+#REF!</f>
        <v>#REF!</v>
      </c>
      <c r="D33" s="92" t="str">
        <f>IFERROR(C33/B33, "NA")</f>
        <v>NA</v>
      </c>
      <c r="E33" s="15"/>
      <c r="I33" s="27"/>
    </row>
    <row r="34" spans="1:13" ht="16" thickBot="1">
      <c r="A34" s="32" t="s">
        <v>32</v>
      </c>
      <c r="B34" s="90" t="e">
        <f>'OPERA HOUSE '!B34+#REF!</f>
        <v>#REF!</v>
      </c>
      <c r="C34" s="90" t="e">
        <f>'OPERA HOUSE '!C34+#REF!</f>
        <v>#REF!</v>
      </c>
      <c r="D34" s="92" t="str">
        <f>IFERROR(C34/B34, "NA")</f>
        <v>NA</v>
      </c>
      <c r="E34" s="16"/>
      <c r="I34" s="27"/>
    </row>
    <row r="35" spans="1:13" ht="16.5" customHeight="1" thickBot="1">
      <c r="A35" s="178" t="s">
        <v>50</v>
      </c>
      <c r="B35" s="179"/>
      <c r="C35" s="179"/>
      <c r="D35" s="179"/>
      <c r="E35" s="184"/>
      <c r="F35" s="38"/>
      <c r="I35" s="27"/>
    </row>
    <row r="36" spans="1:13" ht="16" thickBot="1">
      <c r="A36" s="28"/>
      <c r="B36" s="23" t="s">
        <v>10</v>
      </c>
      <c r="C36" s="23" t="s">
        <v>51</v>
      </c>
      <c r="D36" s="23" t="s">
        <v>52</v>
      </c>
      <c r="E36" s="23" t="s">
        <v>53</v>
      </c>
      <c r="F36" s="14" t="s">
        <v>155</v>
      </c>
      <c r="I36" s="27"/>
    </row>
    <row r="37" spans="1:13" ht="16" thickBot="1">
      <c r="A37" s="30" t="s">
        <v>49</v>
      </c>
      <c r="B37" s="90" t="e">
        <f>'OPERA HOUSE '!B37+#REF!</f>
        <v>#REF!</v>
      </c>
      <c r="C37" s="90" t="e">
        <f>'OPERA HOUSE '!C37+#REF!</f>
        <v>#REF!</v>
      </c>
      <c r="D37" s="90" t="e">
        <f>'OPERA HOUSE '!D37+#REF!</f>
        <v>#REF!</v>
      </c>
      <c r="E37" s="51" t="str">
        <f>IFERROR(D37/B37, "NA")</f>
        <v>NA</v>
      </c>
      <c r="F37" s="15"/>
      <c r="I37" s="27"/>
    </row>
    <row r="38" spans="1:13" ht="16" thickBot="1">
      <c r="A38" s="32" t="s">
        <v>32</v>
      </c>
      <c r="B38" s="90" t="e">
        <f>'OPERA HOUSE '!B38+#REF!</f>
        <v>#REF!</v>
      </c>
      <c r="C38" s="90" t="e">
        <f>'OPERA HOUSE '!C38+#REF!</f>
        <v>#REF!</v>
      </c>
      <c r="D38" s="90" t="e">
        <f>'OPERA HOUSE '!D38+#REF!</f>
        <v>#REF!</v>
      </c>
      <c r="E38" s="51" t="str">
        <f>IFERROR(D38/B38, "NA")</f>
        <v>NA</v>
      </c>
      <c r="F38" s="16"/>
      <c r="I38" s="27"/>
    </row>
    <row r="39" spans="1:13" ht="16" thickBot="1">
      <c r="A39" s="174" t="s">
        <v>54</v>
      </c>
      <c r="B39" s="175"/>
      <c r="C39" s="175"/>
      <c r="D39" s="175"/>
      <c r="E39" s="24" t="s">
        <v>162</v>
      </c>
      <c r="F39" s="25"/>
      <c r="I39" s="27"/>
    </row>
    <row r="40" spans="1:13" ht="28" customHeight="1" thickBot="1">
      <c r="A40" s="39" t="s">
        <v>55</v>
      </c>
      <c r="B40" s="47" t="s">
        <v>56</v>
      </c>
      <c r="C40" s="48" t="s">
        <v>57</v>
      </c>
      <c r="D40" s="48" t="s">
        <v>58</v>
      </c>
      <c r="I40" s="27"/>
    </row>
    <row r="41" spans="1:13" ht="94" customHeight="1" thickBot="1">
      <c r="A41" s="40">
        <v>1</v>
      </c>
      <c r="B41" s="20" t="s">
        <v>59</v>
      </c>
      <c r="C41" s="40" t="s">
        <v>60</v>
      </c>
      <c r="D41" s="20" t="s">
        <v>27</v>
      </c>
    </row>
    <row r="42" spans="1:13" ht="94" customHeight="1" thickBot="1">
      <c r="A42" s="41">
        <v>2</v>
      </c>
      <c r="B42" s="33" t="s">
        <v>61</v>
      </c>
      <c r="C42" s="41" t="s">
        <v>62</v>
      </c>
      <c r="D42" s="33" t="s">
        <v>27</v>
      </c>
    </row>
    <row r="43" spans="1:13" ht="94" customHeight="1" thickBot="1">
      <c r="A43" s="40">
        <v>3</v>
      </c>
      <c r="B43" s="20" t="s">
        <v>63</v>
      </c>
      <c r="C43" s="40" t="s">
        <v>64</v>
      </c>
      <c r="D43" s="20" t="s">
        <v>52</v>
      </c>
    </row>
    <row r="44" spans="1:13" ht="94" customHeight="1" thickBot="1">
      <c r="A44" s="41">
        <v>4</v>
      </c>
      <c r="B44" s="33" t="s">
        <v>65</v>
      </c>
      <c r="C44" s="41" t="s">
        <v>66</v>
      </c>
      <c r="D44" s="33" t="s">
        <v>52</v>
      </c>
    </row>
    <row r="45" spans="1:13" ht="94" customHeight="1" thickBot="1">
      <c r="A45" s="40">
        <v>5</v>
      </c>
      <c r="B45" s="20" t="s">
        <v>67</v>
      </c>
      <c r="C45" s="40" t="s">
        <v>68</v>
      </c>
      <c r="D45" s="20" t="s">
        <v>52</v>
      </c>
      <c r="I45" s="27"/>
    </row>
    <row r="46" spans="1:13" ht="16" thickBot="1">
      <c r="A46" s="42" t="s">
        <v>10</v>
      </c>
      <c r="B46" s="90" t="e">
        <f>'OPERA HOUSE '!B46+#REF!</f>
        <v>#REF!</v>
      </c>
      <c r="C46" s="90" t="e">
        <f>'OPERA HOUSE '!C46+#REF!</f>
        <v>#REF!</v>
      </c>
      <c r="D46" s="94" t="str">
        <f>IFERROR(AVERAGE('OPERA HOUSE '!D46,#REF!),"-")</f>
        <v>-</v>
      </c>
      <c r="I46" s="27"/>
    </row>
    <row r="47" spans="1:13" ht="17" thickBot="1">
      <c r="A47" s="174" t="s">
        <v>69</v>
      </c>
      <c r="B47" s="175"/>
      <c r="C47" s="175"/>
      <c r="D47" s="176"/>
      <c r="I47" s="27"/>
      <c r="K47" s="38"/>
      <c r="L47" s="38"/>
      <c r="M47" s="38"/>
    </row>
    <row r="48" spans="1:13" ht="16" thickBot="1">
      <c r="A48" s="39" t="s">
        <v>55</v>
      </c>
      <c r="B48" s="23" t="s">
        <v>70</v>
      </c>
      <c r="C48" s="23" t="s">
        <v>71</v>
      </c>
      <c r="D48" s="23" t="s">
        <v>72</v>
      </c>
      <c r="I48" s="27"/>
    </row>
    <row r="49" spans="1:4" s="27" customFormat="1" ht="68.5" customHeight="1" thickBot="1">
      <c r="A49" s="40">
        <v>1</v>
      </c>
      <c r="B49" s="20" t="s">
        <v>148</v>
      </c>
      <c r="C49" s="40" t="s">
        <v>73</v>
      </c>
      <c r="D49" s="20" t="s">
        <v>73</v>
      </c>
    </row>
    <row r="50" spans="1:4" s="27" customFormat="1" ht="68.5" customHeight="1" thickBot="1">
      <c r="A50" s="40">
        <v>2</v>
      </c>
      <c r="B50" s="33" t="s">
        <v>149</v>
      </c>
      <c r="C50" s="40" t="s">
        <v>73</v>
      </c>
      <c r="D50" s="33" t="s">
        <v>73</v>
      </c>
    </row>
    <row r="51" spans="1:4" s="27" customFormat="1" ht="68.5" customHeight="1" thickBot="1">
      <c r="A51" s="40">
        <v>3</v>
      </c>
      <c r="B51" s="20" t="s">
        <v>150</v>
      </c>
      <c r="C51" s="40" t="s">
        <v>73</v>
      </c>
      <c r="D51" s="20" t="s">
        <v>73</v>
      </c>
    </row>
    <row r="52" spans="1:4" s="27" customFormat="1" ht="68.5" customHeight="1" thickBot="1">
      <c r="A52" s="40">
        <v>4</v>
      </c>
      <c r="B52" s="33" t="s">
        <v>151</v>
      </c>
      <c r="C52" s="40" t="s">
        <v>73</v>
      </c>
      <c r="D52" s="33" t="s">
        <v>73</v>
      </c>
    </row>
    <row r="53" spans="1:4" s="27" customFormat="1" ht="68.5" customHeight="1" thickBot="1">
      <c r="A53" s="40">
        <v>5</v>
      </c>
      <c r="B53" s="20" t="s">
        <v>152</v>
      </c>
      <c r="C53" s="40" t="s">
        <v>73</v>
      </c>
      <c r="D53" s="20" t="s">
        <v>73</v>
      </c>
    </row>
    <row r="54" spans="1:4" s="27" customFormat="1" ht="16" thickBot="1">
      <c r="A54" s="42" t="s">
        <v>10</v>
      </c>
      <c r="B54" s="90" t="e">
        <f>'OPERA HOUSE '!B54+#REF!</f>
        <v>#REF!</v>
      </c>
      <c r="C54" s="90" t="e">
        <f>'OPERA HOUSE '!C54+#REF!</f>
        <v>#REF!</v>
      </c>
      <c r="D54" s="90" t="e">
        <f>'OPERA HOUSE '!D54+#REF!</f>
        <v>#REF!</v>
      </c>
    </row>
    <row r="55" spans="1:4" s="27" customFormat="1" ht="16" thickBot="1">
      <c r="A55" s="174" t="s">
        <v>74</v>
      </c>
      <c r="B55" s="175"/>
      <c r="C55" s="175"/>
      <c r="D55" s="176"/>
    </row>
    <row r="56" spans="1:4" s="27" customFormat="1" ht="16" thickBot="1">
      <c r="A56" s="28" t="s">
        <v>75</v>
      </c>
      <c r="B56" s="23" t="s">
        <v>46</v>
      </c>
      <c r="C56" s="23" t="s">
        <v>47</v>
      </c>
      <c r="D56" s="23" t="s">
        <v>48</v>
      </c>
    </row>
    <row r="57" spans="1:4" s="27" customFormat="1" ht="16" thickBot="1">
      <c r="A57" s="30" t="s">
        <v>49</v>
      </c>
      <c r="B57" s="90" t="e">
        <f>'OPERA HOUSE '!B57+#REF!</f>
        <v>#REF!</v>
      </c>
      <c r="C57" s="90" t="e">
        <f>'OPERA HOUSE '!C57+#REF!</f>
        <v>#REF!</v>
      </c>
      <c r="D57" s="51" t="str">
        <f>IFERROR(C57/B57, "NA")</f>
        <v>NA</v>
      </c>
    </row>
    <row r="58" spans="1:4" s="27" customFormat="1" ht="32" customHeight="1" thickBot="1">
      <c r="A58" s="32" t="s">
        <v>32</v>
      </c>
      <c r="B58" s="90" t="e">
        <f>'OPERA HOUSE '!B58+#REF!</f>
        <v>#REF!</v>
      </c>
      <c r="C58" s="90" t="e">
        <f>'OPERA HOUSE '!C58+#REF!</f>
        <v>#REF!</v>
      </c>
      <c r="D58" s="51" t="str">
        <f>IFERROR(C58/B58, "NA")</f>
        <v>NA</v>
      </c>
    </row>
    <row r="59" spans="1:4" s="27" customFormat="1" ht="27" thickBot="1">
      <c r="A59" s="28" t="s">
        <v>76</v>
      </c>
      <c r="B59" s="23" t="s">
        <v>46</v>
      </c>
      <c r="C59" s="23" t="s">
        <v>47</v>
      </c>
      <c r="D59" s="23" t="s">
        <v>48</v>
      </c>
    </row>
    <row r="60" spans="1:4" s="27" customFormat="1" ht="16" thickBot="1">
      <c r="A60" s="30" t="s">
        <v>49</v>
      </c>
      <c r="B60" s="90" t="e">
        <f>'OPERA HOUSE '!B60+#REF!</f>
        <v>#REF!</v>
      </c>
      <c r="C60" s="90" t="e">
        <f>'OPERA HOUSE '!C60+#REF!</f>
        <v>#REF!</v>
      </c>
      <c r="D60" s="51" t="str">
        <f>IFERROR(C60/B60, "NA")</f>
        <v>NA</v>
      </c>
    </row>
    <row r="61" spans="1:4" s="27" customFormat="1" ht="16" thickBot="1">
      <c r="A61" s="32" t="s">
        <v>32</v>
      </c>
      <c r="B61" s="90" t="e">
        <f>'OPERA HOUSE '!B61+#REF!</f>
        <v>#REF!</v>
      </c>
      <c r="C61" s="90" t="e">
        <f>'OPERA HOUSE '!C61+#REF!</f>
        <v>#REF!</v>
      </c>
      <c r="D61" s="51" t="str">
        <f>IFERROR(C61/B61, "NA")</f>
        <v>NA</v>
      </c>
    </row>
    <row r="62" spans="1:4" s="27" customFormat="1" ht="16" thickBot="1">
      <c r="A62" s="42" t="s">
        <v>10</v>
      </c>
      <c r="B62" s="53" t="e">
        <f>SUM(B58,B61)</f>
        <v>#REF!</v>
      </c>
      <c r="C62" s="53" t="e">
        <f>SUM(C58,C61)</f>
        <v>#REF!</v>
      </c>
      <c r="D62" s="51" t="str">
        <f>IFERROR(C62/B62, "NA")</f>
        <v>NA</v>
      </c>
    </row>
    <row r="63" spans="1:4" s="27" customFormat="1" ht="16" thickBot="1">
      <c r="A63" s="174" t="s">
        <v>77</v>
      </c>
      <c r="B63" s="175"/>
      <c r="C63" s="175"/>
      <c r="D63" s="176"/>
    </row>
    <row r="64" spans="1:4" s="27" customFormat="1" ht="16" thickBot="1">
      <c r="A64" s="28" t="s">
        <v>78</v>
      </c>
      <c r="B64" s="23" t="s">
        <v>46</v>
      </c>
      <c r="C64" s="23" t="s">
        <v>47</v>
      </c>
      <c r="D64" s="23" t="s">
        <v>48</v>
      </c>
    </row>
    <row r="65" spans="1:15" ht="16" thickBot="1">
      <c r="A65" s="30" t="s">
        <v>49</v>
      </c>
      <c r="B65" s="90" t="e">
        <f>'OPERA HOUSE '!B65+#REF!</f>
        <v>#REF!</v>
      </c>
      <c r="C65" s="90" t="e">
        <f>'OPERA HOUSE '!C65+#REF!</f>
        <v>#REF!</v>
      </c>
      <c r="D65" s="51" t="str">
        <f>IFERROR(C65/B65, "NA")</f>
        <v>NA</v>
      </c>
      <c r="I65" s="27"/>
    </row>
    <row r="66" spans="1:15" ht="16" thickBot="1">
      <c r="A66" s="32" t="s">
        <v>32</v>
      </c>
      <c r="B66" s="90" t="e">
        <f>'OPERA HOUSE '!B66+#REF!</f>
        <v>#REF!</v>
      </c>
      <c r="C66" s="90" t="e">
        <f>'OPERA HOUSE '!C66+#REF!</f>
        <v>#REF!</v>
      </c>
      <c r="D66" s="51" t="str">
        <f>IFERROR(C66/B66, "NA")</f>
        <v>NA</v>
      </c>
      <c r="I66" s="27"/>
    </row>
    <row r="67" spans="1:15" ht="27" thickBot="1">
      <c r="A67" s="28" t="s">
        <v>79</v>
      </c>
      <c r="B67" s="23" t="s">
        <v>46</v>
      </c>
      <c r="C67" s="23" t="s">
        <v>47</v>
      </c>
      <c r="D67" s="23" t="s">
        <v>48</v>
      </c>
      <c r="I67" s="27"/>
    </row>
    <row r="68" spans="1:15" ht="16" thickBot="1">
      <c r="A68" s="30" t="s">
        <v>49</v>
      </c>
      <c r="B68" s="90" t="e">
        <f>'OPERA HOUSE '!B68+#REF!</f>
        <v>#REF!</v>
      </c>
      <c r="C68" s="90" t="e">
        <f>'OPERA HOUSE '!C68+#REF!</f>
        <v>#REF!</v>
      </c>
      <c r="D68" s="51" t="str">
        <f>IFERROR(C68/B68, "NA")</f>
        <v>NA</v>
      </c>
      <c r="I68" s="27"/>
    </row>
    <row r="69" spans="1:15" ht="17" thickBot="1">
      <c r="A69" s="32" t="s">
        <v>32</v>
      </c>
      <c r="B69" s="90" t="e">
        <f>'OPERA HOUSE '!B69+#REF!</f>
        <v>#REF!</v>
      </c>
      <c r="C69" s="90" t="e">
        <f>'OPERA HOUSE '!C69+#REF!</f>
        <v>#REF!</v>
      </c>
      <c r="D69" s="51" t="str">
        <f>IFERROR(C69/B69, "NA")</f>
        <v>NA</v>
      </c>
      <c r="E69" s="44"/>
      <c r="F69" s="38"/>
      <c r="N69" s="44"/>
      <c r="O69" s="38"/>
    </row>
    <row r="70" spans="1:15" ht="17" thickBot="1">
      <c r="A70" s="42" t="s">
        <v>10</v>
      </c>
      <c r="B70" s="53" t="e">
        <f>SUM(B66,B69)</f>
        <v>#REF!</v>
      </c>
      <c r="C70" s="53" t="e">
        <f>SUM(C66,C69)</f>
        <v>#REF!</v>
      </c>
      <c r="D70" s="51" t="str">
        <f>IFERROR(C70/B70, "NA")</f>
        <v>NA</v>
      </c>
      <c r="E70" s="44"/>
    </row>
    <row r="71" spans="1:15" ht="16">
      <c r="J71" s="44"/>
      <c r="K71" s="38"/>
    </row>
  </sheetData>
  <sheetProtection sheet="1" objects="1" scenarios="1" formatColumns="0" formatRows="0"/>
  <mergeCells count="15">
    <mergeCell ref="A15:J15"/>
    <mergeCell ref="A1:F1"/>
    <mergeCell ref="B2:D2"/>
    <mergeCell ref="B3:D3"/>
    <mergeCell ref="B4:D4"/>
    <mergeCell ref="A5:G5"/>
    <mergeCell ref="A47:D47"/>
    <mergeCell ref="A55:D55"/>
    <mergeCell ref="A63:D63"/>
    <mergeCell ref="A19:F19"/>
    <mergeCell ref="A23:F23"/>
    <mergeCell ref="A27:G27"/>
    <mergeCell ref="A31:D31"/>
    <mergeCell ref="A35:E35"/>
    <mergeCell ref="A39:D39"/>
  </mergeCells>
  <pageMargins left="0.7" right="0.7" top="0.75" bottom="0.75" header="0.3" footer="0.3"/>
  <pageSetup paperSize="8" scale="70" orientation="portrait" r:id="rId1"/>
  <headerFooter>
    <oddFooter>&amp;L_x000D_&amp;1#&amp;"Calibri"&amp;12&amp;K000000 Information Classification: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20AF-86C8-4D05-BAA6-AE829910BA6A}">
  <sheetPr>
    <pageSetUpPr fitToPage="1"/>
  </sheetPr>
  <dimension ref="A1:O71"/>
  <sheetViews>
    <sheetView showGridLines="0" topLeftCell="A8" zoomScale="88" zoomScaleNormal="85" workbookViewId="0">
      <selection activeCell="C30" sqref="C30:D30 G30"/>
    </sheetView>
  </sheetViews>
  <sheetFormatPr baseColWidth="10" defaultColWidth="8.5" defaultRowHeight="15"/>
  <cols>
    <col min="1" max="1" width="17.5" style="27" customWidth="1"/>
    <col min="2" max="2" width="31.5" style="27" customWidth="1"/>
    <col min="3" max="3" width="32.5" style="27" customWidth="1"/>
    <col min="4" max="4" width="21.5" style="27" customWidth="1"/>
    <col min="5" max="5" width="24.83203125" style="27" customWidth="1"/>
    <col min="6" max="6" width="22.5" style="27" customWidth="1"/>
    <col min="7" max="7" width="22" style="27" customWidth="1"/>
    <col min="8" max="8" width="21.83203125" style="27" customWidth="1"/>
    <col min="9" max="9" width="21" style="45" customWidth="1"/>
    <col min="10" max="11" width="26.5" style="27" customWidth="1"/>
    <col min="12" max="13" width="8.5" style="27"/>
    <col min="14" max="14" width="9.5" style="27" bestFit="1" customWidth="1"/>
    <col min="15" max="15" width="6.5" style="27" bestFit="1" customWidth="1"/>
    <col min="16" max="16" width="8.5" style="27"/>
    <col min="17" max="17" width="8.1640625" style="27" bestFit="1" customWidth="1"/>
    <col min="18" max="19" width="8.5" style="27" bestFit="1" customWidth="1"/>
    <col min="20" max="20" width="8.1640625" style="27" bestFit="1" customWidth="1"/>
    <col min="21" max="22" width="8.5" style="27"/>
    <col min="23" max="23" width="10.5" style="27" bestFit="1" customWidth="1"/>
    <col min="24" max="24" width="8.5" style="27"/>
    <col min="25" max="25" width="8.5" style="27" bestFit="1" customWidth="1"/>
    <col min="26" max="27" width="9.5" style="27" bestFit="1" customWidth="1"/>
    <col min="28" max="28" width="7.83203125" style="27" bestFit="1" customWidth="1"/>
    <col min="29" max="29" width="8.5" style="27"/>
    <col min="30" max="30" width="8.1640625" style="27" bestFit="1" customWidth="1"/>
    <col min="31" max="31" width="12.1640625" style="27" bestFit="1" customWidth="1"/>
    <col min="32" max="32" width="9.5" style="27" bestFit="1" customWidth="1"/>
    <col min="33" max="33" width="11.5" style="27" bestFit="1" customWidth="1"/>
    <col min="34" max="35" width="8.5" style="27"/>
    <col min="36" max="36" width="11.5" style="27" bestFit="1" customWidth="1"/>
    <col min="37" max="37" width="8.5" style="27"/>
    <col min="38" max="38" width="11.5" style="27" bestFit="1" customWidth="1"/>
    <col min="39" max="40" width="12.5" style="27" bestFit="1" customWidth="1"/>
    <col min="41" max="41" width="8.5" style="27"/>
    <col min="42" max="42" width="10.5" style="27" bestFit="1" customWidth="1"/>
    <col min="43" max="16384" width="8.5" style="27"/>
  </cols>
  <sheetData>
    <row r="1" spans="1:11" ht="16" thickBot="1">
      <c r="A1" s="174" t="s">
        <v>0</v>
      </c>
      <c r="B1" s="177"/>
      <c r="C1" s="177"/>
      <c r="D1" s="177"/>
      <c r="E1" s="177"/>
      <c r="F1" s="177"/>
    </row>
    <row r="2" spans="1:11" ht="16" thickBot="1">
      <c r="A2" s="28" t="s">
        <v>1</v>
      </c>
      <c r="B2" s="188">
        <f>'GRAND MOSQUE'!B2</f>
        <v>0</v>
      </c>
      <c r="C2" s="189"/>
      <c r="D2" s="190"/>
      <c r="E2" s="28" t="s">
        <v>2</v>
      </c>
      <c r="F2" s="87" t="str">
        <f>'GRAND MOSQUE'!F2</f>
        <v xml:space="preserve"> </v>
      </c>
    </row>
    <row r="3" spans="1:11" ht="16" thickBot="1">
      <c r="A3" s="28" t="s">
        <v>84</v>
      </c>
      <c r="B3" s="185" t="s">
        <v>179</v>
      </c>
      <c r="C3" s="186"/>
      <c r="D3" s="187"/>
      <c r="E3" s="28" t="s">
        <v>85</v>
      </c>
      <c r="F3" s="30" t="s">
        <v>145</v>
      </c>
      <c r="I3" s="27"/>
    </row>
    <row r="4" spans="1:11" ht="27" thickBot="1">
      <c r="A4" s="28" t="s">
        <v>81</v>
      </c>
      <c r="B4" s="185" t="s">
        <v>180</v>
      </c>
      <c r="C4" s="186"/>
      <c r="D4" s="187"/>
      <c r="E4" s="28" t="s">
        <v>86</v>
      </c>
      <c r="F4" s="30" t="s">
        <v>87</v>
      </c>
      <c r="I4" s="27"/>
    </row>
    <row r="5" spans="1:11" ht="15.75" customHeight="1" thickBot="1">
      <c r="A5" s="178" t="s">
        <v>9</v>
      </c>
      <c r="B5" s="179"/>
      <c r="C5" s="179"/>
      <c r="D5" s="179"/>
      <c r="E5" s="179"/>
      <c r="F5" s="179"/>
      <c r="G5" s="180"/>
      <c r="I5" s="27"/>
    </row>
    <row r="6" spans="1:11" ht="16" thickBot="1">
      <c r="A6" s="31"/>
      <c r="B6" s="13" t="s">
        <v>153</v>
      </c>
      <c r="C6" s="46" t="s">
        <v>11</v>
      </c>
      <c r="D6" s="14" t="s">
        <v>12</v>
      </c>
      <c r="E6" s="14" t="s">
        <v>13</v>
      </c>
      <c r="F6" s="14" t="s">
        <v>14</v>
      </c>
      <c r="G6" s="22" t="s">
        <v>154</v>
      </c>
      <c r="H6" s="14" t="s">
        <v>155</v>
      </c>
      <c r="I6" s="27"/>
    </row>
    <row r="7" spans="1:11" ht="16" thickBot="1">
      <c r="A7" s="30" t="s">
        <v>16</v>
      </c>
      <c r="B7" s="89" t="e">
        <f>SUM(C7:F7)</f>
        <v>#REF!</v>
      </c>
      <c r="C7" s="90" t="e">
        <f>'GRAND MOSQUE'!C7+'OPERA HOUSE '!C7+'Waldorf Astoria Hotel &amp; Branded'!C7+#REF!</f>
        <v>#REF!</v>
      </c>
      <c r="D7" s="90" t="e">
        <f>'GRAND MOSQUE'!D7+'OPERA HOUSE '!D7+'Waldorf Astoria Hotel &amp; Branded'!D7+#REF!</f>
        <v>#REF!</v>
      </c>
      <c r="E7" s="90" t="e">
        <f>'GRAND MOSQUE'!E7+'OPERA HOUSE '!E7+'Waldorf Astoria Hotel &amp; Branded'!E7+#REF!</f>
        <v>#REF!</v>
      </c>
      <c r="F7" s="90" t="e">
        <f>'GRAND MOSQUE'!F7+'OPERA HOUSE '!F7+'Waldorf Astoria Hotel &amp; Branded'!F7+#REF!</f>
        <v>#REF!</v>
      </c>
      <c r="G7" s="91" t="str">
        <f>IFERROR((C7+D7)/B7, "0")</f>
        <v>0</v>
      </c>
      <c r="H7" s="15"/>
      <c r="I7" s="27"/>
    </row>
    <row r="8" spans="1:11" ht="16" thickBot="1">
      <c r="A8" s="32" t="s">
        <v>17</v>
      </c>
      <c r="B8" s="89" t="e">
        <f t="shared" ref="B8:B14" si="0">SUM(C8:F8)</f>
        <v>#REF!</v>
      </c>
      <c r="C8" s="90" t="e">
        <f>'GRAND MOSQUE'!C8+'OPERA HOUSE '!C8+'Waldorf Astoria Hotel &amp; Branded'!C8+#REF!</f>
        <v>#REF!</v>
      </c>
      <c r="D8" s="90" t="e">
        <f>'GRAND MOSQUE'!D8+'OPERA HOUSE '!D8+'Waldorf Astoria Hotel &amp; Branded'!D8+#REF!</f>
        <v>#REF!</v>
      </c>
      <c r="E8" s="90" t="e">
        <f>'GRAND MOSQUE'!E8+'OPERA HOUSE '!E8+'Waldorf Astoria Hotel &amp; Branded'!E8+#REF!</f>
        <v>#REF!</v>
      </c>
      <c r="F8" s="90" t="e">
        <f>'GRAND MOSQUE'!F8+'OPERA HOUSE '!F8+'Waldorf Astoria Hotel &amp; Branded'!F8+#REF!</f>
        <v>#REF!</v>
      </c>
      <c r="G8" s="91" t="str">
        <f t="shared" ref="G8:G14" si="1">IFERROR((C8+D8)/B8, "0")</f>
        <v>0</v>
      </c>
      <c r="H8" s="16"/>
      <c r="I8" s="27"/>
    </row>
    <row r="9" spans="1:11" ht="16" thickBot="1">
      <c r="A9" s="30" t="s">
        <v>18</v>
      </c>
      <c r="B9" s="89" t="e">
        <f t="shared" si="0"/>
        <v>#REF!</v>
      </c>
      <c r="C9" s="90" t="e">
        <f>'GRAND MOSQUE'!C9+'OPERA HOUSE '!C9+'Waldorf Astoria Hotel &amp; Branded'!C9+#REF!</f>
        <v>#REF!</v>
      </c>
      <c r="D9" s="90" t="e">
        <f>'GRAND MOSQUE'!D9+'OPERA HOUSE '!D9+'Waldorf Astoria Hotel &amp; Branded'!D9+#REF!</f>
        <v>#REF!</v>
      </c>
      <c r="E9" s="90" t="e">
        <f>'GRAND MOSQUE'!E9+'OPERA HOUSE '!E9+'Waldorf Astoria Hotel &amp; Branded'!E9+#REF!</f>
        <v>#REF!</v>
      </c>
      <c r="F9" s="90" t="e">
        <f>'GRAND MOSQUE'!F9+'OPERA HOUSE '!F9+'Waldorf Astoria Hotel &amp; Branded'!F9+#REF!</f>
        <v>#REF!</v>
      </c>
      <c r="G9" s="91" t="str">
        <f t="shared" si="1"/>
        <v>0</v>
      </c>
      <c r="H9" s="15"/>
      <c r="I9" s="27"/>
    </row>
    <row r="10" spans="1:11" ht="16" thickBot="1">
      <c r="A10" s="32" t="s">
        <v>19</v>
      </c>
      <c r="B10" s="89" t="e">
        <f t="shared" si="0"/>
        <v>#REF!</v>
      </c>
      <c r="C10" s="90" t="e">
        <f>'GRAND MOSQUE'!C10+'OPERA HOUSE '!C10+'Waldorf Astoria Hotel &amp; Branded'!C10+#REF!</f>
        <v>#REF!</v>
      </c>
      <c r="D10" s="90" t="e">
        <f>'GRAND MOSQUE'!D10+'OPERA HOUSE '!D10+'Waldorf Astoria Hotel &amp; Branded'!D10+#REF!</f>
        <v>#REF!</v>
      </c>
      <c r="E10" s="90" t="e">
        <f>'GRAND MOSQUE'!E10+'OPERA HOUSE '!E10+'Waldorf Astoria Hotel &amp; Branded'!E10+#REF!</f>
        <v>#REF!</v>
      </c>
      <c r="F10" s="90" t="e">
        <f>'GRAND MOSQUE'!F10+'OPERA HOUSE '!F10+'Waldorf Astoria Hotel &amp; Branded'!F10+#REF!</f>
        <v>#REF!</v>
      </c>
      <c r="G10" s="91" t="str">
        <f t="shared" si="1"/>
        <v>0</v>
      </c>
      <c r="H10" s="16"/>
      <c r="I10" s="27"/>
    </row>
    <row r="11" spans="1:11" ht="16" thickBot="1">
      <c r="A11" s="30" t="s">
        <v>20</v>
      </c>
      <c r="B11" s="89" t="e">
        <f t="shared" si="0"/>
        <v>#REF!</v>
      </c>
      <c r="C11" s="90" t="e">
        <f>'GRAND MOSQUE'!C11+'OPERA HOUSE '!C11+'Waldorf Astoria Hotel &amp; Branded'!C11+#REF!</f>
        <v>#REF!</v>
      </c>
      <c r="D11" s="90" t="e">
        <f>'GRAND MOSQUE'!D11+'OPERA HOUSE '!D11+'Waldorf Astoria Hotel &amp; Branded'!D11+#REF!</f>
        <v>#REF!</v>
      </c>
      <c r="E11" s="90" t="e">
        <f>'GRAND MOSQUE'!E11+'OPERA HOUSE '!E11+'Waldorf Astoria Hotel &amp; Branded'!E11+#REF!</f>
        <v>#REF!</v>
      </c>
      <c r="F11" s="90" t="e">
        <f>'GRAND MOSQUE'!F11+'OPERA HOUSE '!F11+'Waldorf Astoria Hotel &amp; Branded'!F11+#REF!</f>
        <v>#REF!</v>
      </c>
      <c r="G11" s="91" t="str">
        <f t="shared" si="1"/>
        <v>0</v>
      </c>
      <c r="H11" s="15"/>
      <c r="I11" s="27"/>
    </row>
    <row r="12" spans="1:11" ht="16" thickBot="1">
      <c r="A12" s="32" t="s">
        <v>21</v>
      </c>
      <c r="B12" s="89" t="e">
        <f t="shared" si="0"/>
        <v>#REF!</v>
      </c>
      <c r="C12" s="90" t="e">
        <f>'GRAND MOSQUE'!C12+'OPERA HOUSE '!C12+'Waldorf Astoria Hotel &amp; Branded'!C12+#REF!</f>
        <v>#REF!</v>
      </c>
      <c r="D12" s="90" t="e">
        <f>'GRAND MOSQUE'!D12+'OPERA HOUSE '!D12+'Waldorf Astoria Hotel &amp; Branded'!D12+#REF!</f>
        <v>#REF!</v>
      </c>
      <c r="E12" s="90" t="e">
        <f>'GRAND MOSQUE'!E12+'OPERA HOUSE '!E12+'Waldorf Astoria Hotel &amp; Branded'!E12+#REF!</f>
        <v>#REF!</v>
      </c>
      <c r="F12" s="90" t="e">
        <f>'GRAND MOSQUE'!F12+'OPERA HOUSE '!F12+'Waldorf Astoria Hotel &amp; Branded'!F12+#REF!</f>
        <v>#REF!</v>
      </c>
      <c r="G12" s="91" t="str">
        <f t="shared" si="1"/>
        <v>0</v>
      </c>
      <c r="H12" s="16"/>
      <c r="I12" s="27"/>
    </row>
    <row r="13" spans="1:11" ht="16" thickBot="1">
      <c r="A13" s="30" t="s">
        <v>22</v>
      </c>
      <c r="B13" s="89" t="e">
        <f t="shared" si="0"/>
        <v>#REF!</v>
      </c>
      <c r="C13" s="90" t="e">
        <f>'GRAND MOSQUE'!C13+'OPERA HOUSE '!C13+'Waldorf Astoria Hotel &amp; Branded'!C13+#REF!</f>
        <v>#REF!</v>
      </c>
      <c r="D13" s="90" t="e">
        <f>'GRAND MOSQUE'!D13+'OPERA HOUSE '!D13+'Waldorf Astoria Hotel &amp; Branded'!D13+#REF!</f>
        <v>#REF!</v>
      </c>
      <c r="E13" s="90" t="e">
        <f>'GRAND MOSQUE'!E13+'OPERA HOUSE '!E13+'Waldorf Astoria Hotel &amp; Branded'!E13+#REF!</f>
        <v>#REF!</v>
      </c>
      <c r="F13" s="90" t="e">
        <f>'GRAND MOSQUE'!F13+'OPERA HOUSE '!F13+'Waldorf Astoria Hotel &amp; Branded'!F13+#REF!</f>
        <v>#REF!</v>
      </c>
      <c r="G13" s="91" t="str">
        <f t="shared" si="1"/>
        <v>0</v>
      </c>
      <c r="H13" s="15"/>
      <c r="I13" s="27"/>
    </row>
    <row r="14" spans="1:11" ht="16" thickBot="1">
      <c r="A14" s="32" t="s">
        <v>23</v>
      </c>
      <c r="B14" s="89" t="e">
        <f t="shared" si="0"/>
        <v>#REF!</v>
      </c>
      <c r="C14" s="90" t="e">
        <f>'GRAND MOSQUE'!C14+'OPERA HOUSE '!C14+'Waldorf Astoria Hotel &amp; Branded'!C14+#REF!</f>
        <v>#REF!</v>
      </c>
      <c r="D14" s="90" t="e">
        <f>'GRAND MOSQUE'!D14+'OPERA HOUSE '!D14+'Waldorf Astoria Hotel &amp; Branded'!D14+#REF!</f>
        <v>#REF!</v>
      </c>
      <c r="E14" s="90" t="e">
        <f>'GRAND MOSQUE'!E14+'OPERA HOUSE '!E14+'Waldorf Astoria Hotel &amp; Branded'!E14+#REF!</f>
        <v>#REF!</v>
      </c>
      <c r="F14" s="90" t="e">
        <f>'GRAND MOSQUE'!F14+'OPERA HOUSE '!F14+'Waldorf Astoria Hotel &amp; Branded'!F14+#REF!</f>
        <v>#REF!</v>
      </c>
      <c r="G14" s="91" t="str">
        <f t="shared" si="1"/>
        <v>0</v>
      </c>
      <c r="H14" s="16"/>
      <c r="I14" s="27"/>
    </row>
    <row r="15" spans="1:11" ht="15.75" customHeight="1" thickBot="1">
      <c r="A15" s="182" t="s">
        <v>24</v>
      </c>
      <c r="B15" s="183"/>
      <c r="C15" s="183"/>
      <c r="D15" s="183"/>
      <c r="E15" s="183"/>
      <c r="F15" s="183"/>
      <c r="G15" s="183"/>
      <c r="H15" s="183"/>
      <c r="I15" s="183"/>
      <c r="J15" s="183"/>
    </row>
    <row r="16" spans="1:11" ht="26.5" customHeight="1" thickBot="1">
      <c r="A16" s="14"/>
      <c r="B16" s="14" t="s">
        <v>25</v>
      </c>
      <c r="C16" s="14" t="s">
        <v>26</v>
      </c>
      <c r="D16" s="14" t="s">
        <v>27</v>
      </c>
      <c r="E16" s="14" t="s">
        <v>28</v>
      </c>
      <c r="F16" s="21" t="s">
        <v>156</v>
      </c>
      <c r="G16" s="21" t="s">
        <v>157</v>
      </c>
      <c r="H16" s="21" t="s">
        <v>158</v>
      </c>
      <c r="I16" s="22" t="s">
        <v>159</v>
      </c>
      <c r="J16" s="17" t="s">
        <v>160</v>
      </c>
      <c r="K16" s="14" t="s">
        <v>155</v>
      </c>
    </row>
    <row r="17" spans="1:11" ht="16" thickBot="1">
      <c r="A17" s="30" t="s">
        <v>31</v>
      </c>
      <c r="B17" s="90" t="e">
        <f>'GRAND MOSQUE'!B17+'OPERA HOUSE '!B17+'Waldorf Astoria Hotel &amp; Branded'!B17+#REF!</f>
        <v>#REF!</v>
      </c>
      <c r="C17" s="90" t="e">
        <f>'GRAND MOSQUE'!C17+'OPERA HOUSE '!C17+'Waldorf Astoria Hotel &amp; Branded'!C17+#REF!</f>
        <v>#REF!</v>
      </c>
      <c r="D17" s="90" t="e">
        <f>'GRAND MOSQUE'!D17+'OPERA HOUSE '!D17+'Waldorf Astoria Hotel &amp; Branded'!D17+#REF!</f>
        <v>#REF!</v>
      </c>
      <c r="E17" s="90" t="e">
        <f>'GRAND MOSQUE'!E17+'OPERA HOUSE '!E17+'Waldorf Astoria Hotel &amp; Branded'!E17+#REF!</f>
        <v>#REF!</v>
      </c>
      <c r="F17" s="51" t="str">
        <f>IFERROR(D17/B17, "NA")</f>
        <v>NA</v>
      </c>
      <c r="G17" s="51" t="str">
        <f>IFERROR(E17/(D17+J17), "NA")</f>
        <v>NA</v>
      </c>
      <c r="H17" s="90" t="e">
        <f>B25</f>
        <v>#REF!</v>
      </c>
      <c r="I17" s="52" t="str">
        <f>IFERROR(B17/H17, "NA")</f>
        <v>NA</v>
      </c>
      <c r="J17" s="90" t="e">
        <f>'GRAND MOSQUE'!J17+'OPERA HOUSE '!J17+'Waldorf Astoria Hotel &amp; Branded'!J17+#REF!</f>
        <v>#REF!</v>
      </c>
      <c r="K17" s="15"/>
    </row>
    <row r="18" spans="1:11" ht="16" thickBot="1">
      <c r="A18" s="32" t="s">
        <v>32</v>
      </c>
      <c r="B18" s="90" t="e">
        <f>'GRAND MOSQUE'!B18+'OPERA HOUSE '!B18+'Waldorf Astoria Hotel &amp; Branded'!B18+#REF!</f>
        <v>#REF!</v>
      </c>
      <c r="C18" s="90" t="e">
        <f>'GRAND MOSQUE'!C18+'OPERA HOUSE '!C18+'Waldorf Astoria Hotel &amp; Branded'!C18+#REF!</f>
        <v>#REF!</v>
      </c>
      <c r="D18" s="90" t="e">
        <f>'GRAND MOSQUE'!D18+'OPERA HOUSE '!D18+'Waldorf Astoria Hotel &amp; Branded'!D18+#REF!</f>
        <v>#REF!</v>
      </c>
      <c r="E18" s="90" t="e">
        <f>'GRAND MOSQUE'!E18+'OPERA HOUSE '!E18+'Waldorf Astoria Hotel &amp; Branded'!E18+#REF!</f>
        <v>#REF!</v>
      </c>
      <c r="F18" s="51" t="str">
        <f>IFERROR(D18/B18, "NA")</f>
        <v>NA</v>
      </c>
      <c r="G18" s="51" t="str">
        <f>IFERROR(E18/(D18+J18), "NA")</f>
        <v>NA</v>
      </c>
      <c r="H18" s="90" t="e">
        <f>B26</f>
        <v>#REF!</v>
      </c>
      <c r="I18" s="52" t="str">
        <f>IFERROR(B18/H18, "NA")</f>
        <v>NA</v>
      </c>
      <c r="J18" s="90" t="e">
        <f>'GRAND MOSQUE'!J18+'OPERA HOUSE '!J18+'Waldorf Astoria Hotel &amp; Branded'!J18+#REF!</f>
        <v>#REF!</v>
      </c>
      <c r="K18" s="16"/>
    </row>
    <row r="19" spans="1:11" ht="15.75" customHeight="1" thickBot="1">
      <c r="A19" s="174" t="s">
        <v>33</v>
      </c>
      <c r="B19" s="177"/>
      <c r="C19" s="177"/>
      <c r="D19" s="177"/>
      <c r="E19" s="181"/>
      <c r="F19" s="181"/>
    </row>
    <row r="20" spans="1:11" ht="24" customHeight="1" thickBot="1">
      <c r="A20" s="31"/>
      <c r="B20" s="14" t="s">
        <v>34</v>
      </c>
      <c r="C20" s="14" t="s">
        <v>35</v>
      </c>
      <c r="D20" s="14" t="s">
        <v>36</v>
      </c>
      <c r="E20" s="14" t="s">
        <v>37</v>
      </c>
      <c r="F20" s="14" t="s">
        <v>38</v>
      </c>
      <c r="G20" s="14" t="s">
        <v>155</v>
      </c>
    </row>
    <row r="21" spans="1:11" ht="16" thickBot="1">
      <c r="A21" s="30" t="s">
        <v>31</v>
      </c>
      <c r="B21" s="90" t="e">
        <f>'GRAND MOSQUE'!B21+'OPERA HOUSE '!B21+'Waldorf Astoria Hotel &amp; Branded'!B21+#REF!</f>
        <v>#REF!</v>
      </c>
      <c r="C21" s="90" t="e">
        <f>'GRAND MOSQUE'!C21+'OPERA HOUSE '!C21+'Waldorf Astoria Hotel &amp; Branded'!C21+#REF!</f>
        <v>#REF!</v>
      </c>
      <c r="D21" s="90" t="e">
        <f>'GRAND MOSQUE'!D21+'OPERA HOUSE '!D21+'Waldorf Astoria Hotel &amp; Branded'!D21+#REF!</f>
        <v>#REF!</v>
      </c>
      <c r="E21" s="92" t="str">
        <f>IFERROR(C21/B21, "NA")</f>
        <v>NA</v>
      </c>
      <c r="F21" s="92" t="str">
        <f>IFERROR(D21/C21, "NA")</f>
        <v>NA</v>
      </c>
      <c r="G21" s="15"/>
    </row>
    <row r="22" spans="1:11" ht="16" thickBot="1">
      <c r="A22" s="32" t="s">
        <v>32</v>
      </c>
      <c r="B22" s="90" t="e">
        <f>'GRAND MOSQUE'!B22+'OPERA HOUSE '!B22+'Waldorf Astoria Hotel &amp; Branded'!B22+#REF!</f>
        <v>#REF!</v>
      </c>
      <c r="C22" s="90" t="e">
        <f>'GRAND MOSQUE'!C22+'OPERA HOUSE '!C22+'Waldorf Astoria Hotel &amp; Branded'!C22+#REF!</f>
        <v>#REF!</v>
      </c>
      <c r="D22" s="90" t="e">
        <f>'GRAND MOSQUE'!D22+'OPERA HOUSE '!D22+'Waldorf Astoria Hotel &amp; Branded'!D22+#REF!</f>
        <v>#REF!</v>
      </c>
      <c r="E22" s="92" t="str">
        <f>IFERROR(C22/B22, "NA")</f>
        <v>NA</v>
      </c>
      <c r="F22" s="92" t="str">
        <f>IFERROR(D22/C22, "NA")</f>
        <v>NA</v>
      </c>
      <c r="G22" s="16"/>
    </row>
    <row r="23" spans="1:11" ht="15.75" customHeight="1" thickBot="1">
      <c r="A23" s="178" t="s">
        <v>39</v>
      </c>
      <c r="B23" s="179"/>
      <c r="C23" s="179"/>
      <c r="D23" s="179"/>
      <c r="E23" s="180"/>
      <c r="F23" s="180"/>
    </row>
    <row r="24" spans="1:11" ht="16" thickBot="1">
      <c r="A24" s="31"/>
      <c r="B24" s="14" t="s">
        <v>29</v>
      </c>
      <c r="C24" s="14" t="s">
        <v>35</v>
      </c>
      <c r="D24" s="14" t="s">
        <v>36</v>
      </c>
      <c r="E24" s="14" t="s">
        <v>37</v>
      </c>
      <c r="F24" s="14" t="s">
        <v>38</v>
      </c>
      <c r="G24" s="14" t="s">
        <v>155</v>
      </c>
      <c r="I24" s="27"/>
    </row>
    <row r="25" spans="1:11" ht="16" thickBot="1">
      <c r="A25" s="30" t="s">
        <v>31</v>
      </c>
      <c r="B25" s="90" t="e">
        <f>'GRAND MOSQUE'!B25+'OPERA HOUSE '!B25+'Waldorf Astoria Hotel &amp; Branded'!B25+#REF!</f>
        <v>#REF!</v>
      </c>
      <c r="C25" s="90" t="e">
        <f>'GRAND MOSQUE'!C25+'OPERA HOUSE '!C25+'Waldorf Astoria Hotel &amp; Branded'!C25+#REF!</f>
        <v>#REF!</v>
      </c>
      <c r="D25" s="90" t="e">
        <f>'GRAND MOSQUE'!D25+'OPERA HOUSE '!D25+'Waldorf Astoria Hotel &amp; Branded'!D25+#REF!</f>
        <v>#REF!</v>
      </c>
      <c r="E25" s="92" t="str">
        <f>IFERROR(C25/B25, "NA")</f>
        <v>NA</v>
      </c>
      <c r="F25" s="92" t="str">
        <f>IFERROR(D25/C25, "NA")</f>
        <v>NA</v>
      </c>
      <c r="G25" s="15"/>
      <c r="I25" s="27"/>
    </row>
    <row r="26" spans="1:11" ht="16" thickBot="1">
      <c r="A26" s="32" t="s">
        <v>32</v>
      </c>
      <c r="B26" s="90" t="e">
        <f>'GRAND MOSQUE'!B26+'OPERA HOUSE '!B26+'Waldorf Astoria Hotel &amp; Branded'!B26+#REF!</f>
        <v>#REF!</v>
      </c>
      <c r="C26" s="90" t="e">
        <f>'GRAND MOSQUE'!C26+'OPERA HOUSE '!C26+'Waldorf Astoria Hotel &amp; Branded'!C26+#REF!</f>
        <v>#REF!</v>
      </c>
      <c r="D26" s="90" t="e">
        <f>'GRAND MOSQUE'!D26+'OPERA HOUSE '!D26+'Waldorf Astoria Hotel &amp; Branded'!D26+#REF!</f>
        <v>#REF!</v>
      </c>
      <c r="E26" s="92" t="str">
        <f>IFERROR(C26/B26, "NA")</f>
        <v>NA</v>
      </c>
      <c r="F26" s="92" t="str">
        <f>IFERROR(D26/C26, "NA")</f>
        <v>NA</v>
      </c>
      <c r="G26" s="16"/>
      <c r="I26" s="27"/>
    </row>
    <row r="27" spans="1:11" ht="16.5" customHeight="1" thickBot="1">
      <c r="A27" s="178" t="s">
        <v>40</v>
      </c>
      <c r="B27" s="179"/>
      <c r="C27" s="179"/>
      <c r="D27" s="179"/>
      <c r="E27" s="179"/>
      <c r="F27" s="179"/>
      <c r="G27" s="179"/>
      <c r="I27" s="27"/>
    </row>
    <row r="28" spans="1:11" ht="16" thickBot="1">
      <c r="A28" s="28"/>
      <c r="B28" s="23" t="s">
        <v>10</v>
      </c>
      <c r="C28" s="23" t="s">
        <v>41</v>
      </c>
      <c r="D28" s="23" t="s">
        <v>42</v>
      </c>
      <c r="E28" s="23" t="s">
        <v>43</v>
      </c>
      <c r="F28" s="23" t="s">
        <v>44</v>
      </c>
      <c r="G28" s="17" t="s">
        <v>161</v>
      </c>
      <c r="H28" s="14" t="s">
        <v>155</v>
      </c>
      <c r="I28" s="27"/>
    </row>
    <row r="29" spans="1:11" ht="16" thickBot="1">
      <c r="A29" s="30" t="s">
        <v>31</v>
      </c>
      <c r="B29" s="90" t="e">
        <f>'GRAND MOSQUE'!B29+'OPERA HOUSE '!B29+'Waldorf Astoria Hotel &amp; Branded'!B29+#REF!</f>
        <v>#REF!</v>
      </c>
      <c r="C29" s="90" t="e">
        <f>'GRAND MOSQUE'!C29+'OPERA HOUSE '!C29+'Waldorf Astoria Hotel &amp; Branded'!C29+#REF!</f>
        <v>#REF!</v>
      </c>
      <c r="D29" s="90" t="e">
        <f>'GRAND MOSQUE'!D29+'OPERA HOUSE '!D29+'Waldorf Astoria Hotel &amp; Branded'!D29+#REF!</f>
        <v>#REF!</v>
      </c>
      <c r="E29" s="92" t="str">
        <f>IFERROR(C29/B29, "-")</f>
        <v>-</v>
      </c>
      <c r="F29" s="92" t="str">
        <f>IFERROR(D29/(C29+G29), "-")</f>
        <v>-</v>
      </c>
      <c r="G29" s="90" t="e">
        <f>'GRAND MOSQUE'!G29+'OPERA HOUSE '!G29+'Waldorf Astoria Hotel &amp; Branded'!G29+#REF!</f>
        <v>#REF!</v>
      </c>
      <c r="H29" s="15"/>
      <c r="I29" s="27"/>
    </row>
    <row r="30" spans="1:11" ht="16" thickBot="1">
      <c r="A30" s="32" t="s">
        <v>32</v>
      </c>
      <c r="B30" s="90" t="e">
        <f>'GRAND MOSQUE'!B30+'OPERA HOUSE '!B30+'Waldorf Astoria Hotel &amp; Branded'!B30+#REF!</f>
        <v>#REF!</v>
      </c>
      <c r="C30" s="90" t="e">
        <f>'GRAND MOSQUE'!C30+'OPERA HOUSE '!C30+'Waldorf Astoria Hotel &amp; Branded'!C30+#REF!</f>
        <v>#REF!</v>
      </c>
      <c r="D30" s="90" t="e">
        <f>'GRAND MOSQUE'!D30+'OPERA HOUSE '!D30+'Waldorf Astoria Hotel &amp; Branded'!D30+#REF!</f>
        <v>#REF!</v>
      </c>
      <c r="E30" s="92" t="str">
        <f>IFERROR(C30/B30, "-")</f>
        <v>-</v>
      </c>
      <c r="F30" s="92" t="str">
        <f>IFERROR(D30/(C30+G30), "-")</f>
        <v>-</v>
      </c>
      <c r="G30" s="90" t="e">
        <f>'GRAND MOSQUE'!G30+'OPERA HOUSE '!G30+'Waldorf Astoria Hotel &amp; Branded'!G30+#REF!</f>
        <v>#REF!</v>
      </c>
      <c r="H30" s="16"/>
      <c r="I30" s="27"/>
    </row>
    <row r="31" spans="1:11" ht="17" thickBot="1">
      <c r="A31" s="174" t="s">
        <v>45</v>
      </c>
      <c r="B31" s="175"/>
      <c r="C31" s="175"/>
      <c r="D31" s="175"/>
      <c r="E31" s="38"/>
      <c r="I31" s="27"/>
    </row>
    <row r="32" spans="1:11" ht="16" thickBot="1">
      <c r="A32" s="28"/>
      <c r="B32" s="23" t="s">
        <v>46</v>
      </c>
      <c r="C32" s="23" t="s">
        <v>47</v>
      </c>
      <c r="D32" s="23" t="s">
        <v>48</v>
      </c>
      <c r="E32" s="14" t="s">
        <v>155</v>
      </c>
      <c r="I32" s="27"/>
    </row>
    <row r="33" spans="1:13" ht="16" thickBot="1">
      <c r="A33" s="30" t="s">
        <v>49</v>
      </c>
      <c r="B33" s="90" t="e">
        <f>'GRAND MOSQUE'!B33+'OPERA HOUSE '!B33+'Waldorf Astoria Hotel &amp; Branded'!B33+#REF!</f>
        <v>#REF!</v>
      </c>
      <c r="C33" s="90" t="e">
        <f>'GRAND MOSQUE'!C33+'OPERA HOUSE '!C33+'Waldorf Astoria Hotel &amp; Branded'!C33+#REF!</f>
        <v>#REF!</v>
      </c>
      <c r="D33" s="92" t="str">
        <f>IFERROR(C33/B33, "NA")</f>
        <v>NA</v>
      </c>
      <c r="E33" s="15"/>
      <c r="I33" s="27"/>
    </row>
    <row r="34" spans="1:13" ht="16" thickBot="1">
      <c r="A34" s="32" t="s">
        <v>32</v>
      </c>
      <c r="B34" s="90" t="e">
        <f>'GRAND MOSQUE'!B34+'OPERA HOUSE '!B34+'Waldorf Astoria Hotel &amp; Branded'!B34+#REF!</f>
        <v>#REF!</v>
      </c>
      <c r="C34" s="90" t="e">
        <f>'GRAND MOSQUE'!C34+'OPERA HOUSE '!C34+'Waldorf Astoria Hotel &amp; Branded'!C34+#REF!</f>
        <v>#REF!</v>
      </c>
      <c r="D34" s="92" t="str">
        <f>IFERROR(C34/B34, "NA")</f>
        <v>NA</v>
      </c>
      <c r="E34" s="16"/>
      <c r="I34" s="27"/>
    </row>
    <row r="35" spans="1:13" ht="16.5" customHeight="1" thickBot="1">
      <c r="A35" s="178" t="s">
        <v>50</v>
      </c>
      <c r="B35" s="179"/>
      <c r="C35" s="179"/>
      <c r="D35" s="179"/>
      <c r="E35" s="184"/>
      <c r="F35" s="38"/>
      <c r="I35" s="27"/>
    </row>
    <row r="36" spans="1:13" ht="16" thickBot="1">
      <c r="A36" s="28"/>
      <c r="B36" s="23" t="s">
        <v>10</v>
      </c>
      <c r="C36" s="23" t="s">
        <v>51</v>
      </c>
      <c r="D36" s="23" t="s">
        <v>52</v>
      </c>
      <c r="E36" s="23" t="s">
        <v>53</v>
      </c>
      <c r="F36" s="14" t="s">
        <v>155</v>
      </c>
      <c r="I36" s="27"/>
    </row>
    <row r="37" spans="1:13" ht="16" thickBot="1">
      <c r="A37" s="30" t="s">
        <v>49</v>
      </c>
      <c r="B37" s="90" t="e">
        <f>'GRAND MOSQUE'!B37+'OPERA HOUSE '!B37+'Waldorf Astoria Hotel &amp; Branded'!B37+#REF!</f>
        <v>#REF!</v>
      </c>
      <c r="C37" s="90" t="e">
        <f>'GRAND MOSQUE'!C37+'OPERA HOUSE '!C37+'Waldorf Astoria Hotel &amp; Branded'!C37+#REF!</f>
        <v>#REF!</v>
      </c>
      <c r="D37" s="90" t="e">
        <f>'GRAND MOSQUE'!D37+'OPERA HOUSE '!D37+'Waldorf Astoria Hotel &amp; Branded'!D37+#REF!</f>
        <v>#REF!</v>
      </c>
      <c r="E37" s="51" t="str">
        <f>IFERROR(D37/B37, "NA")</f>
        <v>NA</v>
      </c>
      <c r="F37" s="15"/>
      <c r="I37" s="27"/>
    </row>
    <row r="38" spans="1:13" ht="16" thickBot="1">
      <c r="A38" s="32" t="s">
        <v>32</v>
      </c>
      <c r="B38" s="90" t="e">
        <f>'GRAND MOSQUE'!B38+'OPERA HOUSE '!B38+'Waldorf Astoria Hotel &amp; Branded'!B38+#REF!</f>
        <v>#REF!</v>
      </c>
      <c r="C38" s="90" t="e">
        <f>'GRAND MOSQUE'!C38+'OPERA HOUSE '!C38+'Waldorf Astoria Hotel &amp; Branded'!C38+#REF!</f>
        <v>#REF!</v>
      </c>
      <c r="D38" s="90" t="e">
        <f>'GRAND MOSQUE'!D38+'OPERA HOUSE '!D38+'Waldorf Astoria Hotel &amp; Branded'!D38+#REF!</f>
        <v>#REF!</v>
      </c>
      <c r="E38" s="51" t="str">
        <f>IFERROR(D38/B38, "NA")</f>
        <v>NA</v>
      </c>
      <c r="F38" s="16"/>
      <c r="I38" s="27"/>
    </row>
    <row r="39" spans="1:13" ht="16" thickBot="1">
      <c r="A39" s="174" t="s">
        <v>54</v>
      </c>
      <c r="B39" s="175"/>
      <c r="C39" s="175"/>
      <c r="D39" s="175"/>
      <c r="E39" s="24" t="s">
        <v>162</v>
      </c>
      <c r="F39" s="25"/>
      <c r="I39" s="27"/>
    </row>
    <row r="40" spans="1:13" ht="28" customHeight="1" thickBot="1">
      <c r="A40" s="39" t="s">
        <v>55</v>
      </c>
      <c r="B40" s="47" t="s">
        <v>56</v>
      </c>
      <c r="C40" s="48" t="s">
        <v>57</v>
      </c>
      <c r="D40" s="48" t="s">
        <v>58</v>
      </c>
      <c r="I40" s="27"/>
    </row>
    <row r="41" spans="1:13" ht="94" customHeight="1" thickBot="1">
      <c r="A41" s="40">
        <v>1</v>
      </c>
      <c r="B41" s="20" t="s">
        <v>59</v>
      </c>
      <c r="C41" s="40" t="s">
        <v>60</v>
      </c>
      <c r="D41" s="20" t="s">
        <v>27</v>
      </c>
    </row>
    <row r="42" spans="1:13" ht="94" customHeight="1" thickBot="1">
      <c r="A42" s="41">
        <v>2</v>
      </c>
      <c r="B42" s="33" t="s">
        <v>61</v>
      </c>
      <c r="C42" s="41" t="s">
        <v>62</v>
      </c>
      <c r="D42" s="33" t="s">
        <v>27</v>
      </c>
    </row>
    <row r="43" spans="1:13" ht="94" customHeight="1" thickBot="1">
      <c r="A43" s="40">
        <v>3</v>
      </c>
      <c r="B43" s="20" t="s">
        <v>63</v>
      </c>
      <c r="C43" s="40" t="s">
        <v>64</v>
      </c>
      <c r="D43" s="20" t="s">
        <v>52</v>
      </c>
    </row>
    <row r="44" spans="1:13" ht="94" customHeight="1" thickBot="1">
      <c r="A44" s="41">
        <v>4</v>
      </c>
      <c r="B44" s="33" t="s">
        <v>65</v>
      </c>
      <c r="C44" s="41" t="s">
        <v>66</v>
      </c>
      <c r="D44" s="33" t="s">
        <v>52</v>
      </c>
    </row>
    <row r="45" spans="1:13" ht="94" customHeight="1" thickBot="1">
      <c r="A45" s="40">
        <v>5</v>
      </c>
      <c r="B45" s="20" t="s">
        <v>67</v>
      </c>
      <c r="C45" s="40" t="s">
        <v>68</v>
      </c>
      <c r="D45" s="20" t="s">
        <v>52</v>
      </c>
      <c r="I45" s="27"/>
    </row>
    <row r="46" spans="1:13" ht="16" thickBot="1">
      <c r="A46" s="42" t="s">
        <v>10</v>
      </c>
      <c r="B46" s="90" t="e">
        <f>'GRAND MOSQUE'!B46+'OPERA HOUSE '!B46+'Waldorf Astoria Hotel &amp; Branded'!B46+#REF!</f>
        <v>#REF!</v>
      </c>
      <c r="C46" s="90" t="e">
        <f>'GRAND MOSQUE'!C46+'OPERA HOUSE '!C46+'Waldorf Astoria Hotel &amp; Branded'!C46+#REF!</f>
        <v>#REF!</v>
      </c>
      <c r="D46" s="94" t="str">
        <f>IFERROR(AVERAGE('GRAND MOSQUE'!D46,'OPERA HOUSE '!D46,'Waldorf Astoria Hotel &amp; Branded'!D46,#REF!),"-")</f>
        <v>-</v>
      </c>
      <c r="I46" s="27"/>
    </row>
    <row r="47" spans="1:13" ht="17" thickBot="1">
      <c r="A47" s="174" t="s">
        <v>69</v>
      </c>
      <c r="B47" s="175"/>
      <c r="C47" s="175"/>
      <c r="D47" s="176"/>
      <c r="I47" s="27"/>
      <c r="K47" s="38"/>
      <c r="L47" s="38"/>
      <c r="M47" s="38"/>
    </row>
    <row r="48" spans="1:13" ht="16" thickBot="1">
      <c r="A48" s="39" t="s">
        <v>55</v>
      </c>
      <c r="B48" s="23" t="s">
        <v>70</v>
      </c>
      <c r="C48" s="23" t="s">
        <v>71</v>
      </c>
      <c r="D48" s="23" t="s">
        <v>72</v>
      </c>
      <c r="I48" s="27"/>
    </row>
    <row r="49" spans="1:4" s="27" customFormat="1" ht="68.5" customHeight="1" thickBot="1">
      <c r="A49" s="40">
        <v>1</v>
      </c>
      <c r="B49" s="20" t="s">
        <v>148</v>
      </c>
      <c r="C49" s="40" t="s">
        <v>73</v>
      </c>
      <c r="D49" s="20" t="s">
        <v>73</v>
      </c>
    </row>
    <row r="50" spans="1:4" s="27" customFormat="1" ht="68.5" customHeight="1" thickBot="1">
      <c r="A50" s="40">
        <v>2</v>
      </c>
      <c r="B50" s="33" t="s">
        <v>149</v>
      </c>
      <c r="C50" s="40" t="s">
        <v>73</v>
      </c>
      <c r="D50" s="33" t="s">
        <v>73</v>
      </c>
    </row>
    <row r="51" spans="1:4" s="27" customFormat="1" ht="68.5" customHeight="1" thickBot="1">
      <c r="A51" s="40">
        <v>3</v>
      </c>
      <c r="B51" s="20" t="s">
        <v>150</v>
      </c>
      <c r="C51" s="40" t="s">
        <v>73</v>
      </c>
      <c r="D51" s="20" t="s">
        <v>73</v>
      </c>
    </row>
    <row r="52" spans="1:4" s="27" customFormat="1" ht="68.5" customHeight="1" thickBot="1">
      <c r="A52" s="40">
        <v>4</v>
      </c>
      <c r="B52" s="33" t="s">
        <v>151</v>
      </c>
      <c r="C52" s="40" t="s">
        <v>73</v>
      </c>
      <c r="D52" s="33" t="s">
        <v>73</v>
      </c>
    </row>
    <row r="53" spans="1:4" s="27" customFormat="1" ht="68.5" customHeight="1" thickBot="1">
      <c r="A53" s="40">
        <v>5</v>
      </c>
      <c r="B53" s="20" t="s">
        <v>152</v>
      </c>
      <c r="C53" s="40" t="s">
        <v>73</v>
      </c>
      <c r="D53" s="20" t="s">
        <v>73</v>
      </c>
    </row>
    <row r="54" spans="1:4" s="27" customFormat="1" ht="16" thickBot="1">
      <c r="A54" s="42" t="s">
        <v>10</v>
      </c>
      <c r="B54" s="90" t="e">
        <f>'GRAND MOSQUE'!B54+'OPERA HOUSE '!B54+'Waldorf Astoria Hotel &amp; Branded'!B54+#REF!</f>
        <v>#REF!</v>
      </c>
      <c r="C54" s="90" t="e">
        <f>'GRAND MOSQUE'!C54+'OPERA HOUSE '!C54+'Waldorf Astoria Hotel &amp; Branded'!C54+#REF!</f>
        <v>#REF!</v>
      </c>
      <c r="D54" s="90" t="e">
        <f>'GRAND MOSQUE'!D54+'OPERA HOUSE '!D54+'Waldorf Astoria Hotel &amp; Branded'!D54+#REF!</f>
        <v>#REF!</v>
      </c>
    </row>
    <row r="55" spans="1:4" s="27" customFormat="1" ht="16" thickBot="1">
      <c r="A55" s="174" t="s">
        <v>74</v>
      </c>
      <c r="B55" s="175"/>
      <c r="C55" s="175"/>
      <c r="D55" s="176"/>
    </row>
    <row r="56" spans="1:4" s="27" customFormat="1" ht="16" thickBot="1">
      <c r="A56" s="28" t="s">
        <v>75</v>
      </c>
      <c r="B56" s="23" t="s">
        <v>46</v>
      </c>
      <c r="C56" s="23" t="s">
        <v>47</v>
      </c>
      <c r="D56" s="23" t="s">
        <v>48</v>
      </c>
    </row>
    <row r="57" spans="1:4" s="27" customFormat="1" ht="16" thickBot="1">
      <c r="A57" s="30" t="s">
        <v>49</v>
      </c>
      <c r="B57" s="90" t="e">
        <f>'GRAND MOSQUE'!B57+'OPERA HOUSE '!B57+'Waldorf Astoria Hotel &amp; Branded'!B57+#REF!</f>
        <v>#REF!</v>
      </c>
      <c r="C57" s="90" t="e">
        <f>'GRAND MOSQUE'!C57+'OPERA HOUSE '!C57+'Waldorf Astoria Hotel &amp; Branded'!C57+#REF!</f>
        <v>#REF!</v>
      </c>
      <c r="D57" s="51" t="str">
        <f>IFERROR(C57/B57, "NA")</f>
        <v>NA</v>
      </c>
    </row>
    <row r="58" spans="1:4" s="27" customFormat="1" ht="32" customHeight="1" thickBot="1">
      <c r="A58" s="32" t="s">
        <v>32</v>
      </c>
      <c r="B58" s="90" t="e">
        <f>'GRAND MOSQUE'!B58+'OPERA HOUSE '!B58+'Waldorf Astoria Hotel &amp; Branded'!B58+#REF!</f>
        <v>#REF!</v>
      </c>
      <c r="C58" s="90" t="e">
        <f>'GRAND MOSQUE'!C58+'OPERA HOUSE '!C58+'Waldorf Astoria Hotel &amp; Branded'!C58+#REF!</f>
        <v>#REF!</v>
      </c>
      <c r="D58" s="51" t="str">
        <f>IFERROR(C58/B58, "NA")</f>
        <v>NA</v>
      </c>
    </row>
    <row r="59" spans="1:4" s="27" customFormat="1" ht="27" thickBot="1">
      <c r="A59" s="28" t="s">
        <v>76</v>
      </c>
      <c r="B59" s="23" t="s">
        <v>46</v>
      </c>
      <c r="C59" s="23" t="s">
        <v>47</v>
      </c>
      <c r="D59" s="23" t="s">
        <v>48</v>
      </c>
    </row>
    <row r="60" spans="1:4" s="27" customFormat="1" ht="16" thickBot="1">
      <c r="A60" s="30" t="s">
        <v>49</v>
      </c>
      <c r="B60" s="90" t="e">
        <f>'GRAND MOSQUE'!B60+'OPERA HOUSE '!B60+'Waldorf Astoria Hotel &amp; Branded'!B60+#REF!</f>
        <v>#REF!</v>
      </c>
      <c r="C60" s="90" t="e">
        <f>'GRAND MOSQUE'!C60+'OPERA HOUSE '!C60+'Waldorf Astoria Hotel &amp; Branded'!C60+#REF!</f>
        <v>#REF!</v>
      </c>
      <c r="D60" s="51" t="str">
        <f>IFERROR(C60/B60, "NA")</f>
        <v>NA</v>
      </c>
    </row>
    <row r="61" spans="1:4" s="27" customFormat="1" ht="16" thickBot="1">
      <c r="A61" s="32" t="s">
        <v>32</v>
      </c>
      <c r="B61" s="90" t="e">
        <f>'GRAND MOSQUE'!B61+'OPERA HOUSE '!B61+'Waldorf Astoria Hotel &amp; Branded'!B61+#REF!</f>
        <v>#REF!</v>
      </c>
      <c r="C61" s="90" t="e">
        <f>'GRAND MOSQUE'!C61+'OPERA HOUSE '!C61+'Waldorf Astoria Hotel &amp; Branded'!C61+#REF!</f>
        <v>#REF!</v>
      </c>
      <c r="D61" s="51" t="str">
        <f>IFERROR(C61/B61, "NA")</f>
        <v>NA</v>
      </c>
    </row>
    <row r="62" spans="1:4" s="27" customFormat="1" ht="16" thickBot="1">
      <c r="A62" s="42" t="s">
        <v>10</v>
      </c>
      <c r="B62" s="53" t="e">
        <f>SUM(B58,B61)</f>
        <v>#REF!</v>
      </c>
      <c r="C62" s="53" t="e">
        <f>SUM(C58,C61)</f>
        <v>#REF!</v>
      </c>
      <c r="D62" s="51" t="str">
        <f>IFERROR(C62/B62, "NA")</f>
        <v>NA</v>
      </c>
    </row>
    <row r="63" spans="1:4" s="27" customFormat="1" ht="16" thickBot="1">
      <c r="A63" s="174" t="s">
        <v>77</v>
      </c>
      <c r="B63" s="175"/>
      <c r="C63" s="175"/>
      <c r="D63" s="176"/>
    </row>
    <row r="64" spans="1:4" s="27" customFormat="1" ht="16" thickBot="1">
      <c r="A64" s="28" t="s">
        <v>78</v>
      </c>
      <c r="B64" s="23" t="s">
        <v>46</v>
      </c>
      <c r="C64" s="23" t="s">
        <v>47</v>
      </c>
      <c r="D64" s="23" t="s">
        <v>48</v>
      </c>
    </row>
    <row r="65" spans="1:15" ht="16" thickBot="1">
      <c r="A65" s="30" t="s">
        <v>49</v>
      </c>
      <c r="B65" s="90" t="e">
        <f>'GRAND MOSQUE'!B65+'OPERA HOUSE '!B65+'Waldorf Astoria Hotel &amp; Branded'!B65+#REF!</f>
        <v>#REF!</v>
      </c>
      <c r="C65" s="90" t="e">
        <f>'GRAND MOSQUE'!C65+'OPERA HOUSE '!C65+'Waldorf Astoria Hotel &amp; Branded'!C65+#REF!</f>
        <v>#REF!</v>
      </c>
      <c r="D65" s="51" t="str">
        <f>IFERROR(C65/B65, "NA")</f>
        <v>NA</v>
      </c>
      <c r="I65" s="27"/>
    </row>
    <row r="66" spans="1:15" ht="16" thickBot="1">
      <c r="A66" s="32" t="s">
        <v>32</v>
      </c>
      <c r="B66" s="90" t="e">
        <f>'GRAND MOSQUE'!B66+'OPERA HOUSE '!B66+'Waldorf Astoria Hotel &amp; Branded'!B66+#REF!</f>
        <v>#REF!</v>
      </c>
      <c r="C66" s="90" t="e">
        <f>'GRAND MOSQUE'!C66+'OPERA HOUSE '!C66+'Waldorf Astoria Hotel &amp; Branded'!C66+#REF!</f>
        <v>#REF!</v>
      </c>
      <c r="D66" s="51" t="str">
        <f>IFERROR(C66/B66, "NA")</f>
        <v>NA</v>
      </c>
      <c r="I66" s="27"/>
    </row>
    <row r="67" spans="1:15" ht="27" thickBot="1">
      <c r="A67" s="28" t="s">
        <v>79</v>
      </c>
      <c r="B67" s="23" t="s">
        <v>46</v>
      </c>
      <c r="C67" s="23" t="s">
        <v>47</v>
      </c>
      <c r="D67" s="23" t="s">
        <v>48</v>
      </c>
      <c r="I67" s="27"/>
    </row>
    <row r="68" spans="1:15" ht="16" thickBot="1">
      <c r="A68" s="30" t="s">
        <v>49</v>
      </c>
      <c r="B68" s="90" t="e">
        <f>'GRAND MOSQUE'!B68+'OPERA HOUSE '!B68+'Waldorf Astoria Hotel &amp; Branded'!B68+#REF!</f>
        <v>#REF!</v>
      </c>
      <c r="C68" s="90" t="e">
        <f>'GRAND MOSQUE'!C68+'OPERA HOUSE '!C68+'Waldorf Astoria Hotel &amp; Branded'!C68+#REF!</f>
        <v>#REF!</v>
      </c>
      <c r="D68" s="51" t="str">
        <f>IFERROR(C68/B68, "NA")</f>
        <v>NA</v>
      </c>
      <c r="I68" s="27"/>
    </row>
    <row r="69" spans="1:15" ht="17" thickBot="1">
      <c r="A69" s="32" t="s">
        <v>32</v>
      </c>
      <c r="B69" s="90" t="e">
        <f>'GRAND MOSQUE'!B69+'OPERA HOUSE '!B69+'Waldorf Astoria Hotel &amp; Branded'!B69+#REF!</f>
        <v>#REF!</v>
      </c>
      <c r="C69" s="90" t="e">
        <f>'GRAND MOSQUE'!C69+'OPERA HOUSE '!C69+'Waldorf Astoria Hotel &amp; Branded'!C69+#REF!</f>
        <v>#REF!</v>
      </c>
      <c r="D69" s="51" t="str">
        <f>IFERROR(C69/B69, "NA")</f>
        <v>NA</v>
      </c>
      <c r="E69" s="44"/>
      <c r="F69" s="38"/>
      <c r="N69" s="44"/>
      <c r="O69" s="38"/>
    </row>
    <row r="70" spans="1:15" ht="17" thickBot="1">
      <c r="A70" s="42" t="s">
        <v>10</v>
      </c>
      <c r="B70" s="53" t="e">
        <f>SUM(B66,B69)</f>
        <v>#REF!</v>
      </c>
      <c r="C70" s="53" t="e">
        <f>SUM(C66,C69)</f>
        <v>#REF!</v>
      </c>
      <c r="D70" s="51" t="str">
        <f>IFERROR(C70/B70, "NA")</f>
        <v>NA</v>
      </c>
      <c r="E70" s="44"/>
    </row>
    <row r="71" spans="1:15" ht="16">
      <c r="J71" s="44"/>
      <c r="K71" s="38"/>
    </row>
  </sheetData>
  <sheetProtection sheet="1" objects="1" scenarios="1" formatColumns="0" formatRows="0"/>
  <mergeCells count="15">
    <mergeCell ref="A1:F1"/>
    <mergeCell ref="A5:G5"/>
    <mergeCell ref="A19:F19"/>
    <mergeCell ref="A23:F23"/>
    <mergeCell ref="B4:D4"/>
    <mergeCell ref="B2:D2"/>
    <mergeCell ref="B3:D3"/>
    <mergeCell ref="A15:J15"/>
    <mergeCell ref="A27:G27"/>
    <mergeCell ref="A63:D63"/>
    <mergeCell ref="A31:D31"/>
    <mergeCell ref="A35:E35"/>
    <mergeCell ref="A39:D39"/>
    <mergeCell ref="A47:D47"/>
    <mergeCell ref="A55:D55"/>
  </mergeCells>
  <pageMargins left="0.7" right="0.7" top="0.75" bottom="0.75" header="0.3" footer="0.3"/>
  <pageSetup paperSize="8" scale="70" orientation="portrait" r:id="rId1"/>
  <headerFooter>
    <oddFooter>&amp;L_x000D_&amp;1#&amp;"Calibri"&amp;12&amp;K000000 Information Classification: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2D05-2A78-4033-A72D-7A726256309D}">
  <sheetPr>
    <tabColor theme="0" tint="-0.34998626667073579"/>
    <pageSetUpPr fitToPage="1"/>
  </sheetPr>
  <dimension ref="A1:K75"/>
  <sheetViews>
    <sheetView showGridLines="0" zoomScale="85" zoomScaleNormal="85" zoomScaleSheetLayoutView="100" workbookViewId="0">
      <pane xSplit="5" topLeftCell="F1" activePane="topRight" state="frozen"/>
      <selection pane="topRight" activeCell="H4" sqref="H4:H5"/>
    </sheetView>
  </sheetViews>
  <sheetFormatPr baseColWidth="10" defaultColWidth="8.5" defaultRowHeight="15"/>
  <cols>
    <col min="1" max="1" width="8.5" style="100"/>
    <col min="2" max="2" width="18.1640625" style="100" bestFit="1" customWidth="1"/>
    <col min="3" max="3" width="13.5" style="100" bestFit="1" customWidth="1"/>
    <col min="4" max="4" width="31" style="100" customWidth="1"/>
    <col min="5" max="5" width="17.5" style="100" bestFit="1" customWidth="1"/>
    <col min="6" max="6" width="17.1640625" style="100" customWidth="1"/>
    <col min="7" max="7" width="15.5" style="100" bestFit="1" customWidth="1"/>
    <col min="8" max="8" width="14" style="100" bestFit="1" customWidth="1"/>
    <col min="9" max="9" width="12.83203125" style="100" bestFit="1" customWidth="1"/>
    <col min="10" max="10" width="10.1640625" style="137" bestFit="1" customWidth="1"/>
    <col min="11" max="11" width="9" style="100" bestFit="1" customWidth="1"/>
    <col min="12" max="16384" width="8.5" style="100"/>
  </cols>
  <sheetData>
    <row r="1" spans="1:11" ht="16" thickBot="1">
      <c r="A1" s="96" t="s">
        <v>55</v>
      </c>
      <c r="B1" s="96" t="s">
        <v>290</v>
      </c>
      <c r="C1" s="96" t="s">
        <v>291</v>
      </c>
      <c r="D1" s="96" t="s">
        <v>292</v>
      </c>
      <c r="E1" s="96" t="s">
        <v>293</v>
      </c>
      <c r="F1" s="96" t="s">
        <v>294</v>
      </c>
      <c r="G1" s="96" t="s">
        <v>295</v>
      </c>
      <c r="H1" s="96" t="s">
        <v>296</v>
      </c>
      <c r="I1" s="97" t="s">
        <v>297</v>
      </c>
      <c r="J1" s="98" t="s">
        <v>298</v>
      </c>
      <c r="K1" s="99" t="s">
        <v>299</v>
      </c>
    </row>
    <row r="2" spans="1:11" ht="64.5" customHeight="1">
      <c r="A2" s="142">
        <v>1</v>
      </c>
      <c r="B2" s="145" t="s">
        <v>300</v>
      </c>
      <c r="C2" s="148" t="s">
        <v>301</v>
      </c>
      <c r="D2" s="148" t="s">
        <v>302</v>
      </c>
      <c r="E2" s="101" t="s">
        <v>303</v>
      </c>
      <c r="F2" s="148" t="s">
        <v>304</v>
      </c>
      <c r="G2" s="162" t="s">
        <v>305</v>
      </c>
      <c r="H2" s="150">
        <v>0.05</v>
      </c>
      <c r="I2" s="152">
        <v>1</v>
      </c>
      <c r="J2" s="102" t="str">
        <f>'PMC Report- District level'!D66</f>
        <v>NA</v>
      </c>
      <c r="K2" s="103"/>
    </row>
    <row r="3" spans="1:11" ht="49.5" customHeight="1">
      <c r="A3" s="143"/>
      <c r="B3" s="146"/>
      <c r="C3" s="149"/>
      <c r="D3" s="149"/>
      <c r="E3" s="104" t="s">
        <v>306</v>
      </c>
      <c r="F3" s="149"/>
      <c r="G3" s="163"/>
      <c r="H3" s="151"/>
      <c r="I3" s="153"/>
      <c r="J3" s="105" t="str">
        <f>'PMC Report- District level'!D69</f>
        <v>NA</v>
      </c>
      <c r="K3" s="106"/>
    </row>
    <row r="4" spans="1:11" ht="44" customHeight="1">
      <c r="A4" s="143"/>
      <c r="B4" s="146"/>
      <c r="C4" s="154" t="s">
        <v>307</v>
      </c>
      <c r="D4" s="154" t="s">
        <v>308</v>
      </c>
      <c r="E4" s="104" t="s">
        <v>303</v>
      </c>
      <c r="F4" s="154" t="s">
        <v>309</v>
      </c>
      <c r="G4" s="156" t="s">
        <v>305</v>
      </c>
      <c r="H4" s="158">
        <v>0.05</v>
      </c>
      <c r="I4" s="160">
        <v>1</v>
      </c>
      <c r="J4" s="105" t="str">
        <f>'PMC Report- District level'!D58</f>
        <v>NA</v>
      </c>
      <c r="K4" s="106"/>
    </row>
    <row r="5" spans="1:11" ht="44" customHeight="1" thickBot="1">
      <c r="A5" s="144"/>
      <c r="B5" s="147"/>
      <c r="C5" s="155"/>
      <c r="D5" s="155"/>
      <c r="E5" s="107" t="s">
        <v>306</v>
      </c>
      <c r="F5" s="155"/>
      <c r="G5" s="157"/>
      <c r="H5" s="159"/>
      <c r="I5" s="161"/>
      <c r="J5" s="108" t="str">
        <f>'PMC Report- District level'!D61</f>
        <v>NA</v>
      </c>
      <c r="K5" s="109"/>
    </row>
    <row r="6" spans="1:11" ht="36" customHeight="1">
      <c r="A6" s="164">
        <v>2</v>
      </c>
      <c r="B6" s="148" t="s">
        <v>310</v>
      </c>
      <c r="C6" s="148" t="s">
        <v>311</v>
      </c>
      <c r="D6" s="148" t="s">
        <v>312</v>
      </c>
      <c r="E6" s="101" t="s">
        <v>313</v>
      </c>
      <c r="F6" s="168">
        <v>0.85</v>
      </c>
      <c r="G6" s="162" t="s">
        <v>314</v>
      </c>
      <c r="H6" s="150">
        <v>0.15</v>
      </c>
      <c r="I6" s="152">
        <v>0.85</v>
      </c>
      <c r="J6" s="102" t="str">
        <f>'PMC Report- District level'!F26</f>
        <v>NA</v>
      </c>
      <c r="K6" s="103"/>
    </row>
    <row r="7" spans="1:11" ht="16" thickBot="1">
      <c r="A7" s="166"/>
      <c r="B7" s="155"/>
      <c r="C7" s="155"/>
      <c r="D7" s="155"/>
      <c r="E7" s="107" t="s">
        <v>315</v>
      </c>
      <c r="F7" s="170"/>
      <c r="G7" s="157"/>
      <c r="H7" s="159"/>
      <c r="I7" s="161"/>
      <c r="J7" s="108" t="str">
        <f>'PMC Report- District level'!F22</f>
        <v>NA</v>
      </c>
      <c r="K7" s="109"/>
    </row>
    <row r="8" spans="1:11" ht="36" customHeight="1">
      <c r="A8" s="164">
        <v>3</v>
      </c>
      <c r="B8" s="148" t="s">
        <v>316</v>
      </c>
      <c r="C8" s="148" t="s">
        <v>317</v>
      </c>
      <c r="D8" s="148" t="s">
        <v>318</v>
      </c>
      <c r="E8" s="101" t="s">
        <v>19</v>
      </c>
      <c r="F8" s="168">
        <v>0.9</v>
      </c>
      <c r="G8" s="162" t="s">
        <v>319</v>
      </c>
      <c r="H8" s="150">
        <v>0.05</v>
      </c>
      <c r="I8" s="152">
        <v>0.9</v>
      </c>
      <c r="J8" s="102" t="str">
        <f>'PMC Report- District level'!$G$10</f>
        <v>0</v>
      </c>
      <c r="K8" s="103"/>
    </row>
    <row r="9" spans="1:11">
      <c r="A9" s="165"/>
      <c r="B9" s="167"/>
      <c r="C9" s="167"/>
      <c r="D9" s="167"/>
      <c r="E9" s="104" t="s">
        <v>20</v>
      </c>
      <c r="F9" s="169"/>
      <c r="G9" s="171"/>
      <c r="H9" s="172"/>
      <c r="I9" s="173"/>
      <c r="J9" s="105" t="str">
        <f>'PMC Report- District level'!$G$11</f>
        <v>0</v>
      </c>
      <c r="K9" s="106"/>
    </row>
    <row r="10" spans="1:11">
      <c r="A10" s="165"/>
      <c r="B10" s="167"/>
      <c r="C10" s="167"/>
      <c r="D10" s="167"/>
      <c r="E10" s="104" t="s">
        <v>21</v>
      </c>
      <c r="F10" s="169"/>
      <c r="G10" s="171"/>
      <c r="H10" s="172"/>
      <c r="I10" s="173"/>
      <c r="J10" s="105" t="str">
        <f>'PMC Report- District level'!$G$12</f>
        <v>0</v>
      </c>
      <c r="K10" s="106"/>
    </row>
    <row r="11" spans="1:11">
      <c r="A11" s="165"/>
      <c r="B11" s="167"/>
      <c r="C11" s="167"/>
      <c r="D11" s="167"/>
      <c r="E11" s="104" t="s">
        <v>23</v>
      </c>
      <c r="F11" s="169"/>
      <c r="G11" s="171"/>
      <c r="H11" s="172"/>
      <c r="I11" s="173"/>
      <c r="J11" s="105" t="str">
        <f>'PMC Report- District level'!$G$14</f>
        <v>0</v>
      </c>
      <c r="K11" s="106"/>
    </row>
    <row r="12" spans="1:11" ht="16" thickBot="1">
      <c r="A12" s="166"/>
      <c r="B12" s="155"/>
      <c r="C12" s="155"/>
      <c r="D12" s="155"/>
      <c r="E12" s="107" t="s">
        <v>22</v>
      </c>
      <c r="F12" s="170"/>
      <c r="G12" s="157"/>
      <c r="H12" s="159"/>
      <c r="I12" s="161"/>
      <c r="J12" s="108" t="str">
        <f>'PMC Report- District level'!$G$13</f>
        <v>0</v>
      </c>
      <c r="K12" s="109"/>
    </row>
    <row r="13" spans="1:11" ht="36" customHeight="1">
      <c r="A13" s="164">
        <v>4</v>
      </c>
      <c r="B13" s="148" t="s">
        <v>320</v>
      </c>
      <c r="C13" s="148" t="s">
        <v>321</v>
      </c>
      <c r="D13" s="148" t="s">
        <v>322</v>
      </c>
      <c r="E13" s="101" t="s">
        <v>104</v>
      </c>
      <c r="F13" s="168">
        <v>0.9</v>
      </c>
      <c r="G13" s="162" t="s">
        <v>319</v>
      </c>
      <c r="H13" s="150">
        <v>0.05</v>
      </c>
      <c r="I13" s="152">
        <v>0.9</v>
      </c>
      <c r="J13" s="102" t="str">
        <f>'PMC Report- District level'!$G$7</f>
        <v>0</v>
      </c>
      <c r="K13" s="103"/>
    </row>
    <row r="14" spans="1:11">
      <c r="A14" s="165"/>
      <c r="B14" s="167"/>
      <c r="C14" s="167"/>
      <c r="D14" s="167"/>
      <c r="E14" s="104" t="s">
        <v>17</v>
      </c>
      <c r="F14" s="169"/>
      <c r="G14" s="171"/>
      <c r="H14" s="172"/>
      <c r="I14" s="173"/>
      <c r="J14" s="105" t="str">
        <f>'PMC Report- District level'!$G$8</f>
        <v>0</v>
      </c>
      <c r="K14" s="106"/>
    </row>
    <row r="15" spans="1:11" ht="16" thickBot="1">
      <c r="A15" s="166"/>
      <c r="B15" s="155"/>
      <c r="C15" s="155"/>
      <c r="D15" s="155"/>
      <c r="E15" s="107" t="s">
        <v>18</v>
      </c>
      <c r="F15" s="170"/>
      <c r="G15" s="157"/>
      <c r="H15" s="159"/>
      <c r="I15" s="161"/>
      <c r="J15" s="108" t="str">
        <f>'PMC Report- District level'!$G$9</f>
        <v>0</v>
      </c>
      <c r="K15" s="109"/>
    </row>
    <row r="16" spans="1:11" ht="39">
      <c r="A16" s="142">
        <v>5</v>
      </c>
      <c r="B16" s="145" t="s">
        <v>323</v>
      </c>
      <c r="C16" s="145" t="s">
        <v>324</v>
      </c>
      <c r="D16" s="110" t="s">
        <v>325</v>
      </c>
      <c r="E16" s="101" t="s">
        <v>326</v>
      </c>
      <c r="F16" s="111">
        <v>0.9</v>
      </c>
      <c r="G16" s="112" t="s">
        <v>319</v>
      </c>
      <c r="H16" s="113">
        <v>0.05</v>
      </c>
      <c r="I16" s="114">
        <v>0.9</v>
      </c>
      <c r="J16" s="102" t="str">
        <f>'PMC Report- District level'!$F$18</f>
        <v>NA</v>
      </c>
      <c r="K16" s="103"/>
    </row>
    <row r="17" spans="1:11" ht="40" thickBot="1">
      <c r="A17" s="144"/>
      <c r="B17" s="147"/>
      <c r="C17" s="147"/>
      <c r="D17" s="115" t="s">
        <v>327</v>
      </c>
      <c r="E17" s="107" t="s">
        <v>328</v>
      </c>
      <c r="F17" s="116">
        <v>0.9</v>
      </c>
      <c r="G17" s="117" t="s">
        <v>319</v>
      </c>
      <c r="H17" s="118">
        <v>0.1</v>
      </c>
      <c r="I17" s="119">
        <v>0.9</v>
      </c>
      <c r="J17" s="108" t="str">
        <f>'PMC Report- District level'!$G$18</f>
        <v>NA</v>
      </c>
      <c r="K17" s="109"/>
    </row>
    <row r="18" spans="1:11" ht="39">
      <c r="A18" s="142">
        <v>6</v>
      </c>
      <c r="B18" s="145" t="s">
        <v>91</v>
      </c>
      <c r="C18" s="101" t="s">
        <v>329</v>
      </c>
      <c r="D18" s="110" t="s">
        <v>330</v>
      </c>
      <c r="E18" s="101" t="s">
        <v>331</v>
      </c>
      <c r="F18" s="111">
        <v>0.9</v>
      </c>
      <c r="G18" s="112" t="s">
        <v>319</v>
      </c>
      <c r="H18" s="113">
        <v>0.05</v>
      </c>
      <c r="I18" s="114">
        <v>0.9</v>
      </c>
      <c r="J18" s="102" t="str">
        <f>'PMC Report- District level'!$E$26</f>
        <v>NA</v>
      </c>
      <c r="K18" s="103"/>
    </row>
    <row r="19" spans="1:11" ht="40" thickBot="1">
      <c r="A19" s="144"/>
      <c r="B19" s="147"/>
      <c r="C19" s="107" t="s">
        <v>332</v>
      </c>
      <c r="D19" s="115" t="s">
        <v>333</v>
      </c>
      <c r="E19" s="107" t="s">
        <v>334</v>
      </c>
      <c r="F19" s="116">
        <v>0.9</v>
      </c>
      <c r="G19" s="117" t="s">
        <v>319</v>
      </c>
      <c r="H19" s="118">
        <v>0.05</v>
      </c>
      <c r="I19" s="119">
        <v>0.9</v>
      </c>
      <c r="J19" s="108" t="str">
        <f>'PMC Report- District level'!$E$22</f>
        <v>NA</v>
      </c>
      <c r="K19" s="109"/>
    </row>
    <row r="20" spans="1:11" ht="53" thickBot="1">
      <c r="A20" s="120">
        <v>7</v>
      </c>
      <c r="B20" s="121" t="s">
        <v>335</v>
      </c>
      <c r="C20" s="121" t="s">
        <v>336</v>
      </c>
      <c r="D20" s="122" t="s">
        <v>337</v>
      </c>
      <c r="E20" s="121" t="s">
        <v>30</v>
      </c>
      <c r="F20" s="123" t="s">
        <v>338</v>
      </c>
      <c r="G20" s="124" t="s">
        <v>339</v>
      </c>
      <c r="H20" s="125">
        <v>0.2</v>
      </c>
      <c r="I20" s="126">
        <v>0.02</v>
      </c>
      <c r="J20" s="127" t="str">
        <f>'PMC Report- District level'!$I$18</f>
        <v>NA</v>
      </c>
      <c r="K20" s="128"/>
    </row>
    <row r="21" spans="1:11" ht="39">
      <c r="A21" s="142">
        <v>8</v>
      </c>
      <c r="B21" s="145" t="s">
        <v>340</v>
      </c>
      <c r="C21" s="101" t="s">
        <v>341</v>
      </c>
      <c r="D21" s="110" t="s">
        <v>342</v>
      </c>
      <c r="E21" s="101" t="s">
        <v>48</v>
      </c>
      <c r="F21" s="111">
        <v>0.9</v>
      </c>
      <c r="G21" s="112" t="s">
        <v>319</v>
      </c>
      <c r="H21" s="113">
        <v>0.05</v>
      </c>
      <c r="I21" s="114">
        <v>0.9</v>
      </c>
      <c r="J21" s="102" t="str">
        <f>'PMC Report- District level'!$D$34</f>
        <v>NA</v>
      </c>
      <c r="K21" s="103"/>
    </row>
    <row r="22" spans="1:11" ht="40" thickBot="1">
      <c r="A22" s="144"/>
      <c r="B22" s="147"/>
      <c r="C22" s="107" t="s">
        <v>343</v>
      </c>
      <c r="D22" s="115" t="s">
        <v>344</v>
      </c>
      <c r="E22" s="107" t="s">
        <v>53</v>
      </c>
      <c r="F22" s="116">
        <v>0.9</v>
      </c>
      <c r="G22" s="117" t="s">
        <v>319</v>
      </c>
      <c r="H22" s="118">
        <v>0.05</v>
      </c>
      <c r="I22" s="119">
        <v>0.9</v>
      </c>
      <c r="J22" s="108" t="str">
        <f>'PMC Report- District level'!$E$38</f>
        <v>NA</v>
      </c>
      <c r="K22" s="109"/>
    </row>
    <row r="23" spans="1:11" ht="39">
      <c r="A23" s="164">
        <v>9</v>
      </c>
      <c r="B23" s="148" t="s">
        <v>345</v>
      </c>
      <c r="C23" s="145" t="s">
        <v>346</v>
      </c>
      <c r="D23" s="110" t="s">
        <v>347</v>
      </c>
      <c r="E23" s="101" t="s">
        <v>43</v>
      </c>
      <c r="F23" s="111">
        <v>0.9</v>
      </c>
      <c r="G23" s="112" t="s">
        <v>319</v>
      </c>
      <c r="H23" s="113">
        <v>0.05</v>
      </c>
      <c r="I23" s="114">
        <v>0.9</v>
      </c>
      <c r="J23" s="102" t="str">
        <f>'PMC Report- District level'!$E$30</f>
        <v>-</v>
      </c>
      <c r="K23" s="103"/>
    </row>
    <row r="24" spans="1:11" ht="40" thickBot="1">
      <c r="A24" s="166"/>
      <c r="B24" s="155"/>
      <c r="C24" s="147"/>
      <c r="D24" s="115" t="s">
        <v>348</v>
      </c>
      <c r="E24" s="107" t="s">
        <v>44</v>
      </c>
      <c r="F24" s="116">
        <v>0.9</v>
      </c>
      <c r="G24" s="117" t="s">
        <v>319</v>
      </c>
      <c r="H24" s="118">
        <v>0.05</v>
      </c>
      <c r="I24" s="119">
        <v>0.9</v>
      </c>
      <c r="J24" s="108" t="str">
        <f>'PMC Report- District level'!$F$30</f>
        <v>-</v>
      </c>
      <c r="K24" s="109"/>
    </row>
    <row r="25" spans="1:11">
      <c r="B25" s="129"/>
      <c r="C25" s="129"/>
      <c r="D25" s="130"/>
      <c r="E25" s="130"/>
      <c r="F25" s="131"/>
      <c r="G25" s="132" t="s">
        <v>349</v>
      </c>
      <c r="H25" s="133"/>
      <c r="I25" s="134"/>
      <c r="J25" s="134"/>
    </row>
    <row r="26" spans="1:11">
      <c r="G26" s="135" t="s">
        <v>350</v>
      </c>
      <c r="H26" s="136" t="s">
        <v>351</v>
      </c>
    </row>
    <row r="27" spans="1:11">
      <c r="G27" s="138" t="s">
        <v>352</v>
      </c>
      <c r="H27" s="136" t="s">
        <v>353</v>
      </c>
    </row>
    <row r="28" spans="1:11">
      <c r="G28" s="139" t="s">
        <v>354</v>
      </c>
      <c r="H28" s="136" t="s">
        <v>355</v>
      </c>
    </row>
    <row r="70" spans="3:5">
      <c r="D70" s="140"/>
      <c r="E70" s="140"/>
    </row>
    <row r="72" spans="3:5">
      <c r="D72" s="140"/>
      <c r="E72" s="140"/>
    </row>
    <row r="74" spans="3:5">
      <c r="C74" s="140"/>
      <c r="D74" s="140"/>
      <c r="E74" s="140"/>
    </row>
    <row r="75" spans="3:5">
      <c r="C75" s="141"/>
      <c r="D75" s="141"/>
      <c r="E75" s="141"/>
    </row>
  </sheetData>
  <sheetProtection sheet="1"/>
  <mergeCells count="48">
    <mergeCell ref="A21:A22"/>
    <mergeCell ref="B21:B22"/>
    <mergeCell ref="A23:A24"/>
    <mergeCell ref="B23:B24"/>
    <mergeCell ref="C23:C24"/>
    <mergeCell ref="H13:H15"/>
    <mergeCell ref="I13:I15"/>
    <mergeCell ref="A16:A17"/>
    <mergeCell ref="B16:B17"/>
    <mergeCell ref="C16:C17"/>
    <mergeCell ref="D13:D15"/>
    <mergeCell ref="F13:F15"/>
    <mergeCell ref="G13:G15"/>
    <mergeCell ref="A18:A19"/>
    <mergeCell ref="B18:B19"/>
    <mergeCell ref="A13:A15"/>
    <mergeCell ref="B13:B15"/>
    <mergeCell ref="C13:C15"/>
    <mergeCell ref="H6:H7"/>
    <mergeCell ref="I6:I7"/>
    <mergeCell ref="A8:A12"/>
    <mergeCell ref="B8:B12"/>
    <mergeCell ref="C8:C12"/>
    <mergeCell ref="D8:D12"/>
    <mergeCell ref="F8:F12"/>
    <mergeCell ref="G8:G12"/>
    <mergeCell ref="H8:H12"/>
    <mergeCell ref="I8:I12"/>
    <mergeCell ref="A6:A7"/>
    <mergeCell ref="B6:B7"/>
    <mergeCell ref="C6:C7"/>
    <mergeCell ref="D6:D7"/>
    <mergeCell ref="F6:F7"/>
    <mergeCell ref="G6:G7"/>
    <mergeCell ref="H2:H3"/>
    <mergeCell ref="I2:I3"/>
    <mergeCell ref="C4:C5"/>
    <mergeCell ref="D4:D5"/>
    <mergeCell ref="F4:F5"/>
    <mergeCell ref="G4:G5"/>
    <mergeCell ref="H4:H5"/>
    <mergeCell ref="I4:I5"/>
    <mergeCell ref="G2:G3"/>
    <mergeCell ref="A2:A5"/>
    <mergeCell ref="B2:B5"/>
    <mergeCell ref="C2:C3"/>
    <mergeCell ref="D2:D3"/>
    <mergeCell ref="F2:F3"/>
  </mergeCells>
  <conditionalFormatting sqref="I2 I4">
    <cfRule type="cellIs" dxfId="34" priority="34" operator="greaterThanOrEqual">
      <formula>0.8</formula>
    </cfRule>
    <cfRule type="containsBlanks" dxfId="33" priority="26" stopIfTrue="1">
      <formula>LEN(TRIM(I2))=0</formula>
    </cfRule>
  </conditionalFormatting>
  <conditionalFormatting sqref="I6 I8 I13">
    <cfRule type="containsBlanks" priority="27" stopIfTrue="1">
      <formula>LEN(TRIM(I6))=0</formula>
    </cfRule>
  </conditionalFormatting>
  <conditionalFormatting sqref="I6">
    <cfRule type="cellIs" dxfId="32" priority="30" operator="greaterThanOrEqual">
      <formula>0.85</formula>
    </cfRule>
    <cfRule type="cellIs" dxfId="31" priority="29" operator="between">
      <formula>0.7</formula>
      <formula>0.8499</formula>
    </cfRule>
    <cfRule type="cellIs" dxfId="30" priority="28" operator="lessThan">
      <formula>0.7</formula>
    </cfRule>
  </conditionalFormatting>
  <conditionalFormatting sqref="I8 I13">
    <cfRule type="cellIs" dxfId="29" priority="33" operator="between">
      <formula>0</formula>
      <formula>0.7</formula>
    </cfRule>
    <cfRule type="cellIs" dxfId="28" priority="32" operator="between">
      <formula>0.7</formula>
      <formula>0.8999</formula>
    </cfRule>
    <cfRule type="cellIs" dxfId="27" priority="31" operator="greaterThanOrEqual">
      <formula>0.9</formula>
    </cfRule>
  </conditionalFormatting>
  <conditionalFormatting sqref="I20:J20">
    <cfRule type="cellIs" dxfId="26" priority="18" operator="between">
      <formula>0.02</formula>
      <formula>0.05</formula>
    </cfRule>
    <cfRule type="cellIs" dxfId="25" priority="16" operator="lessThanOrEqual">
      <formula>0.02</formula>
    </cfRule>
    <cfRule type="cellIs" dxfId="24" priority="17" operator="greaterThanOrEqual">
      <formula>0.05</formula>
    </cfRule>
  </conditionalFormatting>
  <conditionalFormatting sqref="I21:J24">
    <cfRule type="cellIs" dxfId="23" priority="19" operator="greaterThanOrEqual">
      <formula>0.9</formula>
    </cfRule>
    <cfRule type="cellIs" dxfId="22" priority="20" operator="between">
      <formula>0.7</formula>
      <formula>0.8999</formula>
    </cfRule>
    <cfRule type="cellIs" dxfId="21" priority="21" operator="between">
      <formula>0</formula>
      <formula>0.7</formula>
    </cfRule>
  </conditionalFormatting>
  <conditionalFormatting sqref="J2:J5">
    <cfRule type="cellIs" dxfId="20" priority="10" stopIfTrue="1" operator="between">
      <formula>0</formula>
      <formula>0.3999</formula>
    </cfRule>
    <cfRule type="containsBlanks" dxfId="19" priority="7" stopIfTrue="1">
      <formula>LEN(TRIM(J2))=0</formula>
    </cfRule>
    <cfRule type="cellIs" dxfId="18" priority="11" operator="between">
      <formula>0.4</formula>
      <formula>0.9</formula>
    </cfRule>
    <cfRule type="cellIs" dxfId="17" priority="25" operator="greaterThanOrEqual">
      <formula>0.8</formula>
    </cfRule>
  </conditionalFormatting>
  <conditionalFormatting sqref="J4:J5">
    <cfRule type="cellIs" dxfId="16" priority="9" operator="between">
      <formula>0.41</formula>
      <formula>0.9</formula>
    </cfRule>
    <cfRule type="cellIs" dxfId="15" priority="8" operator="between">
      <formula>0</formula>
      <formula>0.4</formula>
    </cfRule>
  </conditionalFormatting>
  <conditionalFormatting sqref="J6:J7">
    <cfRule type="cellIs" dxfId="14" priority="13" operator="lessThan">
      <formula>0.7</formula>
    </cfRule>
    <cfRule type="cellIs" dxfId="13" priority="14" operator="between">
      <formula>0.7</formula>
      <formula>0.8499</formula>
    </cfRule>
    <cfRule type="cellIs" dxfId="12" priority="15" operator="greaterThanOrEqual">
      <formula>0.85</formula>
    </cfRule>
  </conditionalFormatting>
  <conditionalFormatting sqref="J6:J12 I16:J24">
    <cfRule type="containsBlanks" priority="12" stopIfTrue="1">
      <formula>LEN(TRIM(I6))=0</formula>
    </cfRule>
  </conditionalFormatting>
  <conditionalFormatting sqref="J8:J12 I16:J19">
    <cfRule type="cellIs" dxfId="11" priority="23" operator="between">
      <formula>0.7</formula>
      <formula>0.8999</formula>
    </cfRule>
    <cfRule type="cellIs" dxfId="10" priority="24" operator="between">
      <formula>0</formula>
      <formula>0.7</formula>
    </cfRule>
    <cfRule type="cellIs" dxfId="9" priority="22" operator="greaterThanOrEqual">
      <formula>0.9</formula>
    </cfRule>
  </conditionalFormatting>
  <conditionalFormatting sqref="J13:J15">
    <cfRule type="cellIs" dxfId="8" priority="6" operator="greaterThanOrEqual">
      <formula>0.8</formula>
    </cfRule>
    <cfRule type="cellIs" dxfId="7" priority="5" operator="between">
      <formula>0.4</formula>
      <formula>0.9</formula>
    </cfRule>
    <cfRule type="cellIs" dxfId="6" priority="4" stopIfTrue="1" operator="between">
      <formula>0</formula>
      <formula>0.3999</formula>
    </cfRule>
    <cfRule type="cellIs" dxfId="5" priority="3" operator="between">
      <formula>0.41</formula>
      <formula>0.9</formula>
    </cfRule>
    <cfRule type="cellIs" dxfId="4" priority="2" operator="between">
      <formula>0</formula>
      <formula>0.4</formula>
    </cfRule>
    <cfRule type="containsBlanks" dxfId="3" priority="1" stopIfTrue="1">
      <formula>LEN(TRIM(J13))=0</formula>
    </cfRule>
  </conditionalFormatting>
  <pageMargins left="0.7" right="0.7" top="0.75" bottom="0.75" header="0.3" footer="0.3"/>
  <pageSetup paperSize="9" scale="51" orientation="landscape" r:id="rId1"/>
  <headerFooter>
    <oddFooter>&amp;L_x000D_&amp;1#&amp;"Aptos"&amp;12&amp;K000000 Information Classification: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D1AF-0C7A-447F-A1DF-F87021A59143}">
  <sheetPr>
    <tabColor theme="0" tint="-0.249977111117893"/>
    <pageSetUpPr fitToPage="1"/>
  </sheetPr>
  <dimension ref="A1:VN134"/>
  <sheetViews>
    <sheetView showGridLines="0" zoomScale="70" zoomScaleNormal="70" zoomScaleSheetLayoutView="30" workbookViewId="0">
      <selection activeCell="A6" sqref="A6:XFD6"/>
    </sheetView>
  </sheetViews>
  <sheetFormatPr baseColWidth="10" defaultColWidth="9.1640625" defaultRowHeight="14"/>
  <cols>
    <col min="1" max="1" width="5.83203125" style="81" bestFit="1" customWidth="1"/>
    <col min="2" max="2" width="28.1640625" style="83" bestFit="1" customWidth="1"/>
    <col min="3" max="3" width="32.83203125" style="83" customWidth="1"/>
    <col min="4" max="4" width="35.1640625" style="83" bestFit="1" customWidth="1"/>
    <col min="5" max="5" width="31.5" style="81" customWidth="1"/>
    <col min="6" max="6" width="20.83203125" style="81" bestFit="1" customWidth="1"/>
    <col min="7" max="8" width="20.83203125" style="81" customWidth="1"/>
    <col min="9" max="9" width="21.83203125" style="81" customWidth="1"/>
    <col min="10" max="10" width="8.1640625" style="81" customWidth="1"/>
    <col min="11" max="11" width="17.83203125" style="81" bestFit="1" customWidth="1"/>
    <col min="12" max="12" width="13.83203125" style="81" bestFit="1" customWidth="1"/>
    <col min="13" max="13" width="7.83203125" style="81" bestFit="1" customWidth="1"/>
    <col min="14" max="14" width="17.83203125" style="81" bestFit="1" customWidth="1"/>
    <col min="15" max="15" width="13.83203125" style="81" bestFit="1" customWidth="1"/>
    <col min="16" max="16" width="12.83203125" style="81" customWidth="1"/>
    <col min="17" max="17" width="17.83203125" style="81" bestFit="1" customWidth="1"/>
    <col min="18" max="18" width="13.83203125" style="81" bestFit="1" customWidth="1"/>
    <col min="19" max="19" width="12.83203125" style="81" customWidth="1"/>
    <col min="20" max="20" width="17.83203125" style="81" bestFit="1" customWidth="1"/>
    <col min="21" max="21" width="13.83203125" style="81" bestFit="1" customWidth="1"/>
    <col min="22" max="22" width="12.83203125" style="81" customWidth="1"/>
    <col min="23" max="23" width="17.83203125" style="81" bestFit="1" customWidth="1"/>
    <col min="24" max="24" width="13.83203125" style="81" bestFit="1" customWidth="1"/>
    <col min="25" max="25" width="12.83203125" style="81" customWidth="1"/>
    <col min="26" max="26" width="17.83203125" style="81" bestFit="1" customWidth="1"/>
    <col min="27" max="27" width="13.83203125" style="81" bestFit="1" customWidth="1"/>
    <col min="28" max="28" width="12.83203125" style="81" customWidth="1"/>
    <col min="29" max="29" width="17.83203125" style="81" bestFit="1" customWidth="1"/>
    <col min="30" max="30" width="13.83203125" style="81" bestFit="1" customWidth="1"/>
    <col min="31" max="31" width="12.83203125" style="81" customWidth="1"/>
    <col min="32" max="32" width="17.83203125" style="81" bestFit="1" customWidth="1"/>
    <col min="33" max="33" width="13.83203125" style="81" bestFit="1" customWidth="1"/>
    <col min="34" max="34" width="7.83203125" style="81" bestFit="1" customWidth="1"/>
    <col min="35" max="35" width="8.1640625" style="81" bestFit="1" customWidth="1"/>
    <col min="36" max="36" width="12.1640625" style="81" customWidth="1"/>
    <col min="37" max="37" width="7.83203125" style="81" bestFit="1" customWidth="1"/>
    <col min="38" max="38" width="8.1640625" style="81" bestFit="1" customWidth="1"/>
    <col min="39" max="39" width="14" style="81" customWidth="1"/>
    <col min="40" max="40" width="9.83203125" style="81" bestFit="1" customWidth="1"/>
    <col min="41" max="41" width="13.1640625" style="81" bestFit="1" customWidth="1"/>
    <col min="42" max="42" width="14.83203125" style="81" customWidth="1"/>
    <col min="43" max="43" width="15.1640625" style="81" customWidth="1"/>
    <col min="44" max="44" width="7.83203125" style="81" bestFit="1" customWidth="1"/>
    <col min="45" max="46" width="11.1640625" style="81" bestFit="1" customWidth="1"/>
    <col min="47" max="47" width="7.83203125" style="81" bestFit="1" customWidth="1"/>
    <col min="48" max="48" width="11.1640625" style="81" bestFit="1" customWidth="1"/>
    <col min="49" max="49" width="15.1640625" style="81" customWidth="1"/>
    <col min="50" max="50" width="11.1640625" style="81" bestFit="1" customWidth="1"/>
    <col min="51" max="51" width="15.1640625" style="81" customWidth="1"/>
    <col min="52" max="52" width="7.83203125" style="81" bestFit="1" customWidth="1"/>
    <col min="53" max="54" width="11.1640625" style="81" bestFit="1" customWidth="1"/>
    <col min="55" max="55" width="7.83203125" style="81" bestFit="1" customWidth="1"/>
    <col min="56" max="56" width="11.1640625" style="81" bestFit="1" customWidth="1"/>
    <col min="57" max="57" width="15.1640625" style="81" customWidth="1"/>
    <col min="58" max="58" width="11.1640625" style="81" customWidth="1"/>
    <col min="59" max="59" width="13.83203125" style="81" customWidth="1"/>
    <col min="60" max="60" width="7.83203125" style="81" bestFit="1" customWidth="1"/>
    <col min="61" max="61" width="17.83203125" style="81" customWidth="1"/>
    <col min="62" max="62" width="18.83203125" style="81" customWidth="1"/>
    <col min="63" max="63" width="7.83203125" style="81" bestFit="1" customWidth="1"/>
    <col min="64" max="64" width="16.83203125" style="81" customWidth="1"/>
    <col min="65" max="65" width="16.1640625" style="81" customWidth="1"/>
    <col min="66" max="66" width="17.83203125" style="81" customWidth="1"/>
    <col min="67" max="67" width="13.83203125" style="81" customWidth="1"/>
    <col min="68" max="68" width="12.1640625" style="81" customWidth="1"/>
    <col min="69" max="69" width="16.1640625" style="81" customWidth="1"/>
    <col min="70" max="70" width="12.83203125" style="81" customWidth="1"/>
    <col min="71" max="71" width="15.83203125" style="81" customWidth="1"/>
    <col min="72" max="72" width="15.1640625" style="81" bestFit="1" customWidth="1"/>
    <col min="73" max="73" width="7.1640625" style="81" bestFit="1" customWidth="1"/>
    <col min="74" max="74" width="13.83203125" style="81" customWidth="1"/>
    <col min="75" max="75" width="7.1640625" style="81" bestFit="1" customWidth="1"/>
    <col min="76" max="76" width="11.1640625" style="81" customWidth="1"/>
    <col min="77" max="77" width="12.83203125" style="81" customWidth="1"/>
    <col min="78" max="78" width="13.83203125" style="81" customWidth="1"/>
    <col min="79" max="79" width="11" style="81" bestFit="1" customWidth="1"/>
    <col min="80" max="80" width="14.1640625" style="81" customWidth="1"/>
    <col min="81" max="81" width="19.1640625" style="81" customWidth="1"/>
    <col min="82" max="82" width="10.83203125" style="81" bestFit="1" customWidth="1"/>
    <col min="83" max="83" width="14" style="81" customWidth="1"/>
    <col min="84" max="84" width="12" style="81" customWidth="1"/>
    <col min="85" max="85" width="15.1640625" style="81" customWidth="1"/>
    <col min="86" max="86" width="12.1640625" style="81" customWidth="1"/>
    <col min="87" max="87" width="15.83203125" style="81" customWidth="1"/>
    <col min="88" max="88" width="16.83203125" style="81" customWidth="1"/>
    <col min="89" max="89" width="14.83203125" style="81" customWidth="1"/>
    <col min="90" max="90" width="16.1640625" style="81" customWidth="1"/>
    <col min="91" max="91" width="12" style="81" customWidth="1"/>
    <col min="92" max="92" width="14.1640625" style="81" customWidth="1"/>
    <col min="93" max="93" width="19.83203125" style="81" customWidth="1"/>
    <col min="94" max="94" width="9.1640625" style="81"/>
    <col min="95" max="95" width="20" style="81" customWidth="1"/>
    <col min="96" max="96" width="9.1640625" style="81"/>
    <col min="97" max="97" width="20.83203125" style="81" customWidth="1"/>
    <col min="98" max="98" width="19.1640625" style="81" customWidth="1"/>
    <col min="99" max="99" width="16.83203125" style="81" bestFit="1" customWidth="1"/>
    <col min="100" max="101" width="9.1640625" style="81"/>
    <col min="102" max="102" width="47.5" style="81" customWidth="1"/>
    <col min="103" max="103" width="50.5" style="81" customWidth="1"/>
    <col min="104" max="104" width="9.1640625" style="81"/>
    <col min="105" max="105" width="12.1640625" style="81" customWidth="1"/>
    <col min="106" max="106" width="9.1640625" style="81"/>
    <col min="107" max="107" width="12.1640625" style="81" customWidth="1"/>
    <col min="108" max="108" width="9.1640625" style="81"/>
    <col min="109" max="109" width="10.5" style="81" customWidth="1"/>
    <col min="110" max="110" width="9.1640625" style="81"/>
    <col min="111" max="111" width="10.83203125" style="81" customWidth="1"/>
    <col min="112" max="112" width="9.1640625" style="81"/>
    <col min="113" max="113" width="11.1640625" style="81" customWidth="1"/>
    <col min="114" max="16384" width="9.1640625" style="81"/>
  </cols>
  <sheetData>
    <row r="1" spans="1:586" s="63" customFormat="1" ht="19">
      <c r="A1" s="218" t="s">
        <v>88</v>
      </c>
      <c r="B1" s="219"/>
      <c r="C1" s="219"/>
      <c r="D1" s="219"/>
      <c r="E1" s="219"/>
      <c r="F1" s="219"/>
      <c r="G1" s="219"/>
      <c r="H1" s="219"/>
      <c r="I1" s="220"/>
      <c r="J1" s="61"/>
      <c r="K1" s="61"/>
      <c r="L1" s="61"/>
      <c r="M1" s="215" t="s">
        <v>89</v>
      </c>
      <c r="N1" s="216"/>
      <c r="O1" s="216"/>
      <c r="P1" s="216"/>
      <c r="Q1" s="216"/>
      <c r="R1" s="216"/>
      <c r="S1" s="216"/>
      <c r="T1" s="216"/>
      <c r="U1" s="216"/>
      <c r="V1" s="216"/>
      <c r="W1" s="216"/>
      <c r="X1" s="216"/>
      <c r="Y1" s="216"/>
      <c r="Z1" s="216"/>
      <c r="AA1" s="216"/>
      <c r="AB1" s="216"/>
      <c r="AC1" s="216"/>
      <c r="AD1" s="216"/>
      <c r="AE1" s="216"/>
      <c r="AF1" s="216"/>
      <c r="AG1" s="216"/>
      <c r="AH1" s="212" t="s">
        <v>90</v>
      </c>
      <c r="AI1" s="213"/>
      <c r="AJ1" s="221"/>
      <c r="AK1" s="221"/>
      <c r="AL1" s="221"/>
      <c r="AM1" s="221"/>
      <c r="AN1" s="221"/>
      <c r="AO1" s="221"/>
      <c r="AP1" s="221"/>
      <c r="AQ1" s="221"/>
      <c r="AR1" s="212" t="s">
        <v>91</v>
      </c>
      <c r="AS1" s="213"/>
      <c r="AT1" s="221"/>
      <c r="AU1" s="221"/>
      <c r="AV1" s="221"/>
      <c r="AW1" s="221"/>
      <c r="AX1" s="221"/>
      <c r="AY1" s="221"/>
      <c r="AZ1" s="221"/>
      <c r="BA1" s="221"/>
      <c r="BB1" s="221"/>
      <c r="BC1" s="221"/>
      <c r="BD1" s="221"/>
      <c r="BE1" s="221"/>
      <c r="BF1" s="221"/>
      <c r="BG1" s="221"/>
      <c r="BH1" s="214" t="s">
        <v>92</v>
      </c>
      <c r="BI1" s="214"/>
      <c r="BJ1" s="217"/>
      <c r="BK1" s="217"/>
      <c r="BL1" s="217"/>
      <c r="BM1" s="217"/>
      <c r="BN1" s="217"/>
      <c r="BO1" s="217"/>
      <c r="BP1" s="214" t="s">
        <v>93</v>
      </c>
      <c r="BQ1" s="214"/>
      <c r="BR1" s="214"/>
      <c r="BS1" s="214"/>
      <c r="BT1" s="214"/>
      <c r="BU1" s="214"/>
      <c r="BV1" s="214"/>
      <c r="BW1" s="214"/>
      <c r="BX1" s="214"/>
      <c r="BY1" s="214"/>
      <c r="BZ1" s="212" t="s">
        <v>94</v>
      </c>
      <c r="CA1" s="213"/>
      <c r="CB1" s="213"/>
      <c r="CC1" s="212" t="s">
        <v>95</v>
      </c>
      <c r="CD1" s="213"/>
      <c r="CE1" s="213"/>
      <c r="CF1" s="214" t="s">
        <v>96</v>
      </c>
      <c r="CG1" s="214"/>
      <c r="CH1" s="214"/>
      <c r="CI1" s="214"/>
      <c r="CJ1" s="214"/>
      <c r="CK1" s="214"/>
      <c r="CL1" s="214"/>
      <c r="CM1" s="214"/>
      <c r="CN1" s="214"/>
      <c r="CO1" s="214"/>
      <c r="CP1" s="215" t="s">
        <v>155</v>
      </c>
      <c r="CQ1" s="216"/>
      <c r="CR1" s="216"/>
      <c r="CS1" s="216"/>
      <c r="CT1" s="216"/>
      <c r="CU1" s="216"/>
      <c r="CV1" s="216"/>
      <c r="CW1" s="216"/>
      <c r="CX1" s="216"/>
      <c r="CY1" s="216"/>
      <c r="CZ1" s="216"/>
      <c r="DA1" s="216"/>
      <c r="DB1" s="216"/>
      <c r="DC1" s="216"/>
      <c r="DD1" s="216"/>
      <c r="DE1" s="216"/>
      <c r="DF1" s="216"/>
      <c r="DG1" s="216"/>
      <c r="DH1" s="216"/>
      <c r="DI1" s="216"/>
      <c r="DJ1" s="62"/>
      <c r="DK1" s="62"/>
      <c r="DL1" s="62"/>
      <c r="DM1" s="62"/>
      <c r="DN1" s="62"/>
      <c r="DO1" s="62"/>
      <c r="DP1" s="62"/>
      <c r="DQ1" s="62"/>
      <c r="DR1" s="62"/>
      <c r="DS1" s="62"/>
      <c r="DT1" s="62"/>
      <c r="DU1" s="62"/>
      <c r="DV1" s="62"/>
      <c r="DW1" s="62"/>
      <c r="DX1" s="62"/>
      <c r="DY1" s="62"/>
      <c r="DZ1" s="62"/>
      <c r="EA1" s="62"/>
      <c r="EB1" s="62"/>
      <c r="EC1" s="62"/>
      <c r="ED1" s="62"/>
      <c r="EE1" s="62"/>
      <c r="EF1" s="62"/>
      <c r="EG1" s="62"/>
      <c r="EH1" s="62"/>
      <c r="EI1" s="62"/>
      <c r="EJ1" s="62"/>
      <c r="EK1" s="62"/>
      <c r="EL1" s="62"/>
      <c r="EM1" s="62"/>
      <c r="EN1" s="62"/>
      <c r="EO1" s="62"/>
      <c r="EP1" s="62"/>
      <c r="EQ1" s="62"/>
      <c r="ER1" s="62"/>
      <c r="ES1" s="62"/>
      <c r="ET1" s="62"/>
      <c r="EU1" s="62"/>
      <c r="EV1" s="62"/>
      <c r="EW1" s="62"/>
      <c r="EX1" s="62"/>
      <c r="EY1" s="62"/>
      <c r="EZ1" s="62"/>
      <c r="FA1" s="62"/>
      <c r="FB1" s="62"/>
      <c r="FC1" s="62"/>
      <c r="FD1" s="62"/>
      <c r="FE1" s="62"/>
      <c r="FF1" s="62"/>
      <c r="FG1" s="62"/>
      <c r="FH1" s="62"/>
      <c r="FI1" s="62"/>
      <c r="FJ1" s="62"/>
      <c r="FK1" s="62"/>
      <c r="FL1" s="62"/>
      <c r="FM1" s="62"/>
      <c r="FN1" s="62"/>
      <c r="FO1" s="62"/>
      <c r="FP1" s="62"/>
      <c r="FQ1" s="62"/>
      <c r="FR1" s="62"/>
      <c r="FS1" s="62"/>
      <c r="FT1" s="62"/>
      <c r="FU1" s="62"/>
      <c r="FV1" s="62"/>
      <c r="FW1" s="62"/>
      <c r="FX1" s="62"/>
      <c r="FY1" s="62"/>
      <c r="FZ1" s="62"/>
      <c r="GA1" s="62"/>
      <c r="GB1" s="62"/>
      <c r="GC1" s="62"/>
      <c r="GD1" s="62"/>
      <c r="GE1" s="62"/>
      <c r="GF1" s="62"/>
      <c r="GG1" s="62"/>
      <c r="GH1" s="62"/>
      <c r="GI1" s="62"/>
      <c r="GJ1" s="62"/>
      <c r="GK1" s="62"/>
      <c r="GL1" s="62"/>
      <c r="GM1" s="62"/>
      <c r="GN1" s="62"/>
      <c r="GO1" s="62"/>
      <c r="GP1" s="62"/>
      <c r="GQ1" s="62"/>
      <c r="GR1" s="62"/>
      <c r="GS1" s="62"/>
      <c r="GT1" s="62"/>
      <c r="GU1" s="62"/>
      <c r="GV1" s="62"/>
      <c r="GW1" s="62"/>
      <c r="GX1" s="62"/>
      <c r="GY1" s="62"/>
      <c r="GZ1" s="62"/>
      <c r="HA1" s="62"/>
      <c r="HB1" s="62"/>
      <c r="HC1" s="62"/>
      <c r="HD1" s="62"/>
      <c r="HE1" s="62"/>
      <c r="HF1" s="62"/>
      <c r="HG1" s="62"/>
      <c r="HH1" s="62"/>
      <c r="HI1" s="62"/>
      <c r="HJ1" s="62"/>
      <c r="HK1" s="62"/>
      <c r="HL1" s="62"/>
      <c r="HM1" s="62"/>
      <c r="HN1" s="62"/>
      <c r="HO1" s="62"/>
      <c r="HP1" s="62"/>
      <c r="HQ1" s="62"/>
      <c r="HR1" s="62"/>
      <c r="HS1" s="62"/>
      <c r="HT1" s="62"/>
      <c r="HU1" s="62"/>
      <c r="HV1" s="62"/>
      <c r="HW1" s="62"/>
      <c r="HX1" s="62"/>
      <c r="HY1" s="62"/>
      <c r="HZ1" s="62"/>
      <c r="IA1" s="62"/>
      <c r="IB1" s="62"/>
      <c r="IC1" s="62"/>
      <c r="ID1" s="62"/>
      <c r="IE1" s="62"/>
      <c r="IF1" s="62"/>
      <c r="IG1" s="62"/>
      <c r="IH1" s="62"/>
      <c r="II1" s="62"/>
      <c r="IJ1" s="62"/>
      <c r="IK1" s="62"/>
      <c r="IL1" s="62"/>
      <c r="IM1" s="62"/>
      <c r="IN1" s="62"/>
      <c r="IO1" s="62"/>
      <c r="IP1" s="62"/>
      <c r="IQ1" s="62"/>
      <c r="IR1" s="62"/>
      <c r="IS1" s="62"/>
      <c r="IT1" s="62"/>
      <c r="IU1" s="62"/>
      <c r="IV1" s="62"/>
      <c r="IW1" s="62"/>
      <c r="IX1" s="62"/>
      <c r="IY1" s="62"/>
      <c r="IZ1" s="62"/>
      <c r="JA1" s="62"/>
      <c r="JB1" s="62"/>
      <c r="JC1" s="62"/>
      <c r="JD1" s="62"/>
      <c r="JE1" s="62"/>
      <c r="JF1" s="62"/>
      <c r="JG1" s="62"/>
      <c r="JH1" s="62"/>
      <c r="JI1" s="62"/>
      <c r="JJ1" s="62"/>
      <c r="JK1" s="62"/>
      <c r="JL1" s="62"/>
      <c r="JM1" s="62"/>
      <c r="JN1" s="62"/>
      <c r="JO1" s="62"/>
      <c r="JP1" s="62"/>
      <c r="JQ1" s="62"/>
      <c r="JR1" s="62"/>
      <c r="JS1" s="62"/>
      <c r="JT1" s="62"/>
      <c r="JU1" s="62"/>
      <c r="JV1" s="62"/>
      <c r="JW1" s="62"/>
      <c r="JX1" s="62"/>
      <c r="JY1" s="62"/>
      <c r="JZ1" s="62"/>
      <c r="KA1" s="62"/>
      <c r="KB1" s="62"/>
      <c r="KC1" s="62"/>
      <c r="KD1" s="62"/>
      <c r="KE1" s="62"/>
      <c r="KF1" s="62"/>
      <c r="KG1" s="62"/>
      <c r="KH1" s="62"/>
      <c r="KI1" s="62"/>
      <c r="KJ1" s="62"/>
      <c r="KK1" s="62"/>
      <c r="KL1" s="62"/>
      <c r="KM1" s="62"/>
      <c r="KN1" s="62"/>
      <c r="KO1" s="62"/>
      <c r="KP1" s="62"/>
      <c r="KQ1" s="62"/>
      <c r="KR1" s="62"/>
      <c r="KS1" s="62"/>
      <c r="KT1" s="62"/>
      <c r="KU1" s="62"/>
      <c r="KV1" s="62"/>
      <c r="KW1" s="62"/>
      <c r="KX1" s="62"/>
      <c r="KY1" s="62"/>
      <c r="KZ1" s="62"/>
      <c r="LA1" s="62"/>
      <c r="LB1" s="62"/>
      <c r="LC1" s="62"/>
      <c r="LD1" s="62"/>
      <c r="LE1" s="62"/>
      <c r="LF1" s="62"/>
      <c r="LG1" s="62"/>
      <c r="LH1" s="62"/>
      <c r="LI1" s="62"/>
      <c r="LJ1" s="62"/>
      <c r="LK1" s="62"/>
      <c r="LL1" s="62"/>
      <c r="LM1" s="62"/>
      <c r="LN1" s="62"/>
      <c r="LO1" s="62"/>
      <c r="LP1" s="62"/>
      <c r="LQ1" s="62"/>
      <c r="LR1" s="62"/>
      <c r="LS1" s="62"/>
      <c r="LT1" s="62"/>
      <c r="LU1" s="62"/>
      <c r="LV1" s="62"/>
      <c r="LW1" s="62"/>
      <c r="LX1" s="62"/>
      <c r="LY1" s="62"/>
      <c r="LZ1" s="62"/>
      <c r="MA1" s="62"/>
      <c r="MB1" s="62"/>
      <c r="MC1" s="62"/>
      <c r="MD1" s="62"/>
      <c r="ME1" s="62"/>
      <c r="MF1" s="62"/>
      <c r="MG1" s="62"/>
      <c r="MH1" s="62"/>
      <c r="MI1" s="62"/>
      <c r="MJ1" s="62"/>
      <c r="MK1" s="62"/>
      <c r="ML1" s="62"/>
      <c r="MM1" s="62"/>
      <c r="MN1" s="62"/>
      <c r="MO1" s="62"/>
      <c r="MP1" s="62"/>
      <c r="MQ1" s="62"/>
      <c r="MR1" s="62"/>
      <c r="MS1" s="62"/>
      <c r="MT1" s="62"/>
      <c r="MU1" s="62"/>
      <c r="MV1" s="62"/>
      <c r="MW1" s="62"/>
      <c r="MX1" s="62"/>
      <c r="MY1" s="62"/>
      <c r="MZ1" s="62"/>
      <c r="NA1" s="62"/>
      <c r="NB1" s="62"/>
      <c r="NC1" s="62"/>
      <c r="ND1" s="62"/>
      <c r="NE1" s="62"/>
      <c r="NF1" s="62"/>
      <c r="NG1" s="62"/>
      <c r="NH1" s="62"/>
      <c r="NI1" s="62"/>
      <c r="NJ1" s="62"/>
      <c r="NK1" s="62"/>
      <c r="NL1" s="62"/>
      <c r="NM1" s="62"/>
      <c r="NN1" s="62"/>
      <c r="NO1" s="62"/>
      <c r="NP1" s="62"/>
      <c r="NQ1" s="62"/>
      <c r="NR1" s="62"/>
      <c r="NS1" s="62"/>
      <c r="NT1" s="62"/>
      <c r="NU1" s="62"/>
      <c r="NV1" s="62"/>
      <c r="NW1" s="62"/>
      <c r="NX1" s="62"/>
      <c r="NY1" s="62"/>
      <c r="NZ1" s="62"/>
      <c r="OA1" s="62"/>
      <c r="OB1" s="62"/>
      <c r="OC1" s="62"/>
      <c r="OD1" s="62"/>
      <c r="OE1" s="62"/>
      <c r="OF1" s="62"/>
      <c r="OG1" s="62"/>
      <c r="OH1" s="62"/>
      <c r="OI1" s="62"/>
      <c r="OJ1" s="62"/>
      <c r="OK1" s="62"/>
      <c r="OL1" s="62"/>
      <c r="OM1" s="62"/>
      <c r="ON1" s="62"/>
      <c r="OO1" s="62"/>
      <c r="OP1" s="62"/>
      <c r="OQ1" s="62"/>
      <c r="OR1" s="62"/>
      <c r="OS1" s="62"/>
      <c r="OT1" s="62"/>
      <c r="OU1" s="62"/>
      <c r="OV1" s="62"/>
      <c r="OW1" s="62"/>
      <c r="OX1" s="62"/>
      <c r="OY1" s="62"/>
      <c r="OZ1" s="62"/>
      <c r="PA1" s="62"/>
      <c r="PB1" s="62"/>
      <c r="PC1" s="62"/>
      <c r="PD1" s="62"/>
      <c r="PE1" s="62"/>
      <c r="PF1" s="62"/>
      <c r="PG1" s="62"/>
      <c r="PH1" s="62"/>
      <c r="PI1" s="62"/>
      <c r="PJ1" s="62"/>
      <c r="PK1" s="62"/>
      <c r="PL1" s="62"/>
      <c r="PM1" s="62"/>
      <c r="PN1" s="62"/>
      <c r="PO1" s="62"/>
      <c r="PP1" s="62"/>
      <c r="PQ1" s="62"/>
      <c r="PR1" s="62"/>
      <c r="PS1" s="62"/>
      <c r="PT1" s="62"/>
      <c r="PU1" s="62"/>
      <c r="PV1" s="62"/>
      <c r="PW1" s="62"/>
      <c r="PX1" s="62"/>
      <c r="PY1" s="62"/>
      <c r="PZ1" s="62"/>
      <c r="QA1" s="62"/>
      <c r="QB1" s="62"/>
      <c r="QC1" s="62"/>
      <c r="QD1" s="62"/>
      <c r="QE1" s="62"/>
      <c r="QF1" s="62"/>
      <c r="QG1" s="62"/>
      <c r="QH1" s="62"/>
      <c r="QI1" s="62"/>
      <c r="QJ1" s="62"/>
      <c r="QK1" s="62"/>
      <c r="QL1" s="62"/>
      <c r="QM1" s="62"/>
      <c r="QN1" s="62"/>
      <c r="QO1" s="62"/>
      <c r="QP1" s="62"/>
      <c r="QQ1" s="62"/>
      <c r="QR1" s="62"/>
      <c r="QS1" s="62"/>
      <c r="QT1" s="62"/>
      <c r="QU1" s="62"/>
      <c r="QV1" s="62"/>
      <c r="QW1" s="62"/>
      <c r="QX1" s="62"/>
      <c r="QY1" s="62"/>
      <c r="QZ1" s="62"/>
      <c r="RA1" s="62"/>
      <c r="RB1" s="62"/>
      <c r="RC1" s="62"/>
      <c r="RD1" s="62"/>
      <c r="RE1" s="62"/>
      <c r="RF1" s="62"/>
      <c r="RG1" s="62"/>
      <c r="RH1" s="62"/>
      <c r="RI1" s="62"/>
      <c r="RJ1" s="62"/>
      <c r="RK1" s="62"/>
      <c r="RL1" s="62"/>
      <c r="RM1" s="62"/>
      <c r="RN1" s="62"/>
      <c r="RO1" s="62"/>
      <c r="RP1" s="62"/>
      <c r="RQ1" s="62"/>
      <c r="RR1" s="62"/>
      <c r="RS1" s="62"/>
      <c r="RT1" s="62"/>
      <c r="RU1" s="62"/>
      <c r="RV1" s="62"/>
      <c r="RW1" s="62"/>
      <c r="RX1" s="62"/>
      <c r="RY1" s="62"/>
      <c r="RZ1" s="62"/>
      <c r="SA1" s="62"/>
      <c r="SB1" s="62"/>
      <c r="SC1" s="62"/>
      <c r="SD1" s="62"/>
      <c r="SE1" s="62"/>
      <c r="SF1" s="62"/>
      <c r="SG1" s="62"/>
      <c r="SH1" s="62"/>
      <c r="SI1" s="62"/>
      <c r="SJ1" s="62"/>
      <c r="SK1" s="62"/>
      <c r="SL1" s="62"/>
      <c r="SM1" s="62"/>
      <c r="SN1" s="62"/>
      <c r="SO1" s="62"/>
      <c r="SP1" s="62"/>
      <c r="SQ1" s="62"/>
      <c r="SR1" s="62"/>
      <c r="SS1" s="62"/>
      <c r="ST1" s="62"/>
      <c r="SU1" s="62"/>
      <c r="SV1" s="62"/>
      <c r="SW1" s="62"/>
      <c r="SX1" s="62"/>
      <c r="SY1" s="62"/>
      <c r="SZ1" s="62"/>
      <c r="TA1" s="62"/>
      <c r="TB1" s="62"/>
      <c r="TC1" s="62"/>
      <c r="TD1" s="62"/>
      <c r="TE1" s="62"/>
      <c r="TF1" s="62"/>
      <c r="TG1" s="62"/>
      <c r="TH1" s="62"/>
      <c r="TI1" s="62"/>
      <c r="TJ1" s="62"/>
      <c r="TK1" s="62"/>
      <c r="TL1" s="62"/>
      <c r="TM1" s="62"/>
      <c r="TN1" s="62"/>
      <c r="TO1" s="62"/>
      <c r="TP1" s="62"/>
      <c r="TQ1" s="62"/>
      <c r="TR1" s="62"/>
      <c r="TS1" s="62"/>
      <c r="TT1" s="62"/>
      <c r="TU1" s="62"/>
      <c r="TV1" s="62"/>
      <c r="TW1" s="62"/>
      <c r="TX1" s="62"/>
      <c r="TY1" s="62"/>
      <c r="TZ1" s="62"/>
      <c r="UA1" s="62"/>
      <c r="UB1" s="62"/>
      <c r="UC1" s="62"/>
      <c r="UD1" s="62"/>
      <c r="UE1" s="62"/>
      <c r="UF1" s="62"/>
      <c r="UG1" s="62"/>
      <c r="UH1" s="62"/>
      <c r="UI1" s="62"/>
      <c r="UJ1" s="62"/>
      <c r="UK1" s="62"/>
      <c r="UL1" s="62"/>
      <c r="UM1" s="62"/>
      <c r="UN1" s="62"/>
      <c r="UO1" s="62"/>
      <c r="UP1" s="62"/>
      <c r="UQ1" s="62"/>
      <c r="UR1" s="62"/>
      <c r="US1" s="62"/>
      <c r="UT1" s="62"/>
      <c r="UU1" s="62"/>
      <c r="UV1" s="62"/>
      <c r="UW1" s="62"/>
      <c r="UX1" s="62"/>
      <c r="UY1" s="62"/>
      <c r="UZ1" s="62"/>
      <c r="VA1" s="62"/>
      <c r="VB1" s="62"/>
      <c r="VC1" s="62"/>
      <c r="VD1" s="62"/>
      <c r="VE1" s="62"/>
      <c r="VF1" s="62"/>
      <c r="VG1" s="62"/>
      <c r="VH1" s="62"/>
      <c r="VI1" s="62"/>
      <c r="VJ1" s="62"/>
      <c r="VK1" s="62"/>
      <c r="VL1" s="62"/>
      <c r="VM1" s="62"/>
      <c r="VN1" s="62"/>
    </row>
    <row r="2" spans="1:586" s="66" customFormat="1" ht="15">
      <c r="A2" s="198" t="s">
        <v>97</v>
      </c>
      <c r="B2" s="198" t="s">
        <v>98</v>
      </c>
      <c r="C2" s="198" t="s">
        <v>99</v>
      </c>
      <c r="D2" s="198" t="s">
        <v>100</v>
      </c>
      <c r="E2" s="198" t="s">
        <v>101</v>
      </c>
      <c r="F2" s="198" t="s">
        <v>102</v>
      </c>
      <c r="G2" s="198" t="s">
        <v>288</v>
      </c>
      <c r="H2" s="198" t="s">
        <v>289</v>
      </c>
      <c r="I2" s="198" t="s">
        <v>103</v>
      </c>
      <c r="J2" s="210" t="s">
        <v>104</v>
      </c>
      <c r="K2" s="211"/>
      <c r="L2" s="211"/>
      <c r="M2" s="196" t="s">
        <v>17</v>
      </c>
      <c r="N2" s="204"/>
      <c r="O2" s="205"/>
      <c r="P2" s="196" t="s">
        <v>105</v>
      </c>
      <c r="Q2" s="204"/>
      <c r="R2" s="205"/>
      <c r="S2" s="196" t="s">
        <v>106</v>
      </c>
      <c r="T2" s="204"/>
      <c r="U2" s="205"/>
      <c r="V2" s="196" t="s">
        <v>107</v>
      </c>
      <c r="W2" s="204"/>
      <c r="X2" s="205"/>
      <c r="Y2" s="196" t="s">
        <v>108</v>
      </c>
      <c r="Z2" s="204"/>
      <c r="AA2" s="205"/>
      <c r="AB2" s="196" t="s">
        <v>109</v>
      </c>
      <c r="AC2" s="204"/>
      <c r="AD2" s="205"/>
      <c r="AE2" s="196" t="s">
        <v>110</v>
      </c>
      <c r="AF2" s="204"/>
      <c r="AG2" s="205"/>
      <c r="AH2" s="196" t="s">
        <v>90</v>
      </c>
      <c r="AI2" s="197"/>
      <c r="AJ2" s="204"/>
      <c r="AK2" s="204"/>
      <c r="AL2" s="204"/>
      <c r="AM2" s="204"/>
      <c r="AN2" s="204"/>
      <c r="AO2" s="204"/>
      <c r="AP2" s="204"/>
      <c r="AQ2" s="204"/>
      <c r="AR2" s="196" t="s">
        <v>111</v>
      </c>
      <c r="AS2" s="197"/>
      <c r="AT2" s="204"/>
      <c r="AU2" s="204"/>
      <c r="AV2" s="204"/>
      <c r="AW2" s="204"/>
      <c r="AX2" s="204"/>
      <c r="AY2" s="204"/>
      <c r="AZ2" s="196" t="s">
        <v>112</v>
      </c>
      <c r="BA2" s="204"/>
      <c r="BB2" s="204"/>
      <c r="BC2" s="204"/>
      <c r="BD2" s="204"/>
      <c r="BE2" s="204"/>
      <c r="BF2" s="204"/>
      <c r="BG2" s="204"/>
      <c r="BH2" s="196" t="s">
        <v>92</v>
      </c>
      <c r="BI2" s="197"/>
      <c r="BJ2" s="204"/>
      <c r="BK2" s="204"/>
      <c r="BL2" s="204"/>
      <c r="BM2" s="204"/>
      <c r="BN2" s="204"/>
      <c r="BO2" s="204"/>
      <c r="BP2" s="196" t="s">
        <v>113</v>
      </c>
      <c r="BQ2" s="204"/>
      <c r="BR2" s="204"/>
      <c r="BS2" s="204"/>
      <c r="BT2" s="204"/>
      <c r="BU2" s="196" t="s">
        <v>114</v>
      </c>
      <c r="BV2" s="204"/>
      <c r="BW2" s="204"/>
      <c r="BX2" s="204"/>
      <c r="BY2" s="204"/>
      <c r="BZ2" s="196" t="s">
        <v>94</v>
      </c>
      <c r="CA2" s="204"/>
      <c r="CB2" s="204"/>
      <c r="CC2" s="196" t="s">
        <v>95</v>
      </c>
      <c r="CD2" s="204"/>
      <c r="CE2" s="204"/>
      <c r="CF2" s="196" t="s">
        <v>115</v>
      </c>
      <c r="CG2" s="204"/>
      <c r="CH2" s="204"/>
      <c r="CI2" s="204"/>
      <c r="CJ2" s="204"/>
      <c r="CK2" s="196" t="s">
        <v>116</v>
      </c>
      <c r="CL2" s="204"/>
      <c r="CM2" s="204"/>
      <c r="CN2" s="204"/>
      <c r="CO2" s="204"/>
      <c r="CP2" s="206" t="s">
        <v>9</v>
      </c>
      <c r="CQ2" s="206"/>
      <c r="CR2" s="206"/>
      <c r="CS2" s="206"/>
      <c r="CT2" s="206"/>
      <c r="CU2" s="206"/>
      <c r="CV2" s="206"/>
      <c r="CW2" s="206"/>
      <c r="CX2" s="206" t="s">
        <v>24</v>
      </c>
      <c r="CY2" s="206"/>
      <c r="CZ2" s="206" t="s">
        <v>33</v>
      </c>
      <c r="DA2" s="206"/>
      <c r="DB2" s="206" t="s">
        <v>39</v>
      </c>
      <c r="DC2" s="206"/>
      <c r="DD2" s="206" t="s">
        <v>40</v>
      </c>
      <c r="DE2" s="206"/>
      <c r="DF2" s="206" t="s">
        <v>45</v>
      </c>
      <c r="DG2" s="206"/>
      <c r="DH2" s="206" t="s">
        <v>50</v>
      </c>
      <c r="DI2" s="206"/>
      <c r="DJ2" s="65"/>
      <c r="DK2" s="65"/>
      <c r="DL2" s="65"/>
      <c r="DM2" s="65"/>
      <c r="DN2" s="65"/>
      <c r="DO2" s="65"/>
      <c r="DP2" s="65"/>
      <c r="DQ2" s="65"/>
      <c r="DR2" s="65"/>
      <c r="DS2" s="65"/>
      <c r="DT2" s="65"/>
      <c r="DU2" s="65"/>
      <c r="DV2" s="65"/>
      <c r="DW2" s="65"/>
      <c r="DX2" s="65"/>
      <c r="DY2" s="65"/>
      <c r="DZ2" s="65"/>
      <c r="EA2" s="65"/>
      <c r="EB2" s="65"/>
      <c r="EC2" s="65"/>
      <c r="ED2" s="65"/>
      <c r="EE2" s="65"/>
      <c r="EF2" s="65"/>
      <c r="EG2" s="65"/>
      <c r="EH2" s="65"/>
      <c r="EI2" s="65"/>
      <c r="EJ2" s="65"/>
      <c r="EK2" s="65"/>
      <c r="EL2" s="65"/>
      <c r="EM2" s="65"/>
      <c r="EN2" s="65"/>
      <c r="EO2" s="65"/>
      <c r="EP2" s="65"/>
      <c r="EQ2" s="65"/>
      <c r="ER2" s="65"/>
      <c r="ES2" s="65"/>
      <c r="ET2" s="65"/>
      <c r="EU2" s="65"/>
      <c r="EV2" s="65"/>
      <c r="EW2" s="65"/>
      <c r="EX2" s="65"/>
      <c r="EY2" s="65"/>
      <c r="EZ2" s="65"/>
      <c r="FA2" s="65"/>
      <c r="FB2" s="65"/>
      <c r="FC2" s="65"/>
      <c r="FD2" s="65"/>
      <c r="FE2" s="65"/>
      <c r="FF2" s="65"/>
      <c r="FG2" s="65"/>
      <c r="FH2" s="65"/>
      <c r="FI2" s="65"/>
      <c r="FJ2" s="65"/>
      <c r="FK2" s="65"/>
      <c r="FL2" s="65"/>
      <c r="FM2" s="65"/>
      <c r="FN2" s="65"/>
      <c r="FO2" s="65"/>
      <c r="FP2" s="65"/>
      <c r="FQ2" s="65"/>
      <c r="FR2" s="65"/>
      <c r="FS2" s="65"/>
      <c r="FT2" s="65"/>
      <c r="FU2" s="65"/>
      <c r="FV2" s="65"/>
      <c r="FW2" s="65"/>
      <c r="FX2" s="65"/>
      <c r="FY2" s="65"/>
      <c r="FZ2" s="65"/>
      <c r="GA2" s="65"/>
      <c r="GB2" s="65"/>
      <c r="GC2" s="65"/>
      <c r="GD2" s="65"/>
      <c r="GE2" s="65"/>
      <c r="GF2" s="65"/>
      <c r="GG2" s="65"/>
      <c r="GH2" s="65"/>
      <c r="GI2" s="65"/>
      <c r="GJ2" s="65"/>
      <c r="GK2" s="65"/>
      <c r="GL2" s="65"/>
      <c r="GM2" s="65"/>
      <c r="GN2" s="65"/>
      <c r="GO2" s="65"/>
      <c r="GP2" s="65"/>
      <c r="GQ2" s="65"/>
      <c r="GR2" s="65"/>
      <c r="GS2" s="65"/>
      <c r="GT2" s="65"/>
      <c r="GU2" s="65"/>
      <c r="GV2" s="65"/>
      <c r="GW2" s="65"/>
      <c r="GX2" s="65"/>
      <c r="GY2" s="65"/>
      <c r="GZ2" s="65"/>
      <c r="HA2" s="65"/>
      <c r="HB2" s="65"/>
      <c r="HC2" s="65"/>
      <c r="HD2" s="65"/>
      <c r="HE2" s="65"/>
      <c r="HF2" s="65"/>
      <c r="HG2" s="65"/>
      <c r="HH2" s="65"/>
      <c r="HI2" s="65"/>
      <c r="HJ2" s="65"/>
      <c r="HK2" s="65"/>
      <c r="HL2" s="65"/>
      <c r="HM2" s="65"/>
      <c r="HN2" s="65"/>
      <c r="HO2" s="65"/>
      <c r="HP2" s="65"/>
      <c r="HQ2" s="65"/>
      <c r="HR2" s="65"/>
      <c r="HS2" s="65"/>
      <c r="HT2" s="65"/>
      <c r="HU2" s="65"/>
      <c r="HV2" s="65"/>
      <c r="HW2" s="65"/>
      <c r="HX2" s="65"/>
      <c r="HY2" s="65"/>
      <c r="HZ2" s="65"/>
      <c r="IA2" s="65"/>
      <c r="IB2" s="65"/>
      <c r="IC2" s="65"/>
      <c r="ID2" s="65"/>
      <c r="IE2" s="65"/>
      <c r="IF2" s="65"/>
      <c r="IG2" s="65"/>
      <c r="IH2" s="65"/>
      <c r="II2" s="65"/>
      <c r="IJ2" s="65"/>
      <c r="IK2" s="65"/>
      <c r="IL2" s="65"/>
      <c r="IM2" s="65"/>
      <c r="IN2" s="65"/>
      <c r="IO2" s="65"/>
      <c r="IP2" s="65"/>
      <c r="IQ2" s="65"/>
      <c r="IR2" s="65"/>
      <c r="IS2" s="65"/>
      <c r="IT2" s="65"/>
      <c r="IU2" s="65"/>
      <c r="IV2" s="65"/>
      <c r="IW2" s="65"/>
      <c r="IX2" s="65"/>
      <c r="IY2" s="65"/>
      <c r="IZ2" s="65"/>
      <c r="JA2" s="65"/>
      <c r="JB2" s="65"/>
      <c r="JC2" s="65"/>
      <c r="JD2" s="65"/>
      <c r="JE2" s="65"/>
      <c r="JF2" s="65"/>
      <c r="JG2" s="65"/>
      <c r="JH2" s="65"/>
      <c r="JI2" s="65"/>
      <c r="JJ2" s="65"/>
      <c r="JK2" s="65"/>
      <c r="JL2" s="65"/>
      <c r="JM2" s="65"/>
      <c r="JN2" s="65"/>
      <c r="JO2" s="65"/>
      <c r="JP2" s="65"/>
      <c r="JQ2" s="65"/>
      <c r="JR2" s="65"/>
      <c r="JS2" s="65"/>
      <c r="JT2" s="65"/>
      <c r="JU2" s="65"/>
      <c r="JV2" s="65"/>
      <c r="JW2" s="65"/>
      <c r="JX2" s="65"/>
      <c r="JY2" s="65"/>
      <c r="JZ2" s="65"/>
      <c r="KA2" s="65"/>
      <c r="KB2" s="65"/>
      <c r="KC2" s="65"/>
      <c r="KD2" s="65"/>
      <c r="KE2" s="65"/>
      <c r="KF2" s="65"/>
      <c r="KG2" s="65"/>
      <c r="KH2" s="65"/>
      <c r="KI2" s="65"/>
      <c r="KJ2" s="65"/>
      <c r="KK2" s="65"/>
      <c r="KL2" s="65"/>
      <c r="KM2" s="65"/>
      <c r="KN2" s="65"/>
      <c r="KO2" s="65"/>
      <c r="KP2" s="65"/>
      <c r="KQ2" s="65"/>
      <c r="KR2" s="65"/>
      <c r="KS2" s="65"/>
      <c r="KT2" s="65"/>
      <c r="KU2" s="65"/>
      <c r="KV2" s="65"/>
      <c r="KW2" s="65"/>
      <c r="KX2" s="65"/>
      <c r="KY2" s="65"/>
      <c r="KZ2" s="65"/>
      <c r="LA2" s="65"/>
      <c r="LB2" s="65"/>
      <c r="LC2" s="65"/>
      <c r="LD2" s="65"/>
      <c r="LE2" s="65"/>
      <c r="LF2" s="65"/>
      <c r="LG2" s="65"/>
      <c r="LH2" s="65"/>
      <c r="LI2" s="65"/>
      <c r="LJ2" s="65"/>
      <c r="LK2" s="65"/>
      <c r="LL2" s="65"/>
      <c r="LM2" s="65"/>
      <c r="LN2" s="65"/>
      <c r="LO2" s="65"/>
      <c r="LP2" s="65"/>
      <c r="LQ2" s="65"/>
      <c r="LR2" s="65"/>
      <c r="LS2" s="65"/>
      <c r="LT2" s="65"/>
      <c r="LU2" s="65"/>
      <c r="LV2" s="65"/>
      <c r="LW2" s="65"/>
      <c r="LX2" s="65"/>
      <c r="LY2" s="65"/>
      <c r="LZ2" s="65"/>
      <c r="MA2" s="65"/>
      <c r="MB2" s="65"/>
      <c r="MC2" s="65"/>
      <c r="MD2" s="65"/>
      <c r="ME2" s="65"/>
      <c r="MF2" s="65"/>
      <c r="MG2" s="65"/>
      <c r="MH2" s="65"/>
      <c r="MI2" s="65"/>
      <c r="MJ2" s="65"/>
      <c r="MK2" s="65"/>
      <c r="ML2" s="65"/>
      <c r="MM2" s="65"/>
      <c r="MN2" s="65"/>
      <c r="MO2" s="65"/>
      <c r="MP2" s="65"/>
      <c r="MQ2" s="65"/>
      <c r="MR2" s="65"/>
      <c r="MS2" s="65"/>
      <c r="MT2" s="65"/>
      <c r="MU2" s="65"/>
      <c r="MV2" s="65"/>
      <c r="MW2" s="65"/>
      <c r="MX2" s="65"/>
      <c r="MY2" s="65"/>
      <c r="MZ2" s="65"/>
      <c r="NA2" s="65"/>
      <c r="NB2" s="65"/>
      <c r="NC2" s="65"/>
      <c r="ND2" s="65"/>
      <c r="NE2" s="65"/>
      <c r="NF2" s="65"/>
      <c r="NG2" s="65"/>
      <c r="NH2" s="65"/>
      <c r="NI2" s="65"/>
      <c r="NJ2" s="65"/>
      <c r="NK2" s="65"/>
      <c r="NL2" s="65"/>
      <c r="NM2" s="65"/>
      <c r="NN2" s="65"/>
      <c r="NO2" s="65"/>
      <c r="NP2" s="65"/>
      <c r="NQ2" s="65"/>
      <c r="NR2" s="65"/>
      <c r="NS2" s="65"/>
      <c r="NT2" s="65"/>
      <c r="NU2" s="65"/>
      <c r="NV2" s="65"/>
      <c r="NW2" s="65"/>
      <c r="NX2" s="65"/>
      <c r="NY2" s="65"/>
      <c r="NZ2" s="65"/>
      <c r="OA2" s="65"/>
      <c r="OB2" s="65"/>
      <c r="OC2" s="65"/>
      <c r="OD2" s="65"/>
      <c r="OE2" s="65"/>
      <c r="OF2" s="65"/>
      <c r="OG2" s="65"/>
      <c r="OH2" s="65"/>
      <c r="OI2" s="65"/>
      <c r="OJ2" s="65"/>
      <c r="OK2" s="65"/>
      <c r="OL2" s="65"/>
      <c r="OM2" s="65"/>
      <c r="ON2" s="65"/>
      <c r="OO2" s="65"/>
      <c r="OP2" s="65"/>
      <c r="OQ2" s="65"/>
      <c r="OR2" s="65"/>
      <c r="OS2" s="65"/>
      <c r="OT2" s="65"/>
      <c r="OU2" s="65"/>
      <c r="OV2" s="65"/>
      <c r="OW2" s="65"/>
      <c r="OX2" s="65"/>
      <c r="OY2" s="65"/>
      <c r="OZ2" s="65"/>
      <c r="PA2" s="65"/>
      <c r="PB2" s="65"/>
      <c r="PC2" s="65"/>
      <c r="PD2" s="65"/>
      <c r="PE2" s="65"/>
      <c r="PF2" s="65"/>
      <c r="PG2" s="65"/>
      <c r="PH2" s="65"/>
      <c r="PI2" s="65"/>
      <c r="PJ2" s="65"/>
      <c r="PK2" s="65"/>
      <c r="PL2" s="65"/>
      <c r="PM2" s="65"/>
      <c r="PN2" s="65"/>
      <c r="PO2" s="65"/>
      <c r="PP2" s="65"/>
      <c r="PQ2" s="65"/>
      <c r="PR2" s="65"/>
      <c r="PS2" s="65"/>
      <c r="PT2" s="65"/>
      <c r="PU2" s="65"/>
      <c r="PV2" s="65"/>
      <c r="PW2" s="65"/>
      <c r="PX2" s="65"/>
      <c r="PY2" s="65"/>
      <c r="PZ2" s="65"/>
      <c r="QA2" s="65"/>
      <c r="QB2" s="65"/>
      <c r="QC2" s="65"/>
      <c r="QD2" s="65"/>
      <c r="QE2" s="65"/>
      <c r="QF2" s="65"/>
      <c r="QG2" s="65"/>
      <c r="QH2" s="65"/>
      <c r="QI2" s="65"/>
      <c r="QJ2" s="65"/>
      <c r="QK2" s="65"/>
      <c r="QL2" s="65"/>
      <c r="QM2" s="65"/>
      <c r="QN2" s="65"/>
      <c r="QO2" s="65"/>
      <c r="QP2" s="65"/>
      <c r="QQ2" s="65"/>
      <c r="QR2" s="65"/>
      <c r="QS2" s="65"/>
      <c r="QT2" s="65"/>
      <c r="QU2" s="65"/>
      <c r="QV2" s="65"/>
      <c r="QW2" s="65"/>
      <c r="QX2" s="65"/>
      <c r="QY2" s="65"/>
      <c r="QZ2" s="65"/>
      <c r="RA2" s="65"/>
      <c r="RB2" s="65"/>
      <c r="RC2" s="65"/>
      <c r="RD2" s="65"/>
      <c r="RE2" s="65"/>
      <c r="RF2" s="65"/>
      <c r="RG2" s="65"/>
      <c r="RH2" s="65"/>
      <c r="RI2" s="65"/>
      <c r="RJ2" s="65"/>
      <c r="RK2" s="65"/>
      <c r="RL2" s="65"/>
      <c r="RM2" s="65"/>
      <c r="RN2" s="65"/>
      <c r="RO2" s="65"/>
      <c r="RP2" s="65"/>
      <c r="RQ2" s="65"/>
      <c r="RR2" s="65"/>
      <c r="RS2" s="65"/>
      <c r="RT2" s="65"/>
      <c r="RU2" s="65"/>
      <c r="RV2" s="65"/>
      <c r="RW2" s="65"/>
      <c r="RX2" s="65"/>
      <c r="RY2" s="65"/>
      <c r="RZ2" s="65"/>
      <c r="SA2" s="65"/>
      <c r="SB2" s="65"/>
      <c r="SC2" s="65"/>
      <c r="SD2" s="65"/>
      <c r="SE2" s="65"/>
      <c r="SF2" s="65"/>
      <c r="SG2" s="65"/>
      <c r="SH2" s="65"/>
      <c r="SI2" s="65"/>
      <c r="SJ2" s="65"/>
      <c r="SK2" s="65"/>
      <c r="SL2" s="65"/>
      <c r="SM2" s="65"/>
      <c r="SN2" s="65"/>
      <c r="SO2" s="65"/>
      <c r="SP2" s="65"/>
      <c r="SQ2" s="65"/>
      <c r="SR2" s="65"/>
      <c r="SS2" s="65"/>
      <c r="ST2" s="65"/>
      <c r="SU2" s="65"/>
      <c r="SV2" s="65"/>
      <c r="SW2" s="65"/>
      <c r="SX2" s="65"/>
      <c r="SY2" s="65"/>
      <c r="SZ2" s="65"/>
      <c r="TA2" s="65"/>
      <c r="TB2" s="65"/>
      <c r="TC2" s="65"/>
      <c r="TD2" s="65"/>
      <c r="TE2" s="65"/>
      <c r="TF2" s="65"/>
      <c r="TG2" s="65"/>
      <c r="TH2" s="65"/>
      <c r="TI2" s="65"/>
      <c r="TJ2" s="65"/>
      <c r="TK2" s="65"/>
      <c r="TL2" s="65"/>
      <c r="TM2" s="65"/>
      <c r="TN2" s="65"/>
      <c r="TO2" s="65"/>
      <c r="TP2" s="65"/>
      <c r="TQ2" s="65"/>
      <c r="TR2" s="65"/>
      <c r="TS2" s="65"/>
      <c r="TT2" s="65"/>
      <c r="TU2" s="65"/>
      <c r="TV2" s="65"/>
      <c r="TW2" s="65"/>
      <c r="TX2" s="65"/>
      <c r="TY2" s="65"/>
      <c r="TZ2" s="65"/>
      <c r="UA2" s="65"/>
      <c r="UB2" s="65"/>
      <c r="UC2" s="65"/>
      <c r="UD2" s="65"/>
      <c r="UE2" s="65"/>
      <c r="UF2" s="65"/>
      <c r="UG2" s="65"/>
      <c r="UH2" s="65"/>
      <c r="UI2" s="65"/>
      <c r="UJ2" s="65"/>
      <c r="UK2" s="65"/>
      <c r="UL2" s="65"/>
      <c r="UM2" s="65"/>
      <c r="UN2" s="65"/>
      <c r="UO2" s="65"/>
      <c r="UP2" s="65"/>
      <c r="UQ2" s="65"/>
      <c r="UR2" s="65"/>
      <c r="US2" s="65"/>
      <c r="UT2" s="65"/>
      <c r="UU2" s="65"/>
      <c r="UV2" s="65"/>
      <c r="UW2" s="65"/>
      <c r="UX2" s="65"/>
      <c r="UY2" s="65"/>
      <c r="UZ2" s="65"/>
      <c r="VA2" s="65"/>
      <c r="VB2" s="65"/>
      <c r="VC2" s="65"/>
      <c r="VD2" s="65"/>
      <c r="VE2" s="65"/>
      <c r="VF2" s="65"/>
      <c r="VG2" s="65"/>
      <c r="VH2" s="65"/>
      <c r="VI2" s="65"/>
      <c r="VJ2" s="65"/>
      <c r="VK2" s="65"/>
      <c r="VL2" s="65"/>
      <c r="VM2" s="65"/>
      <c r="VN2" s="65"/>
    </row>
    <row r="3" spans="1:586" s="68" customFormat="1" ht="15">
      <c r="A3" s="209"/>
      <c r="B3" s="222"/>
      <c r="C3" s="222"/>
      <c r="D3" s="222"/>
      <c r="E3" s="209"/>
      <c r="F3" s="209"/>
      <c r="G3" s="199"/>
      <c r="H3" s="199"/>
      <c r="I3" s="209"/>
      <c r="J3" s="201" t="s">
        <v>117</v>
      </c>
      <c r="K3" s="201" t="s">
        <v>118</v>
      </c>
      <c r="L3" s="201" t="s">
        <v>37</v>
      </c>
      <c r="M3" s="201" t="s">
        <v>117</v>
      </c>
      <c r="N3" s="201" t="s">
        <v>118</v>
      </c>
      <c r="O3" s="201" t="s">
        <v>37</v>
      </c>
      <c r="P3" s="201" t="s">
        <v>117</v>
      </c>
      <c r="Q3" s="201" t="s">
        <v>118</v>
      </c>
      <c r="R3" s="201" t="s">
        <v>37</v>
      </c>
      <c r="S3" s="201" t="s">
        <v>117</v>
      </c>
      <c r="T3" s="201" t="s">
        <v>118</v>
      </c>
      <c r="U3" s="201" t="s">
        <v>37</v>
      </c>
      <c r="V3" s="201" t="s">
        <v>117</v>
      </c>
      <c r="W3" s="201" t="s">
        <v>118</v>
      </c>
      <c r="X3" s="201" t="s">
        <v>37</v>
      </c>
      <c r="Y3" s="201" t="s">
        <v>117</v>
      </c>
      <c r="Z3" s="201" t="s">
        <v>118</v>
      </c>
      <c r="AA3" s="201" t="s">
        <v>37</v>
      </c>
      <c r="AB3" s="201" t="s">
        <v>117</v>
      </c>
      <c r="AC3" s="201" t="s">
        <v>118</v>
      </c>
      <c r="AD3" s="201" t="s">
        <v>37</v>
      </c>
      <c r="AE3" s="201" t="s">
        <v>117</v>
      </c>
      <c r="AF3" s="201" t="s">
        <v>118</v>
      </c>
      <c r="AG3" s="201" t="s">
        <v>37</v>
      </c>
      <c r="AH3" s="196" t="s">
        <v>49</v>
      </c>
      <c r="AI3" s="197"/>
      <c r="AJ3" s="203"/>
      <c r="AK3" s="193" t="s">
        <v>119</v>
      </c>
      <c r="AL3" s="194"/>
      <c r="AM3" s="194"/>
      <c r="AN3" s="194"/>
      <c r="AO3" s="194"/>
      <c r="AP3" s="194"/>
      <c r="AQ3" s="195"/>
      <c r="AR3" s="196" t="s">
        <v>49</v>
      </c>
      <c r="AS3" s="197"/>
      <c r="AT3" s="197"/>
      <c r="AU3" s="193" t="s">
        <v>119</v>
      </c>
      <c r="AV3" s="194"/>
      <c r="AW3" s="194"/>
      <c r="AX3" s="194"/>
      <c r="AY3" s="195"/>
      <c r="AZ3" s="196" t="s">
        <v>49</v>
      </c>
      <c r="BA3" s="204"/>
      <c r="BB3" s="205"/>
      <c r="BC3" s="193" t="s">
        <v>119</v>
      </c>
      <c r="BD3" s="194"/>
      <c r="BE3" s="194"/>
      <c r="BF3" s="194"/>
      <c r="BG3" s="195"/>
      <c r="BH3" s="196" t="s">
        <v>49</v>
      </c>
      <c r="BI3" s="197"/>
      <c r="BJ3" s="197"/>
      <c r="BK3" s="193" t="s">
        <v>119</v>
      </c>
      <c r="BL3" s="194"/>
      <c r="BM3" s="194"/>
      <c r="BN3" s="194"/>
      <c r="BO3" s="195"/>
      <c r="BP3" s="196" t="s">
        <v>49</v>
      </c>
      <c r="BQ3" s="197"/>
      <c r="BR3" s="193" t="s">
        <v>119</v>
      </c>
      <c r="BS3" s="194"/>
      <c r="BT3" s="195"/>
      <c r="BU3" s="196" t="s">
        <v>49</v>
      </c>
      <c r="BV3" s="197"/>
      <c r="BW3" s="193" t="s">
        <v>119</v>
      </c>
      <c r="BX3" s="194"/>
      <c r="BY3" s="195"/>
      <c r="BZ3" s="193" t="s">
        <v>120</v>
      </c>
      <c r="CA3" s="207"/>
      <c r="CB3" s="208"/>
      <c r="CC3" s="193" t="s">
        <v>120</v>
      </c>
      <c r="CD3" s="207"/>
      <c r="CE3" s="208"/>
      <c r="CF3" s="196" t="s">
        <v>49</v>
      </c>
      <c r="CG3" s="197"/>
      <c r="CH3" s="193" t="s">
        <v>120</v>
      </c>
      <c r="CI3" s="194"/>
      <c r="CJ3" s="195"/>
      <c r="CK3" s="196" t="s">
        <v>49</v>
      </c>
      <c r="CL3" s="197"/>
      <c r="CM3" s="193" t="s">
        <v>119</v>
      </c>
      <c r="CN3" s="194"/>
      <c r="CO3" s="195"/>
      <c r="CP3" s="206"/>
      <c r="CQ3" s="206"/>
      <c r="CR3" s="206"/>
      <c r="CS3" s="206"/>
      <c r="CT3" s="206"/>
      <c r="CU3" s="206"/>
      <c r="CV3" s="206"/>
      <c r="CW3" s="206"/>
      <c r="CX3" s="206"/>
      <c r="CY3" s="206"/>
      <c r="CZ3" s="206"/>
      <c r="DA3" s="206"/>
      <c r="DB3" s="206"/>
      <c r="DC3" s="206"/>
      <c r="DD3" s="206"/>
      <c r="DE3" s="206"/>
      <c r="DF3" s="206"/>
      <c r="DG3" s="206"/>
      <c r="DH3" s="206"/>
      <c r="DI3" s="206"/>
    </row>
    <row r="4" spans="1:586" s="68" customFormat="1" ht="45">
      <c r="A4" s="202"/>
      <c r="B4" s="223"/>
      <c r="C4" s="223"/>
      <c r="D4" s="223"/>
      <c r="E4" s="202"/>
      <c r="F4" s="202"/>
      <c r="G4" s="200"/>
      <c r="H4" s="200"/>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67" t="s">
        <v>10</v>
      </c>
      <c r="AI4" s="67" t="s">
        <v>52</v>
      </c>
      <c r="AJ4" s="67" t="s">
        <v>121</v>
      </c>
      <c r="AK4" s="67" t="s">
        <v>10</v>
      </c>
      <c r="AL4" s="67" t="s">
        <v>52</v>
      </c>
      <c r="AM4" s="67" t="s">
        <v>122</v>
      </c>
      <c r="AN4" s="67" t="s">
        <v>123</v>
      </c>
      <c r="AO4" s="67" t="s">
        <v>124</v>
      </c>
      <c r="AP4" s="67" t="s">
        <v>125</v>
      </c>
      <c r="AQ4" s="67" t="s">
        <v>30</v>
      </c>
      <c r="AR4" s="64" t="s">
        <v>10</v>
      </c>
      <c r="AS4" s="64" t="s">
        <v>126</v>
      </c>
      <c r="AT4" s="64" t="s">
        <v>127</v>
      </c>
      <c r="AU4" s="64" t="s">
        <v>10</v>
      </c>
      <c r="AV4" s="64" t="s">
        <v>126</v>
      </c>
      <c r="AW4" s="64" t="s">
        <v>128</v>
      </c>
      <c r="AX4" s="64" t="s">
        <v>127</v>
      </c>
      <c r="AY4" s="64" t="s">
        <v>129</v>
      </c>
      <c r="AZ4" s="64" t="s">
        <v>10</v>
      </c>
      <c r="BA4" s="64" t="s">
        <v>126</v>
      </c>
      <c r="BB4" s="64" t="s">
        <v>127</v>
      </c>
      <c r="BC4" s="64" t="s">
        <v>10</v>
      </c>
      <c r="BD4" s="64" t="s">
        <v>126</v>
      </c>
      <c r="BE4" s="64" t="s">
        <v>128</v>
      </c>
      <c r="BF4" s="64" t="s">
        <v>127</v>
      </c>
      <c r="BG4" s="64" t="s">
        <v>129</v>
      </c>
      <c r="BH4" s="64" t="s">
        <v>10</v>
      </c>
      <c r="BI4" s="64" t="s">
        <v>130</v>
      </c>
      <c r="BJ4" s="64" t="s">
        <v>131</v>
      </c>
      <c r="BK4" s="64" t="s">
        <v>10</v>
      </c>
      <c r="BL4" s="64" t="s">
        <v>130</v>
      </c>
      <c r="BM4" s="64" t="s">
        <v>132</v>
      </c>
      <c r="BN4" s="64" t="s">
        <v>131</v>
      </c>
      <c r="BO4" s="64" t="s">
        <v>133</v>
      </c>
      <c r="BP4" s="64" t="s">
        <v>134</v>
      </c>
      <c r="BQ4" s="64" t="s">
        <v>135</v>
      </c>
      <c r="BR4" s="64" t="s">
        <v>134</v>
      </c>
      <c r="BS4" s="64" t="s">
        <v>135</v>
      </c>
      <c r="BT4" s="64" t="s">
        <v>136</v>
      </c>
      <c r="BU4" s="64" t="s">
        <v>10</v>
      </c>
      <c r="BV4" s="64" t="s">
        <v>27</v>
      </c>
      <c r="BW4" s="64" t="s">
        <v>10</v>
      </c>
      <c r="BX4" s="64" t="s">
        <v>27</v>
      </c>
      <c r="BY4" s="64" t="s">
        <v>137</v>
      </c>
      <c r="BZ4" s="64" t="s">
        <v>138</v>
      </c>
      <c r="CA4" s="64" t="s">
        <v>139</v>
      </c>
      <c r="CB4" s="64" t="s">
        <v>140</v>
      </c>
      <c r="CC4" s="64" t="s">
        <v>141</v>
      </c>
      <c r="CD4" s="64" t="s">
        <v>142</v>
      </c>
      <c r="CE4" s="64" t="s">
        <v>143</v>
      </c>
      <c r="CF4" s="64" t="s">
        <v>134</v>
      </c>
      <c r="CG4" s="64" t="s">
        <v>135</v>
      </c>
      <c r="CH4" s="64" t="s">
        <v>134</v>
      </c>
      <c r="CI4" s="64" t="s">
        <v>135</v>
      </c>
      <c r="CJ4" s="64" t="s">
        <v>136</v>
      </c>
      <c r="CK4" s="64" t="s">
        <v>134</v>
      </c>
      <c r="CL4" s="64" t="s">
        <v>135</v>
      </c>
      <c r="CM4" s="64" t="s">
        <v>46</v>
      </c>
      <c r="CN4" s="64" t="s">
        <v>135</v>
      </c>
      <c r="CO4" s="64" t="s">
        <v>144</v>
      </c>
      <c r="CP4" s="69" t="s">
        <v>16</v>
      </c>
      <c r="CQ4" s="69" t="s">
        <v>17</v>
      </c>
      <c r="CR4" s="69" t="s">
        <v>18</v>
      </c>
      <c r="CS4" s="69" t="s">
        <v>19</v>
      </c>
      <c r="CT4" s="69" t="s">
        <v>20</v>
      </c>
      <c r="CU4" s="69" t="s">
        <v>21</v>
      </c>
      <c r="CV4" s="69" t="s">
        <v>22</v>
      </c>
      <c r="CW4" s="69" t="s">
        <v>23</v>
      </c>
      <c r="CX4" s="69" t="s">
        <v>31</v>
      </c>
      <c r="CY4" s="69" t="s">
        <v>32</v>
      </c>
      <c r="CZ4" s="69" t="s">
        <v>31</v>
      </c>
      <c r="DA4" s="69" t="s">
        <v>32</v>
      </c>
      <c r="DB4" s="69" t="s">
        <v>31</v>
      </c>
      <c r="DC4" s="69" t="s">
        <v>32</v>
      </c>
      <c r="DD4" s="69" t="s">
        <v>31</v>
      </c>
      <c r="DE4" s="69" t="s">
        <v>32</v>
      </c>
      <c r="DF4" s="69" t="s">
        <v>31</v>
      </c>
      <c r="DG4" s="69" t="s">
        <v>32</v>
      </c>
      <c r="DH4" s="69" t="s">
        <v>31</v>
      </c>
      <c r="DI4" s="69" t="s">
        <v>32</v>
      </c>
    </row>
    <row r="5" spans="1:586" s="68" customFormat="1" ht="15">
      <c r="A5" s="70">
        <v>1</v>
      </c>
      <c r="B5" s="6" t="s">
        <v>167</v>
      </c>
      <c r="C5" s="6" t="s">
        <v>173</v>
      </c>
      <c r="D5" s="95" t="s">
        <v>172</v>
      </c>
      <c r="E5" s="72" t="str">
        <f>'GRAND MOSQUE'!$B$3</f>
        <v>Diriyah II Grand Mosque</v>
      </c>
      <c r="F5" s="95" t="s">
        <v>169</v>
      </c>
      <c r="G5" s="95" t="str">
        <f>'GRAND MOSQUE'!D4</f>
        <v xml:space="preserve"> X-ARCHITECTS</v>
      </c>
      <c r="H5" s="95" t="str">
        <f>'GRAND MOSQUE'!F4</f>
        <v>MAG-MAN JV</v>
      </c>
      <c r="I5" s="71" t="s">
        <v>166</v>
      </c>
      <c r="J5" s="72">
        <f>'GRAND MOSQUE'!$B$7</f>
        <v>1</v>
      </c>
      <c r="K5" s="72">
        <f>'GRAND MOSQUE'!$C$7+'GRAND MOSQUE'!$D$7</f>
        <v>1</v>
      </c>
      <c r="L5" s="73">
        <f>'GRAND MOSQUE'!$G$7</f>
        <v>1</v>
      </c>
      <c r="M5" s="72">
        <f>'GRAND MOSQUE'!$B$8</f>
        <v>3</v>
      </c>
      <c r="N5" s="72">
        <f>'GRAND MOSQUE'!$C$8+'GRAND MOSQUE'!$D$8</f>
        <v>3</v>
      </c>
      <c r="O5" s="73">
        <f>'GRAND MOSQUE'!$G$8</f>
        <v>1</v>
      </c>
      <c r="P5" s="72">
        <f>'GRAND MOSQUE'!$B$9</f>
        <v>11</v>
      </c>
      <c r="Q5" s="72">
        <f>'GRAND MOSQUE'!$C$9+'GRAND MOSQUE'!$D$9</f>
        <v>11</v>
      </c>
      <c r="R5" s="73">
        <f>'GRAND MOSQUE'!$G$9</f>
        <v>1</v>
      </c>
      <c r="S5" s="72">
        <f>'GRAND MOSQUE'!$B$10</f>
        <v>71</v>
      </c>
      <c r="T5" s="72">
        <f>'GRAND MOSQUE'!$C$10+'GRAND MOSQUE'!$D$10</f>
        <v>59</v>
      </c>
      <c r="U5" s="73">
        <f>'GRAND MOSQUE'!$G$10</f>
        <v>0.83098591549295775</v>
      </c>
      <c r="V5" s="72">
        <f>'GRAND MOSQUE'!$B$11</f>
        <v>55</v>
      </c>
      <c r="W5" s="72">
        <f>'GRAND MOSQUE'!$C$11+'GRAND MOSQUE'!$D$11</f>
        <v>54</v>
      </c>
      <c r="X5" s="73">
        <f>'GRAND MOSQUE'!$G$11</f>
        <v>0.98181818181818181</v>
      </c>
      <c r="Y5" s="72">
        <f>'GRAND MOSQUE'!$B$12</f>
        <v>171</v>
      </c>
      <c r="Z5" s="72">
        <f>'GRAND MOSQUE'!$C$12+'GRAND MOSQUE'!$D$12</f>
        <v>121</v>
      </c>
      <c r="AA5" s="73">
        <f>'GRAND MOSQUE'!$G$12</f>
        <v>0.70760233918128657</v>
      </c>
      <c r="AB5" s="72">
        <f>'GRAND MOSQUE'!$B$13</f>
        <v>0</v>
      </c>
      <c r="AC5" s="72">
        <f>'GRAND MOSQUE'!$C$13+'GRAND MOSQUE'!$D$13</f>
        <v>0</v>
      </c>
      <c r="AD5" s="73" t="str">
        <f>'GRAND MOSQUE'!$G$13</f>
        <v>0</v>
      </c>
      <c r="AE5" s="72">
        <f>'GRAND MOSQUE'!$B$14</f>
        <v>853</v>
      </c>
      <c r="AF5" s="72">
        <f>'GRAND MOSQUE'!$C$14+'GRAND MOSQUE'!$D$14</f>
        <v>613</v>
      </c>
      <c r="AG5" s="74">
        <f>'GRAND MOSQUE'!$G$14</f>
        <v>0.7186400937866354</v>
      </c>
      <c r="AH5" s="75">
        <f>'GRAND MOSQUE'!$B$17</f>
        <v>13</v>
      </c>
      <c r="AI5" s="75">
        <f>'GRAND MOSQUE'!$D$17</f>
        <v>3</v>
      </c>
      <c r="AJ5" s="75">
        <f>'GRAND MOSQUE'!$E$17</f>
        <v>0</v>
      </c>
      <c r="AK5" s="75">
        <f>'GRAND MOSQUE'!$B$18</f>
        <v>34</v>
      </c>
      <c r="AL5" s="75">
        <f>'GRAND MOSQUE'!$D$18</f>
        <v>23</v>
      </c>
      <c r="AM5" s="76">
        <f>'GRAND MOSQUE'!$F$18</f>
        <v>0.67647058823529416</v>
      </c>
      <c r="AN5" s="72">
        <f>'GRAND MOSQUE'!$E$18</f>
        <v>3</v>
      </c>
      <c r="AO5" s="77">
        <f>'GRAND MOSQUE'!$G$18</f>
        <v>0.13043478260869565</v>
      </c>
      <c r="AP5" s="72">
        <f>'GRAND MOSQUE'!$B$26</f>
        <v>1171</v>
      </c>
      <c r="AQ5" s="77">
        <f>'GRAND MOSQUE'!$I$18</f>
        <v>2.9035012809564473E-2</v>
      </c>
      <c r="AR5" s="78">
        <f>'GRAND MOSQUE'!$B$21</f>
        <v>20</v>
      </c>
      <c r="AS5" s="72">
        <f>'GRAND MOSQUE'!$C$21</f>
        <v>12</v>
      </c>
      <c r="AT5" s="72">
        <f>'GRAND MOSQUE'!$D$21</f>
        <v>12</v>
      </c>
      <c r="AU5" s="78">
        <f>'GRAND MOSQUE'!$B$22</f>
        <v>114</v>
      </c>
      <c r="AV5" s="72">
        <f>'GRAND MOSQUE'!$C$22</f>
        <v>94</v>
      </c>
      <c r="AW5" s="77">
        <f>'GRAND MOSQUE'!$E$22</f>
        <v>0.82456140350877194</v>
      </c>
      <c r="AX5" s="72">
        <f>'GRAND MOSQUE'!$D$22</f>
        <v>81</v>
      </c>
      <c r="AY5" s="77">
        <f>'GRAND MOSQUE'!$F$22</f>
        <v>0.86170212765957444</v>
      </c>
      <c r="AZ5" s="78">
        <f>'GRAND MOSQUE'!$B$25</f>
        <v>258</v>
      </c>
      <c r="BA5" s="72">
        <f>'GRAND MOSQUE'!$C$25</f>
        <v>158</v>
      </c>
      <c r="BB5" s="72">
        <f>'GRAND MOSQUE'!$D$25</f>
        <v>139</v>
      </c>
      <c r="BC5" s="78">
        <f>'GRAND MOSQUE'!$B$26</f>
        <v>1171</v>
      </c>
      <c r="BD5" s="72">
        <f>'GRAND MOSQUE'!$C$26</f>
        <v>1007</v>
      </c>
      <c r="BE5" s="77">
        <f>'GRAND MOSQUE'!$E$26</f>
        <v>0.85994876174210078</v>
      </c>
      <c r="BF5" s="72">
        <f>'GRAND MOSQUE'!$D$26</f>
        <v>910</v>
      </c>
      <c r="BG5" s="77">
        <f>'GRAND MOSQUE'!$F$26</f>
        <v>0.90367428003972194</v>
      </c>
      <c r="BH5" s="78">
        <f>'GRAND MOSQUE'!$B$29</f>
        <v>13</v>
      </c>
      <c r="BI5" s="72">
        <f>'GRAND MOSQUE'!$C$29</f>
        <v>4</v>
      </c>
      <c r="BJ5" s="72">
        <f>'GRAND MOSQUE'!$D$29</f>
        <v>4</v>
      </c>
      <c r="BK5" s="78">
        <f>'GRAND MOSQUE'!$B$30</f>
        <v>161</v>
      </c>
      <c r="BL5" s="72">
        <f>'GRAND MOSQUE'!$C$30</f>
        <v>140</v>
      </c>
      <c r="BM5" s="77">
        <f>'GRAND MOSQUE'!$E$30</f>
        <v>0.86956521739130432</v>
      </c>
      <c r="BN5" s="72">
        <f>'GRAND MOSQUE'!$D$30</f>
        <v>140</v>
      </c>
      <c r="BO5" s="77">
        <f>'GRAND MOSQUE'!$F$30</f>
        <v>1</v>
      </c>
      <c r="BP5" s="72">
        <f>'GRAND MOSQUE'!$B$33</f>
        <v>0</v>
      </c>
      <c r="BQ5" s="72">
        <f>'GRAND MOSQUE'!$C$33</f>
        <v>0</v>
      </c>
      <c r="BR5" s="72">
        <f>'GRAND MOSQUE'!$B$34</f>
        <v>6</v>
      </c>
      <c r="BS5" s="72">
        <f>'GRAND MOSQUE'!$C$34</f>
        <v>1</v>
      </c>
      <c r="BT5" s="77">
        <f>'GRAND MOSQUE'!$D$34</f>
        <v>0.16666666666666666</v>
      </c>
      <c r="BU5" s="72">
        <f>'GRAND MOSQUE'!$B$37</f>
        <v>0</v>
      </c>
      <c r="BV5" s="72">
        <f>'GRAND MOSQUE'!$D$37</f>
        <v>0</v>
      </c>
      <c r="BW5" s="72">
        <f>'GRAND MOSQUE'!$B$38</f>
        <v>0</v>
      </c>
      <c r="BX5" s="72">
        <f>'GRAND MOSQUE'!$D$38</f>
        <v>0</v>
      </c>
      <c r="BY5" s="77" t="str">
        <f>'GRAND MOSQUE'!$E$38</f>
        <v>NA</v>
      </c>
      <c r="BZ5" s="72">
        <f>'GRAND MOSQUE'!$B$46</f>
        <v>17</v>
      </c>
      <c r="CA5" s="72">
        <f>'GRAND MOSQUE'!$C$46</f>
        <v>17</v>
      </c>
      <c r="CB5" s="72">
        <f>'GRAND MOSQUE'!$D$46</f>
        <v>0</v>
      </c>
      <c r="CC5" s="72">
        <f>'GRAND MOSQUE'!$B$54</f>
        <v>12</v>
      </c>
      <c r="CD5" s="72">
        <f>'GRAND MOSQUE'!$D$54</f>
        <v>11</v>
      </c>
      <c r="CE5" s="72">
        <f>'GRAND MOSQUE'!$D$54</f>
        <v>11</v>
      </c>
      <c r="CF5" s="72">
        <f>'GRAND MOSQUE'!$B$57+'GRAND MOSQUE'!$B$60</f>
        <v>4</v>
      </c>
      <c r="CG5" s="72">
        <f>'GRAND MOSQUE'!$C$57+'GRAND MOSQUE'!$C$60</f>
        <v>4</v>
      </c>
      <c r="CH5" s="79">
        <f>'GRAND MOSQUE'!$B$62</f>
        <v>38</v>
      </c>
      <c r="CI5" s="79">
        <f>'GRAND MOSQUE'!$C$62</f>
        <v>38</v>
      </c>
      <c r="CJ5" s="77">
        <f>'GRAND MOSQUE'!$D$62</f>
        <v>1</v>
      </c>
      <c r="CK5" s="72">
        <f>'GRAND MOSQUE'!$B$65+'GRAND MOSQUE'!$B$68</f>
        <v>4</v>
      </c>
      <c r="CL5" s="72">
        <f>'GRAND MOSQUE'!$C$65+'GRAND MOSQUE'!$C$68</f>
        <v>4</v>
      </c>
      <c r="CM5" s="79">
        <f>'GRAND MOSQUE'!$B$70</f>
        <v>27</v>
      </c>
      <c r="CN5" s="79">
        <f>'GRAND MOSQUE'!$C$70</f>
        <v>27</v>
      </c>
      <c r="CO5" s="77">
        <f>'GRAND MOSQUE'!$D$70</f>
        <v>1</v>
      </c>
      <c r="CP5" s="80">
        <f>'GRAND MOSQUE'!$H$7</f>
        <v>0</v>
      </c>
      <c r="CQ5" s="80">
        <f>'GRAND MOSQUE'!$H$8</f>
        <v>0</v>
      </c>
      <c r="CR5" s="80">
        <f>'GRAND MOSQUE'!$H$9</f>
        <v>0</v>
      </c>
      <c r="CS5" s="80">
        <f>'GRAND MOSQUE'!$H$10</f>
        <v>0</v>
      </c>
      <c r="CT5" s="80">
        <f>'GRAND MOSQUE'!$H$11</f>
        <v>0</v>
      </c>
      <c r="CU5" s="80">
        <f>'GRAND MOSQUE'!$H$12</f>
        <v>0</v>
      </c>
      <c r="CV5" s="80">
        <f>'GRAND MOSQUE'!$H$13</f>
        <v>0</v>
      </c>
      <c r="CW5" s="80">
        <f>'GRAND MOSQUE'!$H$14</f>
        <v>0</v>
      </c>
      <c r="CX5" s="80">
        <f>'GRAND MOSQUE'!$K$17</f>
        <v>0</v>
      </c>
      <c r="CY5" s="80">
        <f>'GRAND MOSQUE'!$K$18</f>
        <v>0</v>
      </c>
      <c r="CZ5" s="80">
        <f>'GRAND MOSQUE'!$G$21</f>
        <v>0</v>
      </c>
      <c r="DA5" s="80">
        <f>'GRAND MOSQUE'!$G$22</f>
        <v>0</v>
      </c>
      <c r="DB5" s="80">
        <f>'GRAND MOSQUE'!$G$25</f>
        <v>0</v>
      </c>
      <c r="DC5" s="80">
        <f>'GRAND MOSQUE'!$G$26</f>
        <v>0</v>
      </c>
      <c r="DD5" s="80">
        <f>'GRAND MOSQUE'!$H$29</f>
        <v>0</v>
      </c>
      <c r="DE5" s="80">
        <f>'GRAND MOSQUE'!$H$30</f>
        <v>0</v>
      </c>
      <c r="DF5" s="80">
        <f>'GRAND MOSQUE'!$E$33</f>
        <v>0</v>
      </c>
      <c r="DG5" s="80">
        <f>'GRAND MOSQUE'!$E$34</f>
        <v>0</v>
      </c>
      <c r="DH5" s="80">
        <f>'GRAND MOSQUE'!$F$37</f>
        <v>0</v>
      </c>
      <c r="DI5" s="80">
        <f>'GRAND MOSQUE'!$F$38</f>
        <v>0</v>
      </c>
    </row>
    <row r="6" spans="1:586" s="68" customFormat="1" ht="105">
      <c r="A6" s="70">
        <v>2</v>
      </c>
      <c r="B6" s="6" t="s">
        <v>167</v>
      </c>
      <c r="C6" s="6" t="s">
        <v>173</v>
      </c>
      <c r="D6" s="95" t="s">
        <v>171</v>
      </c>
      <c r="E6" s="72" t="str">
        <f>'OPERA HOUSE '!$B$3</f>
        <v>Royal Diriyah Opera House</v>
      </c>
      <c r="F6" s="95" t="s">
        <v>170</v>
      </c>
      <c r="G6" s="95" t="str">
        <f>'OPERA HOUSE '!D4</f>
        <v>Snohetta/ Saudi Diyar</v>
      </c>
      <c r="H6" s="95" t="str">
        <f>'OPERA HOUSE '!F4</f>
        <v>ECM JV</v>
      </c>
      <c r="I6" s="71" t="s">
        <v>166</v>
      </c>
      <c r="J6" s="72">
        <f>'OPERA HOUSE '!$B$7</f>
        <v>1</v>
      </c>
      <c r="K6" s="72">
        <f>'OPERA HOUSE '!$C$7+'OPERA HOUSE '!$D$7</f>
        <v>1</v>
      </c>
      <c r="L6" s="73">
        <f>'OPERA HOUSE '!$G$7</f>
        <v>1</v>
      </c>
      <c r="M6" s="72">
        <f>'OPERA HOUSE '!$B$8</f>
        <v>1</v>
      </c>
      <c r="N6" s="72">
        <f>'OPERA HOUSE '!$C$8+'OPERA HOUSE '!$D$8</f>
        <v>1</v>
      </c>
      <c r="O6" s="73">
        <f>'OPERA HOUSE '!$G$8</f>
        <v>1</v>
      </c>
      <c r="P6" s="72">
        <f>'OPERA HOUSE '!$B$9</f>
        <v>11</v>
      </c>
      <c r="Q6" s="72">
        <f>'OPERA HOUSE '!$C$9+'OPERA HOUSE '!$D$9</f>
        <v>11</v>
      </c>
      <c r="R6" s="73">
        <f>'OPERA HOUSE '!$G$9</f>
        <v>1</v>
      </c>
      <c r="S6" s="72">
        <f>'OPERA HOUSE '!$B$10</f>
        <v>78</v>
      </c>
      <c r="T6" s="72">
        <f>'OPERA HOUSE '!$C$10+'OPERA HOUSE '!$D$10</f>
        <v>60</v>
      </c>
      <c r="U6" s="73">
        <f>'OPERA HOUSE '!$G$10</f>
        <v>0.76923076923076927</v>
      </c>
      <c r="V6" s="72">
        <f>'OPERA HOUSE '!$B$11</f>
        <v>47</v>
      </c>
      <c r="W6" s="72">
        <f>'OPERA HOUSE '!$C$11+'OPERA HOUSE '!$D$11</f>
        <v>36</v>
      </c>
      <c r="X6" s="73">
        <f>'OPERA HOUSE '!$G$11</f>
        <v>0.76595744680851063</v>
      </c>
      <c r="Y6" s="72">
        <f>'OPERA HOUSE '!$B$12</f>
        <v>264</v>
      </c>
      <c r="Z6" s="72">
        <f>'OPERA HOUSE '!$C$12+'OPERA HOUSE '!$D$12</f>
        <v>163</v>
      </c>
      <c r="AA6" s="73">
        <f>'OPERA HOUSE '!$G$12</f>
        <v>0.61742424242424243</v>
      </c>
      <c r="AB6" s="72">
        <f>'OPERA HOUSE '!$B$13</f>
        <v>0</v>
      </c>
      <c r="AC6" s="72">
        <f>'OPERA HOUSE '!$C$13+'OPERA HOUSE '!$D$13</f>
        <v>0</v>
      </c>
      <c r="AD6" s="73" t="str">
        <f>'OPERA HOUSE '!$G$13</f>
        <v>0</v>
      </c>
      <c r="AE6" s="72">
        <f>'OPERA HOUSE '!$B$14</f>
        <v>7990</v>
      </c>
      <c r="AF6" s="72">
        <f>'OPERA HOUSE '!$C$14+'OPERA HOUSE '!$D$14</f>
        <v>6538</v>
      </c>
      <c r="AG6" s="74">
        <f>'OPERA HOUSE '!$G$14</f>
        <v>0.81827284105131415</v>
      </c>
      <c r="AH6" s="75">
        <f>'OPERA HOUSE '!$B$17</f>
        <v>10</v>
      </c>
      <c r="AI6" s="75">
        <f>'OPERA HOUSE '!$D$17</f>
        <v>1</v>
      </c>
      <c r="AJ6" s="75">
        <f>'OPERA HOUSE '!$E$17</f>
        <v>0</v>
      </c>
      <c r="AK6" s="75">
        <f>'OPERA HOUSE '!$B$18</f>
        <v>41</v>
      </c>
      <c r="AL6" s="75">
        <f>'OPERA HOUSE '!$D$18</f>
        <v>21</v>
      </c>
      <c r="AM6" s="76">
        <f>'OPERA HOUSE '!$F$18</f>
        <v>0.51219512195121952</v>
      </c>
      <c r="AN6" s="72">
        <f>'OPERA HOUSE '!$E$18</f>
        <v>18</v>
      </c>
      <c r="AO6" s="77">
        <f>'OPERA HOUSE '!$G$18</f>
        <v>0.5625</v>
      </c>
      <c r="AP6" s="72">
        <f>'OPERA HOUSE '!$B$26</f>
        <v>6315</v>
      </c>
      <c r="AQ6" s="77">
        <f>'OPERA HOUSE '!$I$18</f>
        <v>6.4924782264449725E-3</v>
      </c>
      <c r="AR6" s="78">
        <f>'OPERA HOUSE '!$B$21</f>
        <v>66</v>
      </c>
      <c r="AS6" s="72">
        <f>'OPERA HOUSE '!$C$21</f>
        <v>54</v>
      </c>
      <c r="AT6" s="72">
        <f>'OPERA HOUSE '!$D$21</f>
        <v>50</v>
      </c>
      <c r="AU6" s="78">
        <f>'OPERA HOUSE '!$B$22</f>
        <v>385</v>
      </c>
      <c r="AV6" s="72">
        <f>'OPERA HOUSE '!$C$22</f>
        <v>365</v>
      </c>
      <c r="AW6" s="77">
        <f>'OPERA HOUSE '!$E$22</f>
        <v>0.94805194805194803</v>
      </c>
      <c r="AX6" s="72">
        <f>'OPERA HOUSE '!$D$22</f>
        <v>315</v>
      </c>
      <c r="AY6" s="77">
        <f>'OPERA HOUSE '!$F$22</f>
        <v>0.86301369863013699</v>
      </c>
      <c r="AZ6" s="78">
        <f>'OPERA HOUSE '!$B$25</f>
        <v>701</v>
      </c>
      <c r="BA6" s="72">
        <f>'OPERA HOUSE '!$C$25</f>
        <v>605</v>
      </c>
      <c r="BB6" s="72">
        <f>'OPERA HOUSE '!$D$25</f>
        <v>550</v>
      </c>
      <c r="BC6" s="78">
        <f>'OPERA HOUSE '!$B$26</f>
        <v>6315</v>
      </c>
      <c r="BD6" s="72">
        <f>'OPERA HOUSE '!$C$26</f>
        <v>6051</v>
      </c>
      <c r="BE6" s="77">
        <f>'OPERA HOUSE '!$E$26</f>
        <v>0.95819477434679334</v>
      </c>
      <c r="BF6" s="72">
        <f>'OPERA HOUSE '!$D$26</f>
        <v>5218</v>
      </c>
      <c r="BG6" s="77">
        <f>'OPERA HOUSE '!$F$26</f>
        <v>0.86233680383407696</v>
      </c>
      <c r="BH6" s="78">
        <f>'OPERA HOUSE '!$B$29</f>
        <v>119</v>
      </c>
      <c r="BI6" s="72">
        <f>'OPERA HOUSE '!$C$29</f>
        <v>93</v>
      </c>
      <c r="BJ6" s="72">
        <f>'OPERA HOUSE '!$D$29</f>
        <v>66</v>
      </c>
      <c r="BK6" s="78">
        <f>'OPERA HOUSE '!$B$30</f>
        <v>1320</v>
      </c>
      <c r="BL6" s="72">
        <f>'OPERA HOUSE '!$C$30</f>
        <v>1294</v>
      </c>
      <c r="BM6" s="77">
        <f>'OPERA HOUSE '!$E$30</f>
        <v>0.98030303030303034</v>
      </c>
      <c r="BN6" s="72">
        <f>'OPERA HOUSE '!$D$30</f>
        <v>882</v>
      </c>
      <c r="BO6" s="77">
        <f>'OPERA HOUSE '!$F$30</f>
        <v>0.68108108108108112</v>
      </c>
      <c r="BP6" s="72">
        <f>'OPERA HOUSE '!$B$33</f>
        <v>1</v>
      </c>
      <c r="BQ6" s="72">
        <f>'OPERA HOUSE '!$C$33</f>
        <v>1</v>
      </c>
      <c r="BR6" s="72">
        <f>'OPERA HOUSE '!$B$34</f>
        <v>1</v>
      </c>
      <c r="BS6" s="72">
        <f>'OPERA HOUSE '!$C$34</f>
        <v>1</v>
      </c>
      <c r="BT6" s="77">
        <f>'OPERA HOUSE '!$D$34</f>
        <v>1</v>
      </c>
      <c r="BU6" s="72">
        <f>'OPERA HOUSE '!$B$37</f>
        <v>0</v>
      </c>
      <c r="BV6" s="72">
        <f>'OPERA HOUSE '!$D$37</f>
        <v>0</v>
      </c>
      <c r="BW6" s="72">
        <f>'OPERA HOUSE '!$B$38</f>
        <v>0</v>
      </c>
      <c r="BX6" s="72">
        <f>'OPERA HOUSE '!$D$38</f>
        <v>0</v>
      </c>
      <c r="BY6" s="77" t="str">
        <f>'OPERA HOUSE '!$E$38</f>
        <v>NA</v>
      </c>
      <c r="BZ6" s="72">
        <f>'OPERA HOUSE '!$B$46</f>
        <v>3</v>
      </c>
      <c r="CA6" s="72">
        <f>'OPERA HOUSE '!$C$46</f>
        <v>3</v>
      </c>
      <c r="CB6" s="72">
        <f>'OPERA HOUSE '!$D$46</f>
        <v>1</v>
      </c>
      <c r="CC6" s="72">
        <f>'OPERA HOUSE '!$B$54</f>
        <v>2</v>
      </c>
      <c r="CD6" s="72">
        <f>'OPERA HOUSE '!$D$54</f>
        <v>100</v>
      </c>
      <c r="CE6" s="72">
        <f>'OPERA HOUSE '!$D$54</f>
        <v>100</v>
      </c>
      <c r="CF6" s="72">
        <f>'OPERA HOUSE '!$B$57+'OPERA HOUSE '!$B$60</f>
        <v>5</v>
      </c>
      <c r="CG6" s="72">
        <f>'OPERA HOUSE '!$C$57+'OPERA HOUSE '!$C$60</f>
        <v>5</v>
      </c>
      <c r="CH6" s="79">
        <f>'OPERA HOUSE '!$B$62</f>
        <v>49</v>
      </c>
      <c r="CI6" s="79">
        <f>'OPERA HOUSE '!$C$62</f>
        <v>49</v>
      </c>
      <c r="CJ6" s="77">
        <f>'OPERA HOUSE '!$D$62</f>
        <v>1</v>
      </c>
      <c r="CK6" s="72">
        <f>'OPERA HOUSE '!$B$65+'OPERA HOUSE '!$B$68</f>
        <v>5</v>
      </c>
      <c r="CL6" s="72">
        <f>'OPERA HOUSE '!$C$65+'OPERA HOUSE '!$C$68</f>
        <v>5</v>
      </c>
      <c r="CM6" s="79">
        <f>'OPERA HOUSE '!$B$70</f>
        <v>49</v>
      </c>
      <c r="CN6" s="79">
        <f>'OPERA HOUSE '!$C$70</f>
        <v>49</v>
      </c>
      <c r="CO6" s="77">
        <f>'OPERA HOUSE '!$D$70</f>
        <v>1</v>
      </c>
      <c r="CP6" s="80">
        <f>'OPERA HOUSE '!$H$7</f>
        <v>0</v>
      </c>
      <c r="CQ6" s="80">
        <f>'OPERA HOUSE '!$H$8</f>
        <v>0</v>
      </c>
      <c r="CR6" s="80">
        <f>'OPERA HOUSE '!$H$9</f>
        <v>0</v>
      </c>
      <c r="CS6" s="80" t="str">
        <f>'OPERA HOUSE '!$H$10</f>
        <v>The Process/ procedure's of Installation are either Incompete / Inaccurate</v>
      </c>
      <c r="CT6" s="80" t="str">
        <f>'OPERA HOUSE '!$H$11</f>
        <v xml:space="preserve">The Inspection Hold points requires update  </v>
      </c>
      <c r="CU6" s="80" t="str">
        <f>'OPERA HOUSE '!$H$12</f>
        <v xml:space="preserve">The MAR's submitted by Sub-Contractors are not Reviewed </v>
      </c>
      <c r="CV6" s="80">
        <f>'OPERA HOUSE '!$H$13</f>
        <v>0</v>
      </c>
      <c r="CW6" s="80" t="str">
        <f>'OPERA HOUSE '!$H$14</f>
        <v xml:space="preserve">The Shop Drawings require detailed review by ECM Teams </v>
      </c>
      <c r="CX6" s="80">
        <f>'OPERA HOUSE '!$K$17</f>
        <v>0</v>
      </c>
      <c r="CY6" s="80" t="str">
        <f>'OPERA HOUSE '!$K$18</f>
        <v>Delayed CAPA &amp; Correction by ECM JV</v>
      </c>
      <c r="CZ6" s="80">
        <f>'OPERA HOUSE '!$G$21</f>
        <v>0</v>
      </c>
      <c r="DA6" s="80">
        <f>'OPERA HOUSE '!$G$22</f>
        <v>0</v>
      </c>
      <c r="DB6" s="80">
        <f>'OPERA HOUSE '!$G$25</f>
        <v>0</v>
      </c>
      <c r="DC6" s="80">
        <f>'OPERA HOUSE '!$G$26</f>
        <v>0</v>
      </c>
      <c r="DD6" s="80">
        <f>'OPERA HOUSE '!$H$29</f>
        <v>0</v>
      </c>
      <c r="DE6" s="80">
        <f>'OPERA HOUSE '!$H$30</f>
        <v>0</v>
      </c>
      <c r="DF6" s="80" t="str">
        <f>'OPERA HOUSE '!$E$33</f>
        <v xml:space="preserve">Pending Audit Findings </v>
      </c>
      <c r="DG6" s="80">
        <f>'OPERA HOUSE '!$E$34</f>
        <v>0</v>
      </c>
      <c r="DH6" s="80">
        <f>'OPERA HOUSE '!$F$37</f>
        <v>0</v>
      </c>
      <c r="DI6" s="80">
        <f>'OPERA HOUSE '!$F$38</f>
        <v>0</v>
      </c>
    </row>
    <row r="7" spans="1:586" s="68" customFormat="1" ht="15">
      <c r="A7" s="70">
        <v>3</v>
      </c>
      <c r="B7" s="6" t="s">
        <v>167</v>
      </c>
      <c r="C7" s="6" t="s">
        <v>173</v>
      </c>
      <c r="D7" s="95" t="s">
        <v>171</v>
      </c>
      <c r="E7" s="72" t="e">
        <f>#REF!</f>
        <v>#REF!</v>
      </c>
      <c r="F7" s="95" t="s">
        <v>177</v>
      </c>
      <c r="G7" s="95" t="e">
        <f>#REF!</f>
        <v>#REF!</v>
      </c>
      <c r="H7" s="95" t="e">
        <f>#REF!</f>
        <v>#REF!</v>
      </c>
      <c r="I7" s="71" t="s">
        <v>166</v>
      </c>
      <c r="J7" s="72" t="e">
        <f>#REF!</f>
        <v>#REF!</v>
      </c>
      <c r="K7" s="72" t="e">
        <f>#REF!+#REF!</f>
        <v>#REF!</v>
      </c>
      <c r="L7" s="73" t="e">
        <f>#REF!</f>
        <v>#REF!</v>
      </c>
      <c r="M7" s="72" t="e">
        <f>#REF!</f>
        <v>#REF!</v>
      </c>
      <c r="N7" s="72" t="e">
        <f>#REF!+#REF!</f>
        <v>#REF!</v>
      </c>
      <c r="O7" s="73" t="e">
        <f>#REF!</f>
        <v>#REF!</v>
      </c>
      <c r="P7" s="72" t="e">
        <f>#REF!</f>
        <v>#REF!</v>
      </c>
      <c r="Q7" s="72" t="e">
        <f>#REF!+#REF!</f>
        <v>#REF!</v>
      </c>
      <c r="R7" s="73" t="e">
        <f>#REF!</f>
        <v>#REF!</v>
      </c>
      <c r="S7" s="72" t="e">
        <f>#REF!</f>
        <v>#REF!</v>
      </c>
      <c r="T7" s="72" t="e">
        <f>#REF!+#REF!</f>
        <v>#REF!</v>
      </c>
      <c r="U7" s="73" t="e">
        <f>#REF!</f>
        <v>#REF!</v>
      </c>
      <c r="V7" s="72" t="e">
        <f>#REF!</f>
        <v>#REF!</v>
      </c>
      <c r="W7" s="72" t="e">
        <f>#REF!+#REF!</f>
        <v>#REF!</v>
      </c>
      <c r="X7" s="73" t="e">
        <f>#REF!</f>
        <v>#REF!</v>
      </c>
      <c r="Y7" s="72" t="e">
        <f>#REF!</f>
        <v>#REF!</v>
      </c>
      <c r="Z7" s="72" t="e">
        <f>#REF!+#REF!</f>
        <v>#REF!</v>
      </c>
      <c r="AA7" s="73" t="e">
        <f>#REF!</f>
        <v>#REF!</v>
      </c>
      <c r="AB7" s="72" t="e">
        <f>#REF!</f>
        <v>#REF!</v>
      </c>
      <c r="AC7" s="72" t="e">
        <f>#REF!+#REF!</f>
        <v>#REF!</v>
      </c>
      <c r="AD7" s="73" t="e">
        <f>#REF!</f>
        <v>#REF!</v>
      </c>
      <c r="AE7" s="72" t="e">
        <f>#REF!</f>
        <v>#REF!</v>
      </c>
      <c r="AF7" s="72" t="e">
        <f>#REF!+#REF!</f>
        <v>#REF!</v>
      </c>
      <c r="AG7" s="74" t="e">
        <f>#REF!</f>
        <v>#REF!</v>
      </c>
      <c r="AH7" s="75" t="e">
        <f>#REF!</f>
        <v>#REF!</v>
      </c>
      <c r="AI7" s="75" t="e">
        <f>#REF!</f>
        <v>#REF!</v>
      </c>
      <c r="AJ7" s="75" t="e">
        <f>#REF!</f>
        <v>#REF!</v>
      </c>
      <c r="AK7" s="75" t="e">
        <f>#REF!</f>
        <v>#REF!</v>
      </c>
      <c r="AL7" s="75" t="e">
        <f>#REF!</f>
        <v>#REF!</v>
      </c>
      <c r="AM7" s="76" t="e">
        <f>#REF!</f>
        <v>#REF!</v>
      </c>
      <c r="AN7" s="72" t="e">
        <f>#REF!</f>
        <v>#REF!</v>
      </c>
      <c r="AO7" s="77" t="e">
        <f>#REF!</f>
        <v>#REF!</v>
      </c>
      <c r="AP7" s="72" t="e">
        <f>#REF!</f>
        <v>#REF!</v>
      </c>
      <c r="AQ7" s="77" t="e">
        <f>#REF!</f>
        <v>#REF!</v>
      </c>
      <c r="AR7" s="78" t="e">
        <f>#REF!</f>
        <v>#REF!</v>
      </c>
      <c r="AS7" s="72" t="e">
        <f>#REF!</f>
        <v>#REF!</v>
      </c>
      <c r="AT7" s="72" t="e">
        <f>#REF!</f>
        <v>#REF!</v>
      </c>
      <c r="AU7" s="78" t="e">
        <f>#REF!</f>
        <v>#REF!</v>
      </c>
      <c r="AV7" s="72" t="e">
        <f>#REF!</f>
        <v>#REF!</v>
      </c>
      <c r="AW7" s="77" t="e">
        <f>#REF!</f>
        <v>#REF!</v>
      </c>
      <c r="AX7" s="72" t="e">
        <f>#REF!</f>
        <v>#REF!</v>
      </c>
      <c r="AY7" s="77" t="e">
        <f>#REF!</f>
        <v>#REF!</v>
      </c>
      <c r="AZ7" s="78" t="e">
        <f>#REF!</f>
        <v>#REF!</v>
      </c>
      <c r="BA7" s="72" t="e">
        <f>#REF!</f>
        <v>#REF!</v>
      </c>
      <c r="BB7" s="72" t="e">
        <f>#REF!</f>
        <v>#REF!</v>
      </c>
      <c r="BC7" s="78" t="e">
        <f>#REF!</f>
        <v>#REF!</v>
      </c>
      <c r="BD7" s="72" t="e">
        <f>#REF!</f>
        <v>#REF!</v>
      </c>
      <c r="BE7" s="77" t="e">
        <f>#REF!</f>
        <v>#REF!</v>
      </c>
      <c r="BF7" s="72" t="e">
        <f>#REF!</f>
        <v>#REF!</v>
      </c>
      <c r="BG7" s="77" t="e">
        <f>#REF!</f>
        <v>#REF!</v>
      </c>
      <c r="BH7" s="78" t="e">
        <f>#REF!</f>
        <v>#REF!</v>
      </c>
      <c r="BI7" s="72" t="e">
        <f>#REF!</f>
        <v>#REF!</v>
      </c>
      <c r="BJ7" s="72" t="e">
        <f>#REF!</f>
        <v>#REF!</v>
      </c>
      <c r="BK7" s="78" t="e">
        <f>#REF!</f>
        <v>#REF!</v>
      </c>
      <c r="BL7" s="72" t="e">
        <f>#REF!</f>
        <v>#REF!</v>
      </c>
      <c r="BM7" s="77" t="e">
        <f>#REF!</f>
        <v>#REF!</v>
      </c>
      <c r="BN7" s="72" t="e">
        <f>#REF!</f>
        <v>#REF!</v>
      </c>
      <c r="BO7" s="77" t="e">
        <f>#REF!</f>
        <v>#REF!</v>
      </c>
      <c r="BP7" s="72" t="e">
        <f>#REF!</f>
        <v>#REF!</v>
      </c>
      <c r="BQ7" s="72" t="e">
        <f>#REF!</f>
        <v>#REF!</v>
      </c>
      <c r="BR7" s="72" t="e">
        <f>#REF!</f>
        <v>#REF!</v>
      </c>
      <c r="BS7" s="72" t="e">
        <f>#REF!</f>
        <v>#REF!</v>
      </c>
      <c r="BT7" s="77" t="e">
        <f>#REF!</f>
        <v>#REF!</v>
      </c>
      <c r="BU7" s="72" t="e">
        <f>#REF!</f>
        <v>#REF!</v>
      </c>
      <c r="BV7" s="72" t="e">
        <f>#REF!</f>
        <v>#REF!</v>
      </c>
      <c r="BW7" s="72" t="e">
        <f>#REF!</f>
        <v>#REF!</v>
      </c>
      <c r="BX7" s="72" t="e">
        <f>#REF!</f>
        <v>#REF!</v>
      </c>
      <c r="BY7" s="77" t="e">
        <f>#REF!</f>
        <v>#REF!</v>
      </c>
      <c r="BZ7" s="72" t="e">
        <f>#REF!</f>
        <v>#REF!</v>
      </c>
      <c r="CA7" s="72" t="e">
        <f>#REF!</f>
        <v>#REF!</v>
      </c>
      <c r="CB7" s="72" t="e">
        <f>#REF!</f>
        <v>#REF!</v>
      </c>
      <c r="CC7" s="72" t="e">
        <f>#REF!</f>
        <v>#REF!</v>
      </c>
      <c r="CD7" s="72" t="e">
        <f>#REF!</f>
        <v>#REF!</v>
      </c>
      <c r="CE7" s="72" t="e">
        <f>#REF!</f>
        <v>#REF!</v>
      </c>
      <c r="CF7" s="72" t="e">
        <f>#REF!+#REF!</f>
        <v>#REF!</v>
      </c>
      <c r="CG7" s="72" t="e">
        <f>#REF!+#REF!</f>
        <v>#REF!</v>
      </c>
      <c r="CH7" s="79" t="e">
        <f>#REF!</f>
        <v>#REF!</v>
      </c>
      <c r="CI7" s="79" t="e">
        <f>#REF!</f>
        <v>#REF!</v>
      </c>
      <c r="CJ7" s="77" t="e">
        <f>#REF!</f>
        <v>#REF!</v>
      </c>
      <c r="CK7" s="72" t="e">
        <f>#REF!+#REF!</f>
        <v>#REF!</v>
      </c>
      <c r="CL7" s="72" t="e">
        <f>#REF!+#REF!</f>
        <v>#REF!</v>
      </c>
      <c r="CM7" s="79" t="e">
        <f>#REF!</f>
        <v>#REF!</v>
      </c>
      <c r="CN7" s="79" t="e">
        <f>#REF!</f>
        <v>#REF!</v>
      </c>
      <c r="CO7" s="77" t="e">
        <f>#REF!</f>
        <v>#REF!</v>
      </c>
      <c r="CP7" s="80" t="e">
        <f>#REF!</f>
        <v>#REF!</v>
      </c>
      <c r="CQ7" s="80" t="e">
        <f>#REF!</f>
        <v>#REF!</v>
      </c>
      <c r="CR7" s="80" t="e">
        <f>#REF!</f>
        <v>#REF!</v>
      </c>
      <c r="CS7" s="80" t="e">
        <f>#REF!</f>
        <v>#REF!</v>
      </c>
      <c r="CT7" s="80" t="e">
        <f>#REF!</f>
        <v>#REF!</v>
      </c>
      <c r="CU7" s="80" t="e">
        <f>#REF!</f>
        <v>#REF!</v>
      </c>
      <c r="CV7" s="80" t="e">
        <f>#REF!</f>
        <v>#REF!</v>
      </c>
      <c r="CW7" s="80" t="e">
        <f>#REF!</f>
        <v>#REF!</v>
      </c>
      <c r="CX7" s="80" t="e">
        <f>#REF!</f>
        <v>#REF!</v>
      </c>
      <c r="CY7" s="80" t="e">
        <f>#REF!</f>
        <v>#REF!</v>
      </c>
      <c r="CZ7" s="80" t="e">
        <f>#REF!</f>
        <v>#REF!</v>
      </c>
      <c r="DA7" s="80" t="e">
        <f>#REF!</f>
        <v>#REF!</v>
      </c>
      <c r="DB7" s="80" t="e">
        <f>#REF!</f>
        <v>#REF!</v>
      </c>
      <c r="DC7" s="80" t="e">
        <f>#REF!</f>
        <v>#REF!</v>
      </c>
      <c r="DD7" s="80" t="e">
        <f>#REF!</f>
        <v>#REF!</v>
      </c>
      <c r="DE7" s="80" t="e">
        <f>#REF!</f>
        <v>#REF!</v>
      </c>
      <c r="DF7" s="80" t="e">
        <f>#REF!</f>
        <v>#REF!</v>
      </c>
      <c r="DG7" s="80" t="e">
        <f>#REF!</f>
        <v>#REF!</v>
      </c>
      <c r="DH7" s="80" t="e">
        <f>#REF!</f>
        <v>#REF!</v>
      </c>
      <c r="DI7" s="80" t="e">
        <f>#REF!</f>
        <v>#REF!</v>
      </c>
    </row>
    <row r="8" spans="1:586" ht="30">
      <c r="A8" s="70">
        <v>4</v>
      </c>
      <c r="B8" s="6" t="s">
        <v>167</v>
      </c>
      <c r="C8" s="6" t="s">
        <v>173</v>
      </c>
      <c r="D8" s="95" t="s">
        <v>178</v>
      </c>
      <c r="E8" s="72" t="str">
        <f>'Waldorf Astoria Hotel &amp; Branded'!$B$3</f>
        <v>Waldorf Astoria Hotel &amp; Branded Residences</v>
      </c>
      <c r="F8" s="95" t="s">
        <v>176</v>
      </c>
      <c r="G8" s="95">
        <f>'Waldorf Astoria Hotel &amp; Branded'!D4</f>
        <v>0</v>
      </c>
      <c r="H8" s="95">
        <f>'Waldorf Astoria Hotel &amp; Branded'!F4</f>
        <v>0</v>
      </c>
      <c r="I8" s="71" t="s">
        <v>166</v>
      </c>
      <c r="J8" s="72">
        <f>'Waldorf Astoria Hotel &amp; Branded'!$B$7</f>
        <v>0</v>
      </c>
      <c r="K8" s="72">
        <f>'Waldorf Astoria Hotel &amp; Branded'!$C$7+'Waldorf Astoria Hotel &amp; Branded'!$D$7</f>
        <v>0</v>
      </c>
      <c r="L8" s="73" t="str">
        <f>'Waldorf Astoria Hotel &amp; Branded'!$G$7</f>
        <v>0</v>
      </c>
      <c r="M8" s="72">
        <f>'Waldorf Astoria Hotel &amp; Branded'!$B$8</f>
        <v>0</v>
      </c>
      <c r="N8" s="72">
        <f>'Waldorf Astoria Hotel &amp; Branded'!$C$8+'Waldorf Astoria Hotel &amp; Branded'!$D$8</f>
        <v>0</v>
      </c>
      <c r="O8" s="73" t="str">
        <f>'Waldorf Astoria Hotel &amp; Branded'!$G$8</f>
        <v>0</v>
      </c>
      <c r="P8" s="72">
        <f>'Waldorf Astoria Hotel &amp; Branded'!$B$9</f>
        <v>0</v>
      </c>
      <c r="Q8" s="72">
        <f>'Waldorf Astoria Hotel &amp; Branded'!$C$9+'Waldorf Astoria Hotel &amp; Branded'!$D$9</f>
        <v>0</v>
      </c>
      <c r="R8" s="73" t="str">
        <f>'Waldorf Astoria Hotel &amp; Branded'!$G$9</f>
        <v>0</v>
      </c>
      <c r="S8" s="72">
        <f>'Waldorf Astoria Hotel &amp; Branded'!$B$10</f>
        <v>0</v>
      </c>
      <c r="T8" s="72">
        <f>'Waldorf Astoria Hotel &amp; Branded'!$C$10+'Waldorf Astoria Hotel &amp; Branded'!$D$10</f>
        <v>0</v>
      </c>
      <c r="U8" s="73" t="str">
        <f>'Waldorf Astoria Hotel &amp; Branded'!$G$10</f>
        <v>0</v>
      </c>
      <c r="V8" s="72">
        <f>'Waldorf Astoria Hotel &amp; Branded'!$B$11</f>
        <v>0</v>
      </c>
      <c r="W8" s="72">
        <f>'Waldorf Astoria Hotel &amp; Branded'!$C$11+'Waldorf Astoria Hotel &amp; Branded'!$D$11</f>
        <v>0</v>
      </c>
      <c r="X8" s="73" t="str">
        <f>'Waldorf Astoria Hotel &amp; Branded'!$G$11</f>
        <v>0</v>
      </c>
      <c r="Y8" s="72">
        <f>'Waldorf Astoria Hotel &amp; Branded'!$B$12</f>
        <v>0</v>
      </c>
      <c r="Z8" s="72">
        <f>'Waldorf Astoria Hotel &amp; Branded'!$C$12+'Waldorf Astoria Hotel &amp; Branded'!$D$12</f>
        <v>0</v>
      </c>
      <c r="AA8" s="73" t="str">
        <f>'Waldorf Astoria Hotel &amp; Branded'!$G$12</f>
        <v>0</v>
      </c>
      <c r="AB8" s="72">
        <f>'Waldorf Astoria Hotel &amp; Branded'!$B$13</f>
        <v>0</v>
      </c>
      <c r="AC8" s="72">
        <f>'Waldorf Astoria Hotel &amp; Branded'!$C$13+'Waldorf Astoria Hotel &amp; Branded'!$D$13</f>
        <v>0</v>
      </c>
      <c r="AD8" s="73" t="str">
        <f>'Waldorf Astoria Hotel &amp; Branded'!$G$13</f>
        <v>0</v>
      </c>
      <c r="AE8" s="72">
        <f>'Waldorf Astoria Hotel &amp; Branded'!$B$14</f>
        <v>0</v>
      </c>
      <c r="AF8" s="72">
        <f>'Waldorf Astoria Hotel &amp; Branded'!$C$14+'Waldorf Astoria Hotel &amp; Branded'!$D$14</f>
        <v>0</v>
      </c>
      <c r="AG8" s="74" t="str">
        <f>'Waldorf Astoria Hotel &amp; Branded'!$G$14</f>
        <v>0</v>
      </c>
      <c r="AH8" s="75">
        <f>'Waldorf Astoria Hotel &amp; Branded'!$B$17</f>
        <v>0</v>
      </c>
      <c r="AI8" s="75">
        <f>'Waldorf Astoria Hotel &amp; Branded'!$D$17</f>
        <v>0</v>
      </c>
      <c r="AJ8" s="75">
        <f>'Waldorf Astoria Hotel &amp; Branded'!$E$17</f>
        <v>0</v>
      </c>
      <c r="AK8" s="75">
        <f>'Waldorf Astoria Hotel &amp; Branded'!$B$18</f>
        <v>0</v>
      </c>
      <c r="AL8" s="75">
        <f>'Waldorf Astoria Hotel &amp; Branded'!$D$18</f>
        <v>0</v>
      </c>
      <c r="AM8" s="76" t="str">
        <f>'Waldorf Astoria Hotel &amp; Branded'!$F$18</f>
        <v>NA</v>
      </c>
      <c r="AN8" s="72">
        <f>'Waldorf Astoria Hotel &amp; Branded'!$E$18</f>
        <v>0</v>
      </c>
      <c r="AO8" s="77" t="str">
        <f>'Waldorf Astoria Hotel &amp; Branded'!$G$18</f>
        <v>NA</v>
      </c>
      <c r="AP8" s="72">
        <f>'Waldorf Astoria Hotel &amp; Branded'!$B$26</f>
        <v>0</v>
      </c>
      <c r="AQ8" s="77" t="str">
        <f>'Waldorf Astoria Hotel &amp; Branded'!$I$18</f>
        <v>NA</v>
      </c>
      <c r="AR8" s="78">
        <f>'Waldorf Astoria Hotel &amp; Branded'!$B$21</f>
        <v>0</v>
      </c>
      <c r="AS8" s="72">
        <f>'Waldorf Astoria Hotel &amp; Branded'!$C$21</f>
        <v>0</v>
      </c>
      <c r="AT8" s="72">
        <f>'Waldorf Astoria Hotel &amp; Branded'!$D$21</f>
        <v>0</v>
      </c>
      <c r="AU8" s="78">
        <f>'Waldorf Astoria Hotel &amp; Branded'!$B$22</f>
        <v>0</v>
      </c>
      <c r="AV8" s="72">
        <f>'Waldorf Astoria Hotel &amp; Branded'!$C$22</f>
        <v>0</v>
      </c>
      <c r="AW8" s="77" t="str">
        <f>'Waldorf Astoria Hotel &amp; Branded'!$E$22</f>
        <v>NA</v>
      </c>
      <c r="AX8" s="72">
        <f>'Waldorf Astoria Hotel &amp; Branded'!$D$22</f>
        <v>0</v>
      </c>
      <c r="AY8" s="77" t="str">
        <f>'Waldorf Astoria Hotel &amp; Branded'!$F$22</f>
        <v>NA</v>
      </c>
      <c r="AZ8" s="78">
        <f>'Waldorf Astoria Hotel &amp; Branded'!$B$25</f>
        <v>0</v>
      </c>
      <c r="BA8" s="72">
        <f>'Waldorf Astoria Hotel &amp; Branded'!$C$25</f>
        <v>0</v>
      </c>
      <c r="BB8" s="72">
        <f>'Waldorf Astoria Hotel &amp; Branded'!$D$25</f>
        <v>0</v>
      </c>
      <c r="BC8" s="78">
        <f>'Waldorf Astoria Hotel &amp; Branded'!$B$26</f>
        <v>0</v>
      </c>
      <c r="BD8" s="72">
        <f>'Waldorf Astoria Hotel &amp; Branded'!$C$26</f>
        <v>0</v>
      </c>
      <c r="BE8" s="77" t="str">
        <f>'Waldorf Astoria Hotel &amp; Branded'!$E$26</f>
        <v>NA</v>
      </c>
      <c r="BF8" s="72">
        <f>'Waldorf Astoria Hotel &amp; Branded'!$D$26</f>
        <v>0</v>
      </c>
      <c r="BG8" s="77" t="str">
        <f>'Waldorf Astoria Hotel &amp; Branded'!$F$26</f>
        <v>NA</v>
      </c>
      <c r="BH8" s="78">
        <f>'Waldorf Astoria Hotel &amp; Branded'!$B$29</f>
        <v>0</v>
      </c>
      <c r="BI8" s="72">
        <f>'Waldorf Astoria Hotel &amp; Branded'!$C$29</f>
        <v>0</v>
      </c>
      <c r="BJ8" s="72">
        <f>'Waldorf Astoria Hotel &amp; Branded'!$D$29</f>
        <v>0</v>
      </c>
      <c r="BK8" s="78">
        <f>'Waldorf Astoria Hotel &amp; Branded'!$B$30</f>
        <v>0</v>
      </c>
      <c r="BL8" s="72">
        <f>'Waldorf Astoria Hotel &amp; Branded'!$C$30</f>
        <v>0</v>
      </c>
      <c r="BM8" s="77" t="str">
        <f>'Waldorf Astoria Hotel &amp; Branded'!$E$30</f>
        <v>-</v>
      </c>
      <c r="BN8" s="72">
        <f>'Waldorf Astoria Hotel &amp; Branded'!$D$30</f>
        <v>0</v>
      </c>
      <c r="BO8" s="77" t="str">
        <f>'Waldorf Astoria Hotel &amp; Branded'!$F$30</f>
        <v>-</v>
      </c>
      <c r="BP8" s="72">
        <f>'Waldorf Astoria Hotel &amp; Branded'!$B$33</f>
        <v>0</v>
      </c>
      <c r="BQ8" s="72">
        <f>'Waldorf Astoria Hotel &amp; Branded'!$C$33</f>
        <v>0</v>
      </c>
      <c r="BR8" s="72">
        <f>'Waldorf Astoria Hotel &amp; Branded'!$B$34</f>
        <v>0</v>
      </c>
      <c r="BS8" s="72">
        <f>'Waldorf Astoria Hotel &amp; Branded'!$C$34</f>
        <v>0</v>
      </c>
      <c r="BT8" s="77" t="str">
        <f>'Waldorf Astoria Hotel &amp; Branded'!$D$34</f>
        <v>NA</v>
      </c>
      <c r="BU8" s="72">
        <f>'Waldorf Astoria Hotel &amp; Branded'!$B$37</f>
        <v>0</v>
      </c>
      <c r="BV8" s="72">
        <f>'Waldorf Astoria Hotel &amp; Branded'!$D$37</f>
        <v>0</v>
      </c>
      <c r="BW8" s="72">
        <f>'Waldorf Astoria Hotel &amp; Branded'!$B$38</f>
        <v>0</v>
      </c>
      <c r="BX8" s="72">
        <f>'Waldorf Astoria Hotel &amp; Branded'!$D$38</f>
        <v>0</v>
      </c>
      <c r="BY8" s="77" t="str">
        <f>'Waldorf Astoria Hotel &amp; Branded'!$E$38</f>
        <v>NA</v>
      </c>
      <c r="BZ8" s="72">
        <f>'Waldorf Astoria Hotel &amp; Branded'!$B$46</f>
        <v>0</v>
      </c>
      <c r="CA8" s="72">
        <f>'Waldorf Astoria Hotel &amp; Branded'!$C$46</f>
        <v>0</v>
      </c>
      <c r="CB8" s="72">
        <f>'Waldorf Astoria Hotel &amp; Branded'!$D$46</f>
        <v>0</v>
      </c>
      <c r="CC8" s="72">
        <f>'Waldorf Astoria Hotel &amp; Branded'!$B$54</f>
        <v>0</v>
      </c>
      <c r="CD8" s="72">
        <f>'Waldorf Astoria Hotel &amp; Branded'!$D$54</f>
        <v>0</v>
      </c>
      <c r="CE8" s="72">
        <f>'Waldorf Astoria Hotel &amp; Branded'!$D$54</f>
        <v>0</v>
      </c>
      <c r="CF8" s="72">
        <f>'Waldorf Astoria Hotel &amp; Branded'!$B$57+'Waldorf Astoria Hotel &amp; Branded'!$B$60</f>
        <v>0</v>
      </c>
      <c r="CG8" s="72">
        <f>'Waldorf Astoria Hotel &amp; Branded'!$C$57+'Waldorf Astoria Hotel &amp; Branded'!$C$60</f>
        <v>0</v>
      </c>
      <c r="CH8" s="79">
        <f>'Waldorf Astoria Hotel &amp; Branded'!$B$62</f>
        <v>0</v>
      </c>
      <c r="CI8" s="79">
        <f>'Waldorf Astoria Hotel &amp; Branded'!$C$62</f>
        <v>0</v>
      </c>
      <c r="CJ8" s="77" t="str">
        <f>'Waldorf Astoria Hotel &amp; Branded'!$D$62</f>
        <v>NA</v>
      </c>
      <c r="CK8" s="72">
        <f>'Waldorf Astoria Hotel &amp; Branded'!$B$65+'Waldorf Astoria Hotel &amp; Branded'!$B$68</f>
        <v>0</v>
      </c>
      <c r="CL8" s="72">
        <f>'Waldorf Astoria Hotel &amp; Branded'!$C$65+'Waldorf Astoria Hotel &amp; Branded'!$C$68</f>
        <v>0</v>
      </c>
      <c r="CM8" s="79">
        <f>'Waldorf Astoria Hotel &amp; Branded'!$B$70</f>
        <v>0</v>
      </c>
      <c r="CN8" s="79">
        <f>'Waldorf Astoria Hotel &amp; Branded'!$C$70</f>
        <v>0</v>
      </c>
      <c r="CO8" s="77" t="str">
        <f>'Waldorf Astoria Hotel &amp; Branded'!$D$70</f>
        <v>NA</v>
      </c>
      <c r="CP8" s="80">
        <f>'Waldorf Astoria Hotel &amp; Branded'!$H$7</f>
        <v>0</v>
      </c>
      <c r="CQ8" s="80">
        <f>'Waldorf Astoria Hotel &amp; Branded'!$H$8</f>
        <v>0</v>
      </c>
      <c r="CR8" s="80">
        <f>'Waldorf Astoria Hotel &amp; Branded'!$H$9</f>
        <v>0</v>
      </c>
      <c r="CS8" s="80">
        <f>'Waldorf Astoria Hotel &amp; Branded'!$H$10</f>
        <v>0</v>
      </c>
      <c r="CT8" s="80">
        <f>'Waldorf Astoria Hotel &amp; Branded'!$H$11</f>
        <v>0</v>
      </c>
      <c r="CU8" s="80">
        <f>'Waldorf Astoria Hotel &amp; Branded'!$H$12</f>
        <v>0</v>
      </c>
      <c r="CV8" s="80">
        <f>'Waldorf Astoria Hotel &amp; Branded'!$H$13</f>
        <v>0</v>
      </c>
      <c r="CW8" s="80">
        <f>'Waldorf Astoria Hotel &amp; Branded'!$H$14</f>
        <v>0</v>
      </c>
      <c r="CX8" s="80">
        <f>'Waldorf Astoria Hotel &amp; Branded'!$K$17</f>
        <v>0</v>
      </c>
      <c r="CY8" s="80">
        <f>'Waldorf Astoria Hotel &amp; Branded'!$K$18</f>
        <v>0</v>
      </c>
      <c r="CZ8" s="80">
        <f>'Waldorf Astoria Hotel &amp; Branded'!$G$21</f>
        <v>0</v>
      </c>
      <c r="DA8" s="80">
        <f>'Waldorf Astoria Hotel &amp; Branded'!$G$22</f>
        <v>0</v>
      </c>
      <c r="DB8" s="80">
        <f>'Waldorf Astoria Hotel &amp; Branded'!$G$25</f>
        <v>0</v>
      </c>
      <c r="DC8" s="80">
        <f>'Waldorf Astoria Hotel &amp; Branded'!$G$26</f>
        <v>0</v>
      </c>
      <c r="DD8" s="80">
        <f>'Waldorf Astoria Hotel &amp; Branded'!$H$29</f>
        <v>0</v>
      </c>
      <c r="DE8" s="80">
        <f>'Waldorf Astoria Hotel &amp; Branded'!$H$30</f>
        <v>0</v>
      </c>
      <c r="DF8" s="80">
        <f>'Waldorf Astoria Hotel &amp; Branded'!$E$33</f>
        <v>0</v>
      </c>
      <c r="DG8" s="80">
        <f>'Waldorf Astoria Hotel &amp; Branded'!$E$34</f>
        <v>0</v>
      </c>
      <c r="DH8" s="80">
        <f>'Waldorf Astoria Hotel &amp; Branded'!$F$37</f>
        <v>0</v>
      </c>
      <c r="DI8" s="80">
        <f>'Waldorf Astoria Hotel &amp; Branded'!$F$38</f>
        <v>0</v>
      </c>
    </row>
    <row r="9" spans="1:586">
      <c r="A9" s="82"/>
      <c r="B9" s="82"/>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row>
    <row r="10" spans="1:586">
      <c r="A10" s="82"/>
      <c r="B10" s="82"/>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2"/>
      <c r="BU10" s="82"/>
      <c r="BV10" s="82"/>
      <c r="BW10" s="82"/>
      <c r="BX10" s="82"/>
      <c r="BY10" s="82"/>
      <c r="BZ10" s="82"/>
      <c r="CA10" s="82"/>
      <c r="CB10" s="82"/>
      <c r="CC10" s="82"/>
      <c r="CD10" s="82"/>
      <c r="CE10" s="82"/>
      <c r="CF10" s="82"/>
      <c r="CG10" s="82"/>
      <c r="CH10" s="82"/>
      <c r="CI10" s="82"/>
      <c r="CJ10" s="82"/>
      <c r="CK10" s="82"/>
      <c r="CL10" s="82"/>
      <c r="CM10" s="82"/>
      <c r="CN10" s="82"/>
      <c r="CO10" s="82"/>
    </row>
    <row r="11" spans="1:586">
      <c r="A11" s="82"/>
      <c r="B11" s="82"/>
      <c r="C11" s="82"/>
      <c r="D11" s="82"/>
      <c r="E11" s="82"/>
      <c r="F11" s="82"/>
      <c r="G11" s="82"/>
      <c r="H11" s="82"/>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c r="BV11" s="82"/>
      <c r="BW11" s="82"/>
      <c r="BX11" s="82"/>
      <c r="BY11" s="82"/>
      <c r="BZ11" s="82"/>
      <c r="CA11" s="82"/>
      <c r="CB11" s="82"/>
      <c r="CC11" s="82"/>
      <c r="CD11" s="82"/>
      <c r="CE11" s="82"/>
      <c r="CF11" s="82"/>
      <c r="CG11" s="82"/>
      <c r="CH11" s="82"/>
      <c r="CI11" s="82"/>
      <c r="CJ11" s="82"/>
      <c r="CK11" s="82"/>
      <c r="CL11" s="82"/>
      <c r="CM11" s="82"/>
      <c r="CN11" s="82"/>
      <c r="CO11" s="82"/>
    </row>
    <row r="12" spans="1:586">
      <c r="A12" s="82"/>
      <c r="B12" s="82"/>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row>
    <row r="13" spans="1:586">
      <c r="A13" s="82"/>
      <c r="B13" s="82"/>
      <c r="C13" s="82"/>
      <c r="D13" s="82"/>
      <c r="E13" s="82"/>
      <c r="F13" s="82"/>
      <c r="G13" s="82"/>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row>
    <row r="14" spans="1:586">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2"/>
      <c r="BY14" s="82"/>
      <c r="BZ14" s="82"/>
      <c r="CA14" s="82"/>
      <c r="CB14" s="82"/>
      <c r="CC14" s="82"/>
      <c r="CD14" s="82"/>
      <c r="CE14" s="82"/>
      <c r="CF14" s="82"/>
      <c r="CG14" s="82"/>
      <c r="CH14" s="82"/>
      <c r="CI14" s="82"/>
      <c r="CJ14" s="82"/>
      <c r="CK14" s="82"/>
      <c r="CL14" s="82"/>
      <c r="CM14" s="82"/>
      <c r="CN14" s="82"/>
      <c r="CO14" s="82"/>
    </row>
    <row r="15" spans="1:586">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row>
    <row r="16" spans="1:586">
      <c r="A16" s="82"/>
      <c r="B16" s="82"/>
      <c r="C16" s="82"/>
      <c r="D16" s="82"/>
      <c r="E16" s="82"/>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2"/>
      <c r="BU16" s="82"/>
      <c r="BV16" s="82"/>
      <c r="BW16" s="82"/>
      <c r="BX16" s="82"/>
      <c r="BY16" s="82"/>
      <c r="BZ16" s="82"/>
      <c r="CA16" s="82"/>
      <c r="CB16" s="82"/>
      <c r="CC16" s="82"/>
      <c r="CD16" s="82"/>
      <c r="CE16" s="82"/>
      <c r="CF16" s="82"/>
      <c r="CG16" s="82"/>
      <c r="CH16" s="82"/>
      <c r="CI16" s="82"/>
      <c r="CJ16" s="82"/>
      <c r="CK16" s="82"/>
      <c r="CL16" s="82"/>
      <c r="CM16" s="82"/>
      <c r="CN16" s="82"/>
      <c r="CO16" s="82"/>
    </row>
    <row r="17" spans="1:93">
      <c r="A17" s="82"/>
      <c r="B17" s="82"/>
      <c r="C17" s="82"/>
      <c r="D17" s="82"/>
      <c r="E17" s="82"/>
      <c r="F17" s="82"/>
      <c r="G17" s="82"/>
      <c r="H17" s="82"/>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c r="BY17" s="82"/>
      <c r="BZ17" s="82"/>
      <c r="CA17" s="82"/>
      <c r="CB17" s="82"/>
      <c r="CC17" s="82"/>
      <c r="CD17" s="82"/>
      <c r="CE17" s="82"/>
      <c r="CF17" s="82"/>
      <c r="CG17" s="82"/>
      <c r="CH17" s="82"/>
      <c r="CI17" s="82"/>
      <c r="CJ17" s="82"/>
      <c r="CK17" s="82"/>
      <c r="CL17" s="82"/>
      <c r="CM17" s="82"/>
      <c r="CN17" s="82"/>
      <c r="CO17" s="82"/>
    </row>
    <row r="18" spans="1:93">
      <c r="A18" s="82"/>
      <c r="B18" s="82"/>
      <c r="C18" s="82"/>
      <c r="D18" s="82"/>
      <c r="E18" s="82"/>
      <c r="F18" s="82"/>
      <c r="G18" s="82"/>
      <c r="H18" s="82"/>
      <c r="I18" s="82"/>
      <c r="J18" s="82"/>
      <c r="K18" s="82"/>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2"/>
      <c r="BV18" s="82"/>
      <c r="BW18" s="82"/>
      <c r="BX18" s="82"/>
      <c r="BY18" s="82"/>
      <c r="BZ18" s="82"/>
      <c r="CA18" s="82"/>
      <c r="CB18" s="82"/>
      <c r="CC18" s="82"/>
      <c r="CD18" s="82"/>
      <c r="CE18" s="82"/>
      <c r="CF18" s="82"/>
      <c r="CG18" s="82"/>
      <c r="CH18" s="82"/>
      <c r="CI18" s="82"/>
      <c r="CJ18" s="82"/>
      <c r="CK18" s="82"/>
      <c r="CL18" s="82"/>
      <c r="CM18" s="82"/>
      <c r="CN18" s="82"/>
      <c r="CO18" s="82"/>
    </row>
    <row r="19" spans="1:93">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c r="BY19" s="82"/>
      <c r="BZ19" s="82"/>
      <c r="CA19" s="82"/>
      <c r="CB19" s="82"/>
      <c r="CC19" s="82"/>
      <c r="CD19" s="82"/>
      <c r="CE19" s="82"/>
      <c r="CF19" s="82"/>
      <c r="CG19" s="82"/>
      <c r="CH19" s="82"/>
      <c r="CI19" s="82"/>
      <c r="CJ19" s="82"/>
      <c r="CK19" s="82"/>
      <c r="CL19" s="82"/>
      <c r="CM19" s="82"/>
      <c r="CN19" s="82"/>
      <c r="CO19" s="82"/>
    </row>
    <row r="20" spans="1:93">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c r="BV20" s="82"/>
      <c r="BW20" s="82"/>
      <c r="BX20" s="82"/>
      <c r="BY20" s="82"/>
      <c r="BZ20" s="82"/>
      <c r="CA20" s="82"/>
      <c r="CB20" s="82"/>
      <c r="CC20" s="82"/>
      <c r="CD20" s="82"/>
      <c r="CE20" s="82"/>
      <c r="CF20" s="82"/>
      <c r="CG20" s="82"/>
      <c r="CH20" s="82"/>
      <c r="CI20" s="82"/>
      <c r="CJ20" s="82"/>
      <c r="CK20" s="82"/>
      <c r="CL20" s="82"/>
      <c r="CM20" s="82"/>
      <c r="CN20" s="82"/>
      <c r="CO20" s="82"/>
    </row>
    <row r="21" spans="1:93">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2"/>
      <c r="BU21" s="82"/>
      <c r="BV21" s="82"/>
      <c r="BW21" s="82"/>
      <c r="BX21" s="82"/>
      <c r="BY21" s="82"/>
      <c r="BZ21" s="82"/>
      <c r="CA21" s="82"/>
      <c r="CB21" s="82"/>
      <c r="CC21" s="82"/>
      <c r="CD21" s="82"/>
      <c r="CE21" s="82"/>
      <c r="CF21" s="82"/>
      <c r="CG21" s="82"/>
      <c r="CH21" s="82"/>
      <c r="CI21" s="82"/>
      <c r="CJ21" s="82"/>
      <c r="CK21" s="82"/>
      <c r="CL21" s="82"/>
      <c r="CM21" s="82"/>
      <c r="CN21" s="82"/>
      <c r="CO21" s="82"/>
    </row>
    <row r="22" spans="1:93">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2"/>
      <c r="BU22" s="82"/>
      <c r="BV22" s="82"/>
      <c r="BW22" s="82"/>
      <c r="BX22" s="82"/>
      <c r="BY22" s="82"/>
      <c r="BZ22" s="82"/>
      <c r="CA22" s="82"/>
      <c r="CB22" s="82"/>
      <c r="CC22" s="82"/>
      <c r="CD22" s="82"/>
      <c r="CE22" s="82"/>
      <c r="CF22" s="82"/>
      <c r="CG22" s="82"/>
      <c r="CH22" s="82"/>
      <c r="CI22" s="82"/>
      <c r="CJ22" s="82"/>
      <c r="CK22" s="82"/>
      <c r="CL22" s="82"/>
      <c r="CM22" s="82"/>
      <c r="CN22" s="82"/>
      <c r="CO22" s="82"/>
    </row>
    <row r="23" spans="1:93">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2"/>
      <c r="BU23" s="82"/>
      <c r="BV23" s="82"/>
      <c r="BW23" s="82"/>
      <c r="BX23" s="82"/>
      <c r="BY23" s="82"/>
      <c r="BZ23" s="82"/>
      <c r="CA23" s="82"/>
      <c r="CB23" s="82"/>
      <c r="CC23" s="82"/>
      <c r="CD23" s="82"/>
      <c r="CE23" s="82"/>
      <c r="CF23" s="82"/>
      <c r="CG23" s="82"/>
      <c r="CH23" s="82"/>
      <c r="CI23" s="82"/>
      <c r="CJ23" s="82"/>
      <c r="CK23" s="82"/>
      <c r="CL23" s="82"/>
      <c r="CM23" s="82"/>
      <c r="CN23" s="82"/>
      <c r="CO23" s="82"/>
    </row>
    <row r="24" spans="1:93">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c r="CC24" s="82"/>
      <c r="CD24" s="82"/>
      <c r="CE24" s="82"/>
      <c r="CF24" s="82"/>
      <c r="CG24" s="82"/>
      <c r="CH24" s="82"/>
      <c r="CI24" s="82"/>
      <c r="CJ24" s="82"/>
      <c r="CK24" s="82"/>
      <c r="CL24" s="82"/>
      <c r="CM24" s="82"/>
      <c r="CN24" s="82"/>
      <c r="CO24" s="82"/>
    </row>
    <row r="25" spans="1:93">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2"/>
      <c r="BU25" s="82"/>
      <c r="BV25" s="82"/>
      <c r="BW25" s="82"/>
      <c r="BX25" s="82"/>
      <c r="BY25" s="82"/>
      <c r="BZ25" s="82"/>
      <c r="CA25" s="82"/>
      <c r="CB25" s="82"/>
      <c r="CC25" s="82"/>
      <c r="CD25" s="82"/>
      <c r="CE25" s="82"/>
      <c r="CF25" s="82"/>
      <c r="CG25" s="82"/>
      <c r="CH25" s="82"/>
      <c r="CI25" s="82"/>
      <c r="CJ25" s="82"/>
      <c r="CK25" s="82"/>
      <c r="CL25" s="82"/>
      <c r="CM25" s="82"/>
      <c r="CN25" s="82"/>
      <c r="CO25" s="82"/>
    </row>
    <row r="26" spans="1:93">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c r="BY26" s="82"/>
      <c r="BZ26" s="82"/>
      <c r="CA26" s="82"/>
      <c r="CB26" s="82"/>
      <c r="CC26" s="82"/>
      <c r="CD26" s="82"/>
      <c r="CE26" s="82"/>
      <c r="CF26" s="82"/>
      <c r="CG26" s="82"/>
      <c r="CH26" s="82"/>
      <c r="CI26" s="82"/>
      <c r="CJ26" s="82"/>
      <c r="CK26" s="82"/>
      <c r="CL26" s="82"/>
      <c r="CM26" s="82"/>
      <c r="CN26" s="82"/>
      <c r="CO26" s="82"/>
    </row>
    <row r="27" spans="1:93">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2"/>
      <c r="BU27" s="82"/>
      <c r="BV27" s="82"/>
      <c r="BW27" s="82"/>
      <c r="BX27" s="82"/>
      <c r="BY27" s="82"/>
      <c r="BZ27" s="82"/>
      <c r="CA27" s="82"/>
      <c r="CB27" s="82"/>
      <c r="CC27" s="82"/>
      <c r="CD27" s="82"/>
      <c r="CE27" s="82"/>
      <c r="CF27" s="82"/>
      <c r="CG27" s="82"/>
      <c r="CH27" s="82"/>
      <c r="CI27" s="82"/>
      <c r="CJ27" s="82"/>
      <c r="CK27" s="82"/>
      <c r="CL27" s="82"/>
      <c r="CM27" s="82"/>
      <c r="CN27" s="82"/>
      <c r="CO27" s="82"/>
    </row>
    <row r="28" spans="1:93">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2"/>
      <c r="CC28" s="82"/>
      <c r="CD28" s="82"/>
      <c r="CE28" s="82"/>
      <c r="CF28" s="82"/>
      <c r="CG28" s="82"/>
      <c r="CH28" s="82"/>
      <c r="CI28" s="82"/>
      <c r="CJ28" s="82"/>
      <c r="CK28" s="82"/>
      <c r="CL28" s="82"/>
      <c r="CM28" s="82"/>
      <c r="CN28" s="82"/>
      <c r="CO28" s="82"/>
    </row>
    <row r="29" spans="1:93">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2"/>
      <c r="BU29" s="82"/>
      <c r="BV29" s="82"/>
      <c r="BW29" s="82"/>
      <c r="BX29" s="82"/>
      <c r="BY29" s="82"/>
      <c r="BZ29" s="82"/>
      <c r="CA29" s="82"/>
      <c r="CB29" s="82"/>
      <c r="CC29" s="82"/>
      <c r="CD29" s="82"/>
      <c r="CE29" s="82"/>
      <c r="CF29" s="82"/>
      <c r="CG29" s="82"/>
      <c r="CH29" s="82"/>
      <c r="CI29" s="82"/>
      <c r="CJ29" s="82"/>
      <c r="CK29" s="82"/>
      <c r="CL29" s="82"/>
      <c r="CM29" s="82"/>
      <c r="CN29" s="82"/>
      <c r="CO29" s="82"/>
    </row>
    <row r="30" spans="1:93">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2"/>
      <c r="BU30" s="82"/>
      <c r="BV30" s="82"/>
      <c r="BW30" s="82"/>
      <c r="BX30" s="82"/>
      <c r="BY30" s="82"/>
      <c r="BZ30" s="82"/>
      <c r="CA30" s="82"/>
      <c r="CB30" s="82"/>
      <c r="CC30" s="82"/>
      <c r="CD30" s="82"/>
      <c r="CE30" s="82"/>
      <c r="CF30" s="82"/>
      <c r="CG30" s="82"/>
      <c r="CH30" s="82"/>
      <c r="CI30" s="82"/>
      <c r="CJ30" s="82"/>
      <c r="CK30" s="82"/>
      <c r="CL30" s="82"/>
      <c r="CM30" s="82"/>
      <c r="CN30" s="82"/>
      <c r="CO30" s="82"/>
    </row>
    <row r="31" spans="1:93">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c r="CC31" s="82"/>
      <c r="CD31" s="82"/>
      <c r="CE31" s="82"/>
      <c r="CF31" s="82"/>
      <c r="CG31" s="82"/>
      <c r="CH31" s="82"/>
      <c r="CI31" s="82"/>
      <c r="CJ31" s="82"/>
      <c r="CK31" s="82"/>
      <c r="CL31" s="82"/>
      <c r="CM31" s="82"/>
      <c r="CN31" s="82"/>
      <c r="CO31" s="82"/>
    </row>
    <row r="32" spans="1:93">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2"/>
      <c r="CC32" s="82"/>
      <c r="CD32" s="82"/>
      <c r="CE32" s="82"/>
      <c r="CF32" s="82"/>
      <c r="CG32" s="82"/>
      <c r="CH32" s="82"/>
      <c r="CI32" s="82"/>
      <c r="CJ32" s="82"/>
      <c r="CK32" s="82"/>
      <c r="CL32" s="82"/>
      <c r="CM32" s="82"/>
      <c r="CN32" s="82"/>
      <c r="CO32" s="82"/>
    </row>
    <row r="33" spans="1:93">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c r="CI33" s="82"/>
      <c r="CJ33" s="82"/>
      <c r="CK33" s="82"/>
      <c r="CL33" s="82"/>
      <c r="CM33" s="82"/>
      <c r="CN33" s="82"/>
      <c r="CO33" s="82"/>
    </row>
    <row r="34" spans="1:93">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c r="CI34" s="82"/>
      <c r="CJ34" s="82"/>
      <c r="CK34" s="82"/>
      <c r="CL34" s="82"/>
      <c r="CM34" s="82"/>
      <c r="CN34" s="82"/>
      <c r="CO34" s="82"/>
    </row>
    <row r="35" spans="1:93">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c r="CB35" s="82"/>
      <c r="CC35" s="82"/>
      <c r="CD35" s="82"/>
      <c r="CE35" s="82"/>
      <c r="CF35" s="82"/>
      <c r="CG35" s="82"/>
      <c r="CH35" s="82"/>
      <c r="CI35" s="82"/>
      <c r="CJ35" s="82"/>
      <c r="CK35" s="82"/>
      <c r="CL35" s="82"/>
      <c r="CM35" s="82"/>
      <c r="CN35" s="82"/>
      <c r="CO35" s="82"/>
    </row>
    <row r="36" spans="1:93">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2"/>
      <c r="CA36" s="82"/>
      <c r="CB36" s="82"/>
      <c r="CC36" s="82"/>
      <c r="CD36" s="82"/>
      <c r="CE36" s="82"/>
      <c r="CF36" s="82"/>
      <c r="CG36" s="82"/>
      <c r="CH36" s="82"/>
      <c r="CI36" s="82"/>
      <c r="CJ36" s="82"/>
      <c r="CK36" s="82"/>
      <c r="CL36" s="82"/>
      <c r="CM36" s="82"/>
      <c r="CN36" s="82"/>
      <c r="CO36" s="82"/>
    </row>
    <row r="37" spans="1:93">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2"/>
      <c r="BU37" s="82"/>
      <c r="BV37" s="82"/>
      <c r="BW37" s="82"/>
      <c r="BX37" s="82"/>
      <c r="BY37" s="82"/>
      <c r="BZ37" s="82"/>
      <c r="CA37" s="82"/>
      <c r="CB37" s="82"/>
      <c r="CC37" s="82"/>
      <c r="CD37" s="82"/>
      <c r="CE37" s="82"/>
      <c r="CF37" s="82"/>
      <c r="CG37" s="82"/>
      <c r="CH37" s="82"/>
      <c r="CI37" s="82"/>
      <c r="CJ37" s="82"/>
      <c r="CK37" s="82"/>
      <c r="CL37" s="82"/>
      <c r="CM37" s="82"/>
      <c r="CN37" s="82"/>
      <c r="CO37" s="82"/>
    </row>
    <row r="38" spans="1:93">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2"/>
      <c r="CC38" s="82"/>
      <c r="CD38" s="82"/>
      <c r="CE38" s="82"/>
      <c r="CF38" s="82"/>
      <c r="CG38" s="82"/>
      <c r="CH38" s="82"/>
      <c r="CI38" s="82"/>
      <c r="CJ38" s="82"/>
      <c r="CK38" s="82"/>
      <c r="CL38" s="82"/>
      <c r="CM38" s="82"/>
      <c r="CN38" s="82"/>
      <c r="CO38" s="82"/>
    </row>
    <row r="39" spans="1:93">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2"/>
      <c r="CC39" s="82"/>
      <c r="CD39" s="82"/>
      <c r="CE39" s="82"/>
      <c r="CF39" s="82"/>
      <c r="CG39" s="82"/>
      <c r="CH39" s="82"/>
      <c r="CI39" s="82"/>
      <c r="CJ39" s="82"/>
      <c r="CK39" s="82"/>
      <c r="CL39" s="82"/>
      <c r="CM39" s="82"/>
      <c r="CN39" s="82"/>
      <c r="CO39" s="82"/>
    </row>
    <row r="40" spans="1:93">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2"/>
      <c r="CC40" s="82"/>
      <c r="CD40" s="82"/>
      <c r="CE40" s="82"/>
      <c r="CF40" s="82"/>
      <c r="CG40" s="82"/>
      <c r="CH40" s="82"/>
      <c r="CI40" s="82"/>
      <c r="CJ40" s="82"/>
      <c r="CK40" s="82"/>
      <c r="CL40" s="82"/>
      <c r="CM40" s="82"/>
      <c r="CN40" s="82"/>
      <c r="CO40" s="82"/>
    </row>
    <row r="41" spans="1:93">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2"/>
      <c r="BU41" s="82"/>
      <c r="BV41" s="82"/>
      <c r="BW41" s="82"/>
      <c r="BX41" s="82"/>
      <c r="BY41" s="82"/>
      <c r="BZ41" s="82"/>
      <c r="CA41" s="82"/>
      <c r="CB41" s="82"/>
      <c r="CC41" s="82"/>
      <c r="CD41" s="82"/>
      <c r="CE41" s="82"/>
      <c r="CF41" s="82"/>
      <c r="CG41" s="82"/>
      <c r="CH41" s="82"/>
      <c r="CI41" s="82"/>
      <c r="CJ41" s="82"/>
      <c r="CK41" s="82"/>
      <c r="CL41" s="82"/>
      <c r="CM41" s="82"/>
      <c r="CN41" s="82"/>
      <c r="CO41" s="82"/>
    </row>
    <row r="42" spans="1:93">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82"/>
      <c r="AH42" s="82"/>
      <c r="AI42" s="82"/>
      <c r="AJ42" s="82"/>
      <c r="AK42" s="82"/>
      <c r="AL42" s="82"/>
      <c r="AM42" s="82"/>
      <c r="AN42" s="82"/>
      <c r="AO42" s="82"/>
      <c r="AP42" s="82"/>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c r="BV42" s="82"/>
      <c r="BW42" s="82"/>
      <c r="BX42" s="82"/>
      <c r="BY42" s="82"/>
      <c r="BZ42" s="82"/>
      <c r="CA42" s="82"/>
      <c r="CB42" s="82"/>
      <c r="CC42" s="82"/>
      <c r="CD42" s="82"/>
      <c r="CE42" s="82"/>
      <c r="CF42" s="82"/>
      <c r="CG42" s="82"/>
      <c r="CH42" s="82"/>
      <c r="CI42" s="82"/>
      <c r="CJ42" s="82"/>
      <c r="CK42" s="82"/>
      <c r="CL42" s="82"/>
      <c r="CM42" s="82"/>
      <c r="CN42" s="82"/>
      <c r="CO42" s="82"/>
    </row>
    <row r="43" spans="1:93">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2"/>
      <c r="CI43" s="82"/>
      <c r="CJ43" s="82"/>
      <c r="CK43" s="82"/>
      <c r="CL43" s="82"/>
      <c r="CM43" s="82"/>
      <c r="CN43" s="82"/>
      <c r="CO43" s="82"/>
    </row>
    <row r="44" spans="1:93">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2"/>
      <c r="BY44" s="82"/>
      <c r="BZ44" s="82"/>
      <c r="CA44" s="82"/>
      <c r="CB44" s="82"/>
      <c r="CC44" s="82"/>
      <c r="CD44" s="82"/>
      <c r="CE44" s="82"/>
      <c r="CF44" s="82"/>
      <c r="CG44" s="82"/>
      <c r="CH44" s="82"/>
      <c r="CI44" s="82"/>
      <c r="CJ44" s="82"/>
      <c r="CK44" s="82"/>
      <c r="CL44" s="82"/>
      <c r="CM44" s="82"/>
      <c r="CN44" s="82"/>
      <c r="CO44" s="82"/>
    </row>
    <row r="45" spans="1:93">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2"/>
      <c r="CC45" s="82"/>
      <c r="CD45" s="82"/>
      <c r="CE45" s="82"/>
      <c r="CF45" s="82"/>
      <c r="CG45" s="82"/>
      <c r="CH45" s="82"/>
      <c r="CI45" s="82"/>
      <c r="CJ45" s="82"/>
      <c r="CK45" s="82"/>
      <c r="CL45" s="82"/>
      <c r="CM45" s="82"/>
      <c r="CN45" s="82"/>
      <c r="CO45" s="82"/>
    </row>
    <row r="46" spans="1:93">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c r="AK46" s="82"/>
      <c r="AL46" s="82"/>
      <c r="AM46" s="82"/>
      <c r="AN46" s="82"/>
      <c r="AO46" s="82"/>
      <c r="AP46" s="82"/>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2"/>
      <c r="CC46" s="82"/>
      <c r="CD46" s="82"/>
      <c r="CE46" s="82"/>
      <c r="CF46" s="82"/>
      <c r="CG46" s="82"/>
      <c r="CH46" s="82"/>
      <c r="CI46" s="82"/>
      <c r="CJ46" s="82"/>
      <c r="CK46" s="82"/>
      <c r="CL46" s="82"/>
      <c r="CM46" s="82"/>
      <c r="CN46" s="82"/>
      <c r="CO46" s="82"/>
    </row>
    <row r="47" spans="1:93">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2"/>
      <c r="CC47" s="82"/>
      <c r="CD47" s="82"/>
      <c r="CE47" s="82"/>
      <c r="CF47" s="82"/>
      <c r="CG47" s="82"/>
      <c r="CH47" s="82"/>
      <c r="CI47" s="82"/>
      <c r="CJ47" s="82"/>
      <c r="CK47" s="82"/>
      <c r="CL47" s="82"/>
      <c r="CM47" s="82"/>
      <c r="CN47" s="82"/>
      <c r="CO47" s="82"/>
    </row>
    <row r="48" spans="1:93">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82"/>
      <c r="BV48" s="82"/>
      <c r="BW48" s="82"/>
      <c r="BX48" s="82"/>
      <c r="BY48" s="82"/>
      <c r="BZ48" s="82"/>
      <c r="CA48" s="82"/>
      <c r="CB48" s="82"/>
      <c r="CC48" s="82"/>
      <c r="CD48" s="82"/>
      <c r="CE48" s="82"/>
      <c r="CF48" s="82"/>
      <c r="CG48" s="82"/>
      <c r="CH48" s="82"/>
      <c r="CI48" s="82"/>
      <c r="CJ48" s="82"/>
      <c r="CK48" s="82"/>
      <c r="CL48" s="82"/>
      <c r="CM48" s="82"/>
      <c r="CN48" s="82"/>
      <c r="CO48" s="82"/>
    </row>
    <row r="49" spans="1:93">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c r="BV49" s="82"/>
      <c r="BW49" s="82"/>
      <c r="BX49" s="82"/>
      <c r="BY49" s="82"/>
      <c r="BZ49" s="82"/>
      <c r="CA49" s="82"/>
      <c r="CB49" s="82"/>
      <c r="CC49" s="82"/>
      <c r="CD49" s="82"/>
      <c r="CE49" s="82"/>
      <c r="CF49" s="82"/>
      <c r="CG49" s="82"/>
      <c r="CH49" s="82"/>
      <c r="CI49" s="82"/>
      <c r="CJ49" s="82"/>
      <c r="CK49" s="82"/>
      <c r="CL49" s="82"/>
      <c r="CM49" s="82"/>
      <c r="CN49" s="82"/>
      <c r="CO49" s="82"/>
    </row>
    <row r="50" spans="1:93">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82"/>
      <c r="AH50" s="82"/>
      <c r="AI50" s="82"/>
      <c r="AJ50" s="82"/>
      <c r="AK50" s="82"/>
      <c r="AL50" s="82"/>
      <c r="AM50" s="82"/>
      <c r="AN50" s="82"/>
      <c r="AO50" s="82"/>
      <c r="AP50" s="82"/>
      <c r="AQ50" s="82"/>
      <c r="AR50" s="82"/>
      <c r="AS50" s="82"/>
      <c r="AT50" s="82"/>
      <c r="AU50" s="82"/>
      <c r="AV50" s="82"/>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2"/>
      <c r="BU50" s="82"/>
      <c r="BV50" s="82"/>
      <c r="BW50" s="82"/>
      <c r="BX50" s="82"/>
      <c r="BY50" s="82"/>
      <c r="BZ50" s="82"/>
      <c r="CA50" s="82"/>
      <c r="CB50" s="82"/>
      <c r="CC50" s="82"/>
      <c r="CD50" s="82"/>
      <c r="CE50" s="82"/>
      <c r="CF50" s="82"/>
      <c r="CG50" s="82"/>
      <c r="CH50" s="82"/>
      <c r="CI50" s="82"/>
      <c r="CJ50" s="82"/>
      <c r="CK50" s="82"/>
      <c r="CL50" s="82"/>
      <c r="CM50" s="82"/>
      <c r="CN50" s="82"/>
      <c r="CO50" s="82"/>
    </row>
    <row r="51" spans="1:93">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2"/>
      <c r="CC51" s="82"/>
      <c r="CD51" s="82"/>
      <c r="CE51" s="82"/>
      <c r="CF51" s="82"/>
      <c r="CG51" s="82"/>
      <c r="CH51" s="82"/>
      <c r="CI51" s="82"/>
      <c r="CJ51" s="82"/>
      <c r="CK51" s="82"/>
      <c r="CL51" s="82"/>
      <c r="CM51" s="82"/>
      <c r="CN51" s="82"/>
      <c r="CO51" s="82"/>
    </row>
    <row r="52" spans="1:93">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82"/>
      <c r="AH52" s="82"/>
      <c r="AI52" s="82"/>
      <c r="AJ52" s="82"/>
      <c r="AK52" s="82"/>
      <c r="AL52" s="82"/>
      <c r="AM52" s="82"/>
      <c r="AN52" s="82"/>
      <c r="AO52" s="82"/>
      <c r="AP52" s="82"/>
      <c r="AQ52" s="82"/>
      <c r="AR52" s="82"/>
      <c r="AS52" s="82"/>
      <c r="AT52" s="82"/>
      <c r="AU52" s="82"/>
      <c r="AV52" s="82"/>
      <c r="AW52" s="82"/>
      <c r="AX52" s="82"/>
      <c r="AY52" s="82"/>
      <c r="AZ52" s="82"/>
      <c r="BA52" s="82"/>
      <c r="BB52" s="82"/>
      <c r="BC52" s="82"/>
      <c r="BD52" s="82"/>
      <c r="BE52" s="82"/>
      <c r="BF52" s="82"/>
      <c r="BG52" s="82"/>
      <c r="BH52" s="82"/>
      <c r="BI52" s="82"/>
      <c r="BJ52" s="82"/>
      <c r="BK52" s="82"/>
      <c r="BL52" s="82"/>
      <c r="BM52" s="82"/>
      <c r="BN52" s="82"/>
      <c r="BO52" s="82"/>
      <c r="BP52" s="82"/>
      <c r="BQ52" s="82"/>
      <c r="BR52" s="82"/>
      <c r="BS52" s="82"/>
      <c r="BT52" s="82"/>
      <c r="BU52" s="82"/>
      <c r="BV52" s="82"/>
      <c r="BW52" s="82"/>
      <c r="BX52" s="82"/>
      <c r="BY52" s="82"/>
      <c r="BZ52" s="82"/>
      <c r="CA52" s="82"/>
      <c r="CB52" s="82"/>
      <c r="CC52" s="82"/>
      <c r="CD52" s="82"/>
      <c r="CE52" s="82"/>
      <c r="CF52" s="82"/>
      <c r="CG52" s="82"/>
      <c r="CH52" s="82"/>
      <c r="CI52" s="82"/>
      <c r="CJ52" s="82"/>
      <c r="CK52" s="82"/>
      <c r="CL52" s="82"/>
      <c r="CM52" s="82"/>
      <c r="CN52" s="82"/>
      <c r="CO52" s="82"/>
    </row>
    <row r="53" spans="1:93">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c r="BO53" s="82"/>
      <c r="BP53" s="82"/>
      <c r="BQ53" s="82"/>
      <c r="BR53" s="82"/>
      <c r="BS53" s="82"/>
      <c r="BT53" s="82"/>
      <c r="BU53" s="82"/>
      <c r="BV53" s="82"/>
      <c r="BW53" s="82"/>
      <c r="BX53" s="82"/>
      <c r="BY53" s="82"/>
      <c r="BZ53" s="82"/>
      <c r="CA53" s="82"/>
      <c r="CB53" s="82"/>
      <c r="CC53" s="82"/>
      <c r="CD53" s="82"/>
      <c r="CE53" s="82"/>
      <c r="CF53" s="82"/>
      <c r="CG53" s="82"/>
      <c r="CH53" s="82"/>
      <c r="CI53" s="82"/>
      <c r="CJ53" s="82"/>
      <c r="CK53" s="82"/>
      <c r="CL53" s="82"/>
      <c r="CM53" s="82"/>
      <c r="CN53" s="82"/>
      <c r="CO53" s="82"/>
    </row>
    <row r="54" spans="1:93">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2"/>
      <c r="BU54" s="82"/>
      <c r="BV54" s="82"/>
      <c r="BW54" s="82"/>
      <c r="BX54" s="82"/>
      <c r="BY54" s="82"/>
      <c r="BZ54" s="82"/>
      <c r="CA54" s="82"/>
      <c r="CB54" s="82"/>
      <c r="CC54" s="82"/>
      <c r="CD54" s="82"/>
      <c r="CE54" s="82"/>
      <c r="CF54" s="82"/>
      <c r="CG54" s="82"/>
      <c r="CH54" s="82"/>
      <c r="CI54" s="82"/>
      <c r="CJ54" s="82"/>
      <c r="CK54" s="82"/>
      <c r="CL54" s="82"/>
      <c r="CM54" s="82"/>
      <c r="CN54" s="82"/>
      <c r="CO54" s="82"/>
    </row>
    <row r="55" spans="1:93">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D55" s="82"/>
      <c r="CE55" s="82"/>
      <c r="CF55" s="82"/>
      <c r="CG55" s="82"/>
      <c r="CH55" s="82"/>
      <c r="CI55" s="82"/>
      <c r="CJ55" s="82"/>
      <c r="CK55" s="82"/>
      <c r="CL55" s="82"/>
      <c r="CM55" s="82"/>
      <c r="CN55" s="82"/>
      <c r="CO55" s="82"/>
    </row>
    <row r="56" spans="1:93">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2"/>
      <c r="CC56" s="82"/>
      <c r="CD56" s="82"/>
      <c r="CE56" s="82"/>
      <c r="CF56" s="82"/>
      <c r="CG56" s="82"/>
      <c r="CH56" s="82"/>
      <c r="CI56" s="82"/>
      <c r="CJ56" s="82"/>
      <c r="CK56" s="82"/>
      <c r="CL56" s="82"/>
      <c r="CM56" s="82"/>
      <c r="CN56" s="82"/>
      <c r="CO56" s="82"/>
    </row>
    <row r="57" spans="1:93">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c r="BH57" s="82"/>
      <c r="BI57" s="82"/>
      <c r="BJ57" s="82"/>
      <c r="BK57" s="82"/>
      <c r="BL57" s="82"/>
      <c r="BM57" s="82"/>
      <c r="BN57" s="82"/>
      <c r="BO57" s="82"/>
      <c r="BP57" s="82"/>
      <c r="BQ57" s="82"/>
      <c r="BR57" s="82"/>
      <c r="BS57" s="82"/>
      <c r="BT57" s="82"/>
      <c r="BU57" s="82"/>
      <c r="BV57" s="82"/>
      <c r="BW57" s="82"/>
      <c r="BX57" s="82"/>
      <c r="BY57" s="82"/>
      <c r="BZ57" s="82"/>
      <c r="CA57" s="82"/>
      <c r="CB57" s="82"/>
      <c r="CC57" s="82"/>
      <c r="CD57" s="82"/>
      <c r="CE57" s="82"/>
      <c r="CF57" s="82"/>
      <c r="CG57" s="82"/>
      <c r="CH57" s="82"/>
      <c r="CI57" s="82"/>
      <c r="CJ57" s="82"/>
      <c r="CK57" s="82"/>
      <c r="CL57" s="82"/>
      <c r="CM57" s="82"/>
      <c r="CN57" s="82"/>
      <c r="CO57" s="82"/>
    </row>
    <row r="58" spans="1:93">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2"/>
      <c r="BU58" s="82"/>
      <c r="BV58" s="82"/>
      <c r="BW58" s="82"/>
      <c r="BX58" s="82"/>
      <c r="BY58" s="82"/>
      <c r="BZ58" s="82"/>
      <c r="CA58" s="82"/>
      <c r="CB58" s="82"/>
      <c r="CC58" s="82"/>
      <c r="CD58" s="82"/>
      <c r="CE58" s="82"/>
      <c r="CF58" s="82"/>
      <c r="CG58" s="82"/>
      <c r="CH58" s="82"/>
      <c r="CI58" s="82"/>
      <c r="CJ58" s="82"/>
      <c r="CK58" s="82"/>
      <c r="CL58" s="82"/>
      <c r="CM58" s="82"/>
      <c r="CN58" s="82"/>
      <c r="CO58" s="82"/>
    </row>
    <row r="59" spans="1:93">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2"/>
      <c r="BT59" s="82"/>
      <c r="BU59" s="82"/>
      <c r="BV59" s="82"/>
      <c r="BW59" s="82"/>
      <c r="BX59" s="82"/>
      <c r="BY59" s="82"/>
      <c r="BZ59" s="82"/>
      <c r="CA59" s="82"/>
      <c r="CB59" s="82"/>
      <c r="CC59" s="82"/>
      <c r="CD59" s="82"/>
      <c r="CE59" s="82"/>
      <c r="CF59" s="82"/>
      <c r="CG59" s="82"/>
      <c r="CH59" s="82"/>
      <c r="CI59" s="82"/>
      <c r="CJ59" s="82"/>
      <c r="CK59" s="82"/>
      <c r="CL59" s="82"/>
      <c r="CM59" s="82"/>
      <c r="CN59" s="82"/>
      <c r="CO59" s="82"/>
    </row>
    <row r="60" spans="1:93">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c r="BQ60" s="82"/>
      <c r="BR60" s="82"/>
      <c r="BS60" s="82"/>
      <c r="BT60" s="82"/>
      <c r="BU60" s="82"/>
      <c r="BV60" s="82"/>
      <c r="BW60" s="82"/>
      <c r="BX60" s="82"/>
      <c r="BY60" s="82"/>
      <c r="BZ60" s="82"/>
      <c r="CA60" s="82"/>
      <c r="CB60" s="82"/>
      <c r="CC60" s="82"/>
      <c r="CD60" s="82"/>
      <c r="CE60" s="82"/>
      <c r="CF60" s="82"/>
      <c r="CG60" s="82"/>
      <c r="CH60" s="82"/>
      <c r="CI60" s="82"/>
      <c r="CJ60" s="82"/>
      <c r="CK60" s="82"/>
      <c r="CL60" s="82"/>
      <c r="CM60" s="82"/>
      <c r="CN60" s="82"/>
      <c r="CO60" s="82"/>
    </row>
    <row r="61" spans="1:93">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2"/>
      <c r="CA61" s="82"/>
      <c r="CB61" s="82"/>
      <c r="CC61" s="82"/>
      <c r="CD61" s="82"/>
      <c r="CE61" s="82"/>
      <c r="CF61" s="82"/>
      <c r="CG61" s="82"/>
      <c r="CH61" s="82"/>
      <c r="CI61" s="82"/>
      <c r="CJ61" s="82"/>
      <c r="CK61" s="82"/>
      <c r="CL61" s="82"/>
      <c r="CM61" s="82"/>
      <c r="CN61" s="82"/>
      <c r="CO61" s="82"/>
    </row>
    <row r="62" spans="1:93">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82"/>
      <c r="AQ62" s="82"/>
      <c r="AR62" s="82"/>
      <c r="AS62" s="82"/>
      <c r="AT62" s="82"/>
      <c r="AU62" s="82"/>
      <c r="AV62" s="82"/>
      <c r="AW62" s="82"/>
      <c r="AX62" s="82"/>
      <c r="AY62" s="82"/>
      <c r="AZ62" s="82"/>
      <c r="BA62" s="82"/>
      <c r="BB62" s="82"/>
      <c r="BC62" s="82"/>
      <c r="BD62" s="82"/>
      <c r="BE62" s="82"/>
      <c r="BF62" s="82"/>
      <c r="BG62" s="82"/>
      <c r="BH62" s="82"/>
      <c r="BI62" s="82"/>
      <c r="BJ62" s="82"/>
      <c r="BK62" s="82"/>
      <c r="BL62" s="82"/>
      <c r="BM62" s="82"/>
      <c r="BN62" s="82"/>
      <c r="BO62" s="82"/>
      <c r="BP62" s="82"/>
      <c r="BQ62" s="82"/>
      <c r="BR62" s="82"/>
      <c r="BS62" s="82"/>
      <c r="BT62" s="82"/>
      <c r="BU62" s="82"/>
      <c r="BV62" s="82"/>
      <c r="BW62" s="82"/>
      <c r="BX62" s="82"/>
      <c r="BY62" s="82"/>
      <c r="BZ62" s="82"/>
      <c r="CA62" s="82"/>
      <c r="CB62" s="82"/>
      <c r="CC62" s="82"/>
      <c r="CD62" s="82"/>
      <c r="CE62" s="82"/>
      <c r="CF62" s="82"/>
      <c r="CG62" s="82"/>
      <c r="CH62" s="82"/>
      <c r="CI62" s="82"/>
      <c r="CJ62" s="82"/>
      <c r="CK62" s="82"/>
      <c r="CL62" s="82"/>
      <c r="CM62" s="82"/>
      <c r="CN62" s="82"/>
      <c r="CO62" s="82"/>
    </row>
    <row r="63" spans="1:93">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82"/>
      <c r="CJ63" s="82"/>
      <c r="CK63" s="82"/>
      <c r="CL63" s="82"/>
      <c r="CM63" s="82"/>
      <c r="CN63" s="82"/>
      <c r="CO63" s="82"/>
    </row>
    <row r="64" spans="1:93">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2"/>
      <c r="CC64" s="82"/>
      <c r="CD64" s="82"/>
      <c r="CE64" s="82"/>
      <c r="CF64" s="82"/>
      <c r="CG64" s="82"/>
      <c r="CH64" s="82"/>
      <c r="CI64" s="82"/>
      <c r="CJ64" s="82"/>
      <c r="CK64" s="82"/>
      <c r="CL64" s="82"/>
      <c r="CM64" s="82"/>
      <c r="CN64" s="82"/>
      <c r="CO64" s="82"/>
    </row>
    <row r="65" spans="1:93">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2"/>
      <c r="CC65" s="82"/>
      <c r="CD65" s="82"/>
      <c r="CE65" s="82"/>
      <c r="CF65" s="82"/>
      <c r="CG65" s="82"/>
      <c r="CH65" s="82"/>
      <c r="CI65" s="82"/>
      <c r="CJ65" s="82"/>
      <c r="CK65" s="82"/>
      <c r="CL65" s="82"/>
      <c r="CM65" s="82"/>
      <c r="CN65" s="82"/>
      <c r="CO65" s="82"/>
    </row>
    <row r="66" spans="1:93">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2"/>
      <c r="CA66" s="82"/>
      <c r="CB66" s="82"/>
      <c r="CC66" s="82"/>
      <c r="CD66" s="82"/>
      <c r="CE66" s="82"/>
      <c r="CF66" s="82"/>
      <c r="CG66" s="82"/>
      <c r="CH66" s="82"/>
      <c r="CI66" s="82"/>
      <c r="CJ66" s="82"/>
      <c r="CK66" s="82"/>
      <c r="CL66" s="82"/>
      <c r="CM66" s="82"/>
      <c r="CN66" s="82"/>
      <c r="CO66" s="82"/>
    </row>
    <row r="67" spans="1:93">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2"/>
      <c r="CA67" s="82"/>
      <c r="CB67" s="82"/>
      <c r="CC67" s="82"/>
      <c r="CD67" s="82"/>
      <c r="CE67" s="82"/>
      <c r="CF67" s="82"/>
      <c r="CG67" s="82"/>
      <c r="CH67" s="82"/>
      <c r="CI67" s="82"/>
      <c r="CJ67" s="82"/>
      <c r="CK67" s="82"/>
      <c r="CL67" s="82"/>
      <c r="CM67" s="82"/>
      <c r="CN67" s="82"/>
      <c r="CO67" s="82"/>
    </row>
    <row r="68" spans="1:93">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c r="AA68" s="82"/>
      <c r="AB68" s="82"/>
      <c r="AC68" s="82"/>
      <c r="AD68" s="82"/>
      <c r="AE68" s="82"/>
      <c r="AF68" s="82"/>
      <c r="AG68" s="82"/>
      <c r="AH68" s="82"/>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2"/>
      <c r="BU68" s="82"/>
      <c r="BV68" s="82"/>
      <c r="BW68" s="82"/>
      <c r="BX68" s="82"/>
      <c r="BY68" s="82"/>
      <c r="BZ68" s="82"/>
      <c r="CA68" s="82"/>
      <c r="CB68" s="82"/>
      <c r="CC68" s="82"/>
      <c r="CD68" s="82"/>
      <c r="CE68" s="82"/>
      <c r="CF68" s="82"/>
      <c r="CG68" s="82"/>
      <c r="CH68" s="82"/>
      <c r="CI68" s="82"/>
      <c r="CJ68" s="82"/>
      <c r="CK68" s="82"/>
      <c r="CL68" s="82"/>
      <c r="CM68" s="82"/>
      <c r="CN68" s="82"/>
      <c r="CO68" s="82"/>
    </row>
    <row r="69" spans="1:93">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82"/>
      <c r="AB69" s="82"/>
      <c r="AC69" s="82"/>
      <c r="AD69" s="82"/>
      <c r="AE69" s="82"/>
      <c r="AF69" s="82"/>
      <c r="AG69" s="82"/>
      <c r="AH69" s="82"/>
      <c r="AI69" s="82"/>
      <c r="AJ69" s="82"/>
      <c r="AK69" s="82"/>
      <c r="AL69" s="82"/>
      <c r="AM69" s="82"/>
      <c r="AN69" s="82"/>
      <c r="AO69" s="82"/>
      <c r="AP69" s="82"/>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82"/>
      <c r="BU69" s="82"/>
      <c r="BV69" s="82"/>
      <c r="BW69" s="82"/>
      <c r="BX69" s="82"/>
      <c r="BY69" s="82"/>
      <c r="BZ69" s="82"/>
      <c r="CA69" s="82"/>
      <c r="CB69" s="82"/>
      <c r="CC69" s="82"/>
      <c r="CD69" s="82"/>
      <c r="CE69" s="82"/>
      <c r="CF69" s="82"/>
      <c r="CG69" s="82"/>
      <c r="CH69" s="82"/>
      <c r="CI69" s="82"/>
      <c r="CJ69" s="82"/>
      <c r="CK69" s="82"/>
      <c r="CL69" s="82"/>
      <c r="CM69" s="82"/>
      <c r="CN69" s="82"/>
      <c r="CO69" s="82"/>
    </row>
    <row r="70" spans="1:93">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82"/>
      <c r="BU70" s="82"/>
      <c r="BV70" s="82"/>
      <c r="BW70" s="82"/>
      <c r="BX70" s="82"/>
      <c r="BY70" s="82"/>
      <c r="BZ70" s="82"/>
      <c r="CA70" s="82"/>
      <c r="CB70" s="82"/>
      <c r="CC70" s="82"/>
      <c r="CD70" s="82"/>
      <c r="CE70" s="82"/>
      <c r="CF70" s="82"/>
      <c r="CG70" s="82"/>
      <c r="CH70" s="82"/>
      <c r="CI70" s="82"/>
      <c r="CJ70" s="82"/>
      <c r="CK70" s="82"/>
      <c r="CL70" s="82"/>
      <c r="CM70" s="82"/>
      <c r="CN70" s="82"/>
      <c r="CO70" s="82"/>
    </row>
    <row r="71" spans="1:93">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2"/>
      <c r="BU71" s="82"/>
      <c r="BV71" s="82"/>
      <c r="BW71" s="82"/>
      <c r="BX71" s="82"/>
      <c r="BY71" s="82"/>
      <c r="BZ71" s="82"/>
      <c r="CA71" s="82"/>
      <c r="CB71" s="82"/>
      <c r="CC71" s="82"/>
      <c r="CD71" s="82"/>
      <c r="CE71" s="82"/>
      <c r="CF71" s="82"/>
      <c r="CG71" s="82"/>
      <c r="CH71" s="82"/>
      <c r="CI71" s="82"/>
      <c r="CJ71" s="82"/>
      <c r="CK71" s="82"/>
      <c r="CL71" s="82"/>
      <c r="CM71" s="82"/>
      <c r="CN71" s="82"/>
      <c r="CO71" s="82"/>
    </row>
    <row r="72" spans="1:93">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c r="AA72" s="82"/>
      <c r="AB72" s="82"/>
      <c r="AC72" s="82"/>
      <c r="AD72" s="82"/>
      <c r="AE72" s="82"/>
      <c r="AF72" s="82"/>
      <c r="AG72" s="82"/>
      <c r="AH72" s="82"/>
      <c r="AI72" s="82"/>
      <c r="AJ72" s="82"/>
      <c r="AK72" s="82"/>
      <c r="AL72" s="82"/>
      <c r="AM72" s="82"/>
      <c r="AN72" s="82"/>
      <c r="AO72" s="82"/>
      <c r="AP72" s="82"/>
      <c r="AQ72" s="82"/>
      <c r="AR72" s="82"/>
      <c r="AS72" s="82"/>
      <c r="AT72" s="82"/>
      <c r="AU72" s="82"/>
      <c r="AV72" s="82"/>
      <c r="AW72" s="82"/>
      <c r="AX72" s="82"/>
      <c r="AY72" s="82"/>
      <c r="AZ72" s="82"/>
      <c r="BA72" s="82"/>
      <c r="BB72" s="82"/>
      <c r="BC72" s="82"/>
      <c r="BD72" s="82"/>
      <c r="BE72" s="82"/>
      <c r="BF72" s="82"/>
      <c r="BG72" s="82"/>
      <c r="BH72" s="82"/>
      <c r="BI72" s="82"/>
      <c r="BJ72" s="82"/>
      <c r="BK72" s="82"/>
      <c r="BL72" s="82"/>
      <c r="BM72" s="82"/>
      <c r="BN72" s="82"/>
      <c r="BO72" s="82"/>
      <c r="BP72" s="82"/>
      <c r="BQ72" s="82"/>
      <c r="BR72" s="82"/>
      <c r="BS72" s="82"/>
      <c r="BT72" s="82"/>
      <c r="BU72" s="82"/>
      <c r="BV72" s="82"/>
      <c r="BW72" s="82"/>
      <c r="BX72" s="82"/>
      <c r="BY72" s="82"/>
      <c r="BZ72" s="82"/>
      <c r="CA72" s="82"/>
      <c r="CB72" s="82"/>
      <c r="CC72" s="82"/>
      <c r="CD72" s="82"/>
      <c r="CE72" s="82"/>
      <c r="CF72" s="82"/>
      <c r="CG72" s="82"/>
      <c r="CH72" s="82"/>
      <c r="CI72" s="82"/>
      <c r="CJ72" s="82"/>
      <c r="CK72" s="82"/>
      <c r="CL72" s="82"/>
      <c r="CM72" s="82"/>
      <c r="CN72" s="82"/>
      <c r="CO72" s="82"/>
    </row>
    <row r="73" spans="1:93">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2"/>
      <c r="BD73" s="82"/>
      <c r="BE73" s="82"/>
      <c r="BF73" s="82"/>
      <c r="BG73" s="82"/>
      <c r="BH73" s="82"/>
      <c r="BI73" s="82"/>
      <c r="BJ73" s="82"/>
      <c r="BK73" s="82"/>
      <c r="BL73" s="82"/>
      <c r="BM73" s="82"/>
      <c r="BN73" s="82"/>
      <c r="BO73" s="82"/>
      <c r="BP73" s="82"/>
      <c r="BQ73" s="82"/>
      <c r="BR73" s="82"/>
      <c r="BS73" s="82"/>
      <c r="BT73" s="82"/>
      <c r="BU73" s="82"/>
      <c r="BV73" s="82"/>
      <c r="BW73" s="82"/>
      <c r="BX73" s="82"/>
      <c r="BY73" s="82"/>
      <c r="BZ73" s="82"/>
      <c r="CA73" s="82"/>
      <c r="CB73" s="82"/>
      <c r="CC73" s="82"/>
      <c r="CD73" s="82"/>
      <c r="CE73" s="82"/>
      <c r="CF73" s="82"/>
      <c r="CG73" s="82"/>
      <c r="CH73" s="82"/>
      <c r="CI73" s="82"/>
      <c r="CJ73" s="82"/>
      <c r="CK73" s="82"/>
      <c r="CL73" s="82"/>
      <c r="CM73" s="82"/>
      <c r="CN73" s="82"/>
      <c r="CO73" s="82"/>
    </row>
    <row r="74" spans="1:93">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c r="BQ74" s="82"/>
      <c r="BR74" s="82"/>
      <c r="BS74" s="82"/>
      <c r="BT74" s="82"/>
      <c r="BU74" s="82"/>
      <c r="BV74" s="82"/>
      <c r="BW74" s="82"/>
      <c r="BX74" s="82"/>
      <c r="BY74" s="82"/>
      <c r="BZ74" s="82"/>
      <c r="CA74" s="82"/>
      <c r="CB74" s="82"/>
      <c r="CC74" s="82"/>
      <c r="CD74" s="82"/>
      <c r="CE74" s="82"/>
      <c r="CF74" s="82"/>
      <c r="CG74" s="82"/>
      <c r="CH74" s="82"/>
      <c r="CI74" s="82"/>
      <c r="CJ74" s="82"/>
      <c r="CK74" s="82"/>
      <c r="CL74" s="82"/>
      <c r="CM74" s="82"/>
      <c r="CN74" s="82"/>
      <c r="CO74" s="82"/>
    </row>
    <row r="75" spans="1:93">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2"/>
      <c r="BG75" s="82"/>
      <c r="BH75" s="82"/>
      <c r="BI75" s="82"/>
      <c r="BJ75" s="82"/>
      <c r="BK75" s="82"/>
      <c r="BL75" s="82"/>
      <c r="BM75" s="82"/>
      <c r="BN75" s="82"/>
      <c r="BO75" s="82"/>
      <c r="BP75" s="82"/>
      <c r="BQ75" s="82"/>
      <c r="BR75" s="82"/>
      <c r="BS75" s="82"/>
      <c r="BT75" s="82"/>
      <c r="BU75" s="82"/>
      <c r="BV75" s="82"/>
      <c r="BW75" s="82"/>
      <c r="BX75" s="82"/>
      <c r="BY75" s="82"/>
      <c r="BZ75" s="82"/>
      <c r="CA75" s="82"/>
      <c r="CB75" s="82"/>
      <c r="CC75" s="82"/>
      <c r="CD75" s="82"/>
      <c r="CE75" s="82"/>
      <c r="CF75" s="82"/>
      <c r="CG75" s="82"/>
      <c r="CH75" s="82"/>
      <c r="CI75" s="82"/>
      <c r="CJ75" s="82"/>
      <c r="CK75" s="82"/>
      <c r="CL75" s="82"/>
      <c r="CM75" s="82"/>
      <c r="CN75" s="82"/>
      <c r="CO75" s="82"/>
    </row>
    <row r="76" spans="1:93">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c r="AI76" s="82"/>
      <c r="AJ76" s="82"/>
      <c r="AK76" s="82"/>
      <c r="AL76" s="82"/>
      <c r="AM76" s="82"/>
      <c r="AN76" s="82"/>
      <c r="AO76" s="82"/>
      <c r="AP76" s="82"/>
      <c r="AQ76" s="82"/>
      <c r="AR76" s="82"/>
      <c r="AS76" s="82"/>
      <c r="AT76" s="82"/>
      <c r="AU76" s="82"/>
      <c r="AV76" s="82"/>
      <c r="AW76" s="82"/>
      <c r="AX76" s="82"/>
      <c r="AY76" s="82"/>
      <c r="AZ76" s="82"/>
      <c r="BA76" s="82"/>
      <c r="BB76" s="82"/>
      <c r="BC76" s="82"/>
      <c r="BD76" s="82"/>
      <c r="BE76" s="82"/>
      <c r="BF76" s="82"/>
      <c r="BG76" s="82"/>
      <c r="BH76" s="82"/>
      <c r="BI76" s="82"/>
      <c r="BJ76" s="82"/>
      <c r="BK76" s="82"/>
      <c r="BL76" s="82"/>
      <c r="BM76" s="82"/>
      <c r="BN76" s="82"/>
      <c r="BO76" s="82"/>
      <c r="BP76" s="82"/>
      <c r="BQ76" s="82"/>
      <c r="BR76" s="82"/>
      <c r="BS76" s="82"/>
      <c r="BT76" s="82"/>
      <c r="BU76" s="82"/>
      <c r="BV76" s="82"/>
      <c r="BW76" s="82"/>
      <c r="BX76" s="82"/>
      <c r="BY76" s="82"/>
      <c r="BZ76" s="82"/>
      <c r="CA76" s="82"/>
      <c r="CB76" s="82"/>
      <c r="CC76" s="82"/>
      <c r="CD76" s="82"/>
      <c r="CE76" s="82"/>
      <c r="CF76" s="82"/>
      <c r="CG76" s="82"/>
      <c r="CH76" s="82"/>
      <c r="CI76" s="82"/>
      <c r="CJ76" s="82"/>
      <c r="CK76" s="82"/>
      <c r="CL76" s="82"/>
      <c r="CM76" s="82"/>
      <c r="CN76" s="82"/>
      <c r="CO76" s="82"/>
    </row>
    <row r="77" spans="1:93">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82"/>
      <c r="AH77" s="82"/>
      <c r="AI77" s="82"/>
      <c r="AJ77" s="82"/>
      <c r="AK77" s="82"/>
      <c r="AL77" s="82"/>
      <c r="AM77" s="82"/>
      <c r="AN77" s="82"/>
      <c r="AO77" s="82"/>
      <c r="AP77" s="82"/>
      <c r="AQ77" s="82"/>
      <c r="AR77" s="82"/>
      <c r="AS77" s="82"/>
      <c r="AT77" s="82"/>
      <c r="AU77" s="82"/>
      <c r="AV77" s="82"/>
      <c r="AW77" s="82"/>
      <c r="AX77" s="82"/>
      <c r="AY77" s="82"/>
      <c r="AZ77" s="82"/>
      <c r="BA77" s="82"/>
      <c r="BB77" s="82"/>
      <c r="BC77" s="82"/>
      <c r="BD77" s="82"/>
      <c r="BE77" s="82"/>
      <c r="BF77" s="82"/>
      <c r="BG77" s="82"/>
      <c r="BH77" s="82"/>
      <c r="BI77" s="82"/>
      <c r="BJ77" s="82"/>
      <c r="BK77" s="82"/>
      <c r="BL77" s="82"/>
      <c r="BM77" s="82"/>
      <c r="BN77" s="82"/>
      <c r="BO77" s="82"/>
      <c r="BP77" s="82"/>
      <c r="BQ77" s="82"/>
      <c r="BR77" s="82"/>
      <c r="BS77" s="82"/>
      <c r="BT77" s="82"/>
      <c r="BU77" s="82"/>
      <c r="BV77" s="82"/>
      <c r="BW77" s="82"/>
      <c r="BX77" s="82"/>
      <c r="BY77" s="82"/>
      <c r="BZ77" s="82"/>
      <c r="CA77" s="82"/>
      <c r="CB77" s="82"/>
      <c r="CC77" s="82"/>
      <c r="CD77" s="82"/>
      <c r="CE77" s="82"/>
      <c r="CF77" s="82"/>
      <c r="CG77" s="82"/>
      <c r="CH77" s="82"/>
      <c r="CI77" s="82"/>
      <c r="CJ77" s="82"/>
      <c r="CK77" s="82"/>
      <c r="CL77" s="82"/>
      <c r="CM77" s="82"/>
      <c r="CN77" s="82"/>
      <c r="CO77" s="82"/>
    </row>
    <row r="78" spans="1:93">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c r="AK78" s="82"/>
      <c r="AL78" s="82"/>
      <c r="AM78" s="82"/>
      <c r="AN78" s="82"/>
      <c r="AO78" s="82"/>
      <c r="AP78" s="82"/>
      <c r="AQ78" s="82"/>
      <c r="AR78" s="82"/>
      <c r="AS78" s="82"/>
      <c r="AT78" s="82"/>
      <c r="AU78" s="82"/>
      <c r="AV78" s="82"/>
      <c r="AW78" s="82"/>
      <c r="AX78" s="82"/>
      <c r="AY78" s="82"/>
      <c r="AZ78" s="82"/>
      <c r="BA78" s="82"/>
      <c r="BB78" s="82"/>
      <c r="BC78" s="82"/>
      <c r="BD78" s="82"/>
      <c r="BE78" s="82"/>
      <c r="BF78" s="82"/>
      <c r="BG78" s="82"/>
      <c r="BH78" s="82"/>
      <c r="BI78" s="82"/>
      <c r="BJ78" s="82"/>
      <c r="BK78" s="82"/>
      <c r="BL78" s="82"/>
      <c r="BM78" s="82"/>
      <c r="BN78" s="82"/>
      <c r="BO78" s="82"/>
      <c r="BP78" s="82"/>
      <c r="BQ78" s="82"/>
      <c r="BR78" s="82"/>
      <c r="BS78" s="82"/>
      <c r="BT78" s="82"/>
      <c r="BU78" s="82"/>
      <c r="BV78" s="82"/>
      <c r="BW78" s="82"/>
      <c r="BX78" s="82"/>
      <c r="BY78" s="82"/>
      <c r="BZ78" s="82"/>
      <c r="CA78" s="82"/>
      <c r="CB78" s="82"/>
      <c r="CC78" s="82"/>
      <c r="CD78" s="82"/>
      <c r="CE78" s="82"/>
      <c r="CF78" s="82"/>
      <c r="CG78" s="82"/>
      <c r="CH78" s="82"/>
      <c r="CI78" s="82"/>
      <c r="CJ78" s="82"/>
      <c r="CK78" s="82"/>
      <c r="CL78" s="82"/>
      <c r="CM78" s="82"/>
      <c r="CN78" s="82"/>
      <c r="CO78" s="82"/>
    </row>
    <row r="79" spans="1:93">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82"/>
      <c r="AL79" s="82"/>
      <c r="AM79" s="82"/>
      <c r="AN79" s="82"/>
      <c r="AO79" s="82"/>
      <c r="AP79" s="82"/>
      <c r="AQ79" s="82"/>
      <c r="AR79" s="82"/>
      <c r="AS79" s="82"/>
      <c r="AT79" s="82"/>
      <c r="AU79" s="82"/>
      <c r="AV79" s="82"/>
      <c r="AW79" s="82"/>
      <c r="AX79" s="82"/>
      <c r="AY79" s="82"/>
      <c r="AZ79" s="82"/>
      <c r="BA79" s="82"/>
      <c r="BB79" s="82"/>
      <c r="BC79" s="82"/>
      <c r="BD79" s="82"/>
      <c r="BE79" s="82"/>
      <c r="BF79" s="82"/>
      <c r="BG79" s="82"/>
      <c r="BH79" s="82"/>
      <c r="BI79" s="82"/>
      <c r="BJ79" s="82"/>
      <c r="BK79" s="82"/>
      <c r="BL79" s="82"/>
      <c r="BM79" s="82"/>
      <c r="BN79" s="82"/>
      <c r="BO79" s="82"/>
      <c r="BP79" s="82"/>
      <c r="BQ79" s="82"/>
      <c r="BR79" s="82"/>
      <c r="BS79" s="82"/>
      <c r="BT79" s="82"/>
      <c r="BU79" s="82"/>
      <c r="BV79" s="82"/>
      <c r="BW79" s="82"/>
      <c r="BX79" s="82"/>
      <c r="BY79" s="82"/>
      <c r="BZ79" s="82"/>
      <c r="CA79" s="82"/>
      <c r="CB79" s="82"/>
      <c r="CC79" s="82"/>
      <c r="CD79" s="82"/>
      <c r="CE79" s="82"/>
      <c r="CF79" s="82"/>
      <c r="CG79" s="82"/>
      <c r="CH79" s="82"/>
      <c r="CI79" s="82"/>
      <c r="CJ79" s="82"/>
      <c r="CK79" s="82"/>
      <c r="CL79" s="82"/>
      <c r="CM79" s="82"/>
      <c r="CN79" s="82"/>
      <c r="CO79" s="82"/>
    </row>
    <row r="80" spans="1:93">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c r="AS80" s="82"/>
      <c r="AT80" s="82"/>
      <c r="AU80" s="82"/>
      <c r="AV80" s="82"/>
      <c r="AW80" s="82"/>
      <c r="AX80" s="82"/>
      <c r="AY80" s="82"/>
      <c r="AZ80" s="82"/>
      <c r="BA80" s="82"/>
      <c r="BB80" s="82"/>
      <c r="BC80" s="82"/>
      <c r="BD80" s="82"/>
      <c r="BE80" s="82"/>
      <c r="BF80" s="82"/>
      <c r="BG80" s="82"/>
      <c r="BH80" s="82"/>
      <c r="BI80" s="82"/>
      <c r="BJ80" s="82"/>
      <c r="BK80" s="82"/>
      <c r="BL80" s="82"/>
      <c r="BM80" s="82"/>
      <c r="BN80" s="82"/>
      <c r="BO80" s="82"/>
      <c r="BP80" s="82"/>
      <c r="BQ80" s="82"/>
      <c r="BR80" s="82"/>
      <c r="BS80" s="82"/>
      <c r="BT80" s="82"/>
      <c r="BU80" s="82"/>
      <c r="BV80" s="82"/>
      <c r="BW80" s="82"/>
      <c r="BX80" s="82"/>
      <c r="BY80" s="82"/>
      <c r="BZ80" s="82"/>
      <c r="CA80" s="82"/>
      <c r="CB80" s="82"/>
      <c r="CC80" s="82"/>
      <c r="CD80" s="82"/>
      <c r="CE80" s="82"/>
      <c r="CF80" s="82"/>
      <c r="CG80" s="82"/>
      <c r="CH80" s="82"/>
      <c r="CI80" s="82"/>
      <c r="CJ80" s="82"/>
      <c r="CK80" s="82"/>
      <c r="CL80" s="82"/>
      <c r="CM80" s="82"/>
      <c r="CN80" s="82"/>
      <c r="CO80" s="82"/>
    </row>
    <row r="81" spans="1:93">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c r="BG81" s="82"/>
      <c r="BH81" s="82"/>
      <c r="BI81" s="82"/>
      <c r="BJ81" s="82"/>
      <c r="BK81" s="82"/>
      <c r="BL81" s="82"/>
      <c r="BM81" s="82"/>
      <c r="BN81" s="82"/>
      <c r="BO81" s="82"/>
      <c r="BP81" s="82"/>
      <c r="BQ81" s="82"/>
      <c r="BR81" s="82"/>
      <c r="BS81" s="82"/>
      <c r="BT81" s="82"/>
      <c r="BU81" s="82"/>
      <c r="BV81" s="82"/>
      <c r="BW81" s="82"/>
      <c r="BX81" s="82"/>
      <c r="BY81" s="82"/>
      <c r="BZ81" s="82"/>
      <c r="CA81" s="82"/>
      <c r="CB81" s="82"/>
      <c r="CC81" s="82"/>
      <c r="CD81" s="82"/>
      <c r="CE81" s="82"/>
      <c r="CF81" s="82"/>
      <c r="CG81" s="82"/>
      <c r="CH81" s="82"/>
      <c r="CI81" s="82"/>
      <c r="CJ81" s="82"/>
      <c r="CK81" s="82"/>
      <c r="CL81" s="82"/>
      <c r="CM81" s="82"/>
      <c r="CN81" s="82"/>
      <c r="CO81" s="82"/>
    </row>
    <row r="82" spans="1:93">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2"/>
      <c r="AI82" s="82"/>
      <c r="AJ82" s="82"/>
      <c r="AK82" s="82"/>
      <c r="AL82" s="82"/>
      <c r="AM82" s="82"/>
      <c r="AN82" s="82"/>
      <c r="AO82" s="82"/>
      <c r="AP82" s="82"/>
      <c r="AQ82" s="82"/>
      <c r="AR82" s="82"/>
      <c r="AS82" s="82"/>
      <c r="AT82" s="82"/>
      <c r="AU82" s="82"/>
      <c r="AV82" s="82"/>
      <c r="AW82" s="82"/>
      <c r="AX82" s="82"/>
      <c r="AY82" s="82"/>
      <c r="AZ82" s="82"/>
      <c r="BA82" s="82"/>
      <c r="BB82" s="82"/>
      <c r="BC82" s="82"/>
      <c r="BD82" s="82"/>
      <c r="BE82" s="82"/>
      <c r="BF82" s="82"/>
      <c r="BG82" s="82"/>
      <c r="BH82" s="82"/>
      <c r="BI82" s="82"/>
      <c r="BJ82" s="82"/>
      <c r="BK82" s="82"/>
      <c r="BL82" s="82"/>
      <c r="BM82" s="82"/>
      <c r="BN82" s="82"/>
      <c r="BO82" s="82"/>
      <c r="BP82" s="82"/>
      <c r="BQ82" s="82"/>
      <c r="BR82" s="82"/>
      <c r="BS82" s="82"/>
      <c r="BT82" s="82"/>
      <c r="BU82" s="82"/>
      <c r="BV82" s="82"/>
      <c r="BW82" s="82"/>
      <c r="BX82" s="82"/>
      <c r="BY82" s="82"/>
      <c r="BZ82" s="82"/>
      <c r="CA82" s="82"/>
      <c r="CB82" s="82"/>
      <c r="CC82" s="82"/>
      <c r="CD82" s="82"/>
      <c r="CE82" s="82"/>
      <c r="CF82" s="82"/>
      <c r="CG82" s="82"/>
      <c r="CH82" s="82"/>
      <c r="CI82" s="82"/>
      <c r="CJ82" s="82"/>
      <c r="CK82" s="82"/>
      <c r="CL82" s="82"/>
      <c r="CM82" s="82"/>
      <c r="CN82" s="82"/>
      <c r="CO82" s="82"/>
    </row>
    <row r="83" spans="1:9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c r="BG83" s="82"/>
      <c r="BH83" s="82"/>
      <c r="BI83" s="82"/>
      <c r="BJ83" s="82"/>
      <c r="BK83" s="82"/>
      <c r="BL83" s="82"/>
      <c r="BM83" s="82"/>
      <c r="BN83" s="82"/>
      <c r="BO83" s="82"/>
      <c r="BP83" s="82"/>
      <c r="BQ83" s="82"/>
      <c r="BR83" s="82"/>
      <c r="BS83" s="82"/>
      <c r="BT83" s="82"/>
      <c r="BU83" s="82"/>
      <c r="BV83" s="82"/>
      <c r="BW83" s="82"/>
      <c r="BX83" s="82"/>
      <c r="BY83" s="82"/>
      <c r="BZ83" s="82"/>
      <c r="CA83" s="82"/>
      <c r="CB83" s="82"/>
      <c r="CC83" s="82"/>
      <c r="CD83" s="82"/>
      <c r="CE83" s="82"/>
      <c r="CF83" s="82"/>
      <c r="CG83" s="82"/>
      <c r="CH83" s="82"/>
      <c r="CI83" s="82"/>
      <c r="CJ83" s="82"/>
      <c r="CK83" s="82"/>
      <c r="CL83" s="82"/>
      <c r="CM83" s="82"/>
      <c r="CN83" s="82"/>
      <c r="CO83" s="82"/>
    </row>
    <row r="84" spans="1:93">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2"/>
      <c r="BO84" s="82"/>
      <c r="BP84" s="82"/>
      <c r="BQ84" s="82"/>
      <c r="BR84" s="82"/>
      <c r="BS84" s="82"/>
      <c r="BT84" s="82"/>
      <c r="BU84" s="82"/>
      <c r="BV84" s="82"/>
      <c r="BW84" s="82"/>
      <c r="BX84" s="82"/>
      <c r="BY84" s="82"/>
      <c r="BZ84" s="82"/>
      <c r="CA84" s="82"/>
      <c r="CB84" s="82"/>
      <c r="CC84" s="82"/>
      <c r="CD84" s="82"/>
      <c r="CE84" s="82"/>
      <c r="CF84" s="82"/>
      <c r="CG84" s="82"/>
      <c r="CH84" s="82"/>
      <c r="CI84" s="82"/>
      <c r="CJ84" s="82"/>
      <c r="CK84" s="82"/>
      <c r="CL84" s="82"/>
      <c r="CM84" s="82"/>
      <c r="CN84" s="82"/>
      <c r="CO84" s="82"/>
    </row>
    <row r="85" spans="1:93">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c r="BQ85" s="82"/>
      <c r="BR85" s="82"/>
      <c r="BS85" s="82"/>
      <c r="BT85" s="82"/>
      <c r="BU85" s="82"/>
      <c r="BV85" s="82"/>
      <c r="BW85" s="82"/>
      <c r="BX85" s="82"/>
      <c r="BY85" s="82"/>
      <c r="BZ85" s="82"/>
      <c r="CA85" s="82"/>
      <c r="CB85" s="82"/>
      <c r="CC85" s="82"/>
      <c r="CD85" s="82"/>
      <c r="CE85" s="82"/>
      <c r="CF85" s="82"/>
      <c r="CG85" s="82"/>
      <c r="CH85" s="82"/>
      <c r="CI85" s="82"/>
      <c r="CJ85" s="82"/>
      <c r="CK85" s="82"/>
      <c r="CL85" s="82"/>
      <c r="CM85" s="82"/>
      <c r="CN85" s="82"/>
      <c r="CO85" s="82"/>
    </row>
    <row r="86" spans="1:93">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c r="BA86" s="82"/>
      <c r="BB86" s="82"/>
      <c r="BC86" s="82"/>
      <c r="BD86" s="82"/>
      <c r="BE86" s="82"/>
      <c r="BF86" s="82"/>
      <c r="BG86" s="82"/>
      <c r="BH86" s="82"/>
      <c r="BI86" s="82"/>
      <c r="BJ86" s="82"/>
      <c r="BK86" s="82"/>
      <c r="BL86" s="82"/>
      <c r="BM86" s="82"/>
      <c r="BN86" s="82"/>
      <c r="BO86" s="82"/>
      <c r="BP86" s="82"/>
      <c r="BQ86" s="82"/>
      <c r="BR86" s="82"/>
      <c r="BS86" s="82"/>
      <c r="BT86" s="82"/>
      <c r="BU86" s="82"/>
      <c r="BV86" s="82"/>
      <c r="BW86" s="82"/>
      <c r="BX86" s="82"/>
      <c r="BY86" s="82"/>
      <c r="BZ86" s="82"/>
      <c r="CA86" s="82"/>
      <c r="CB86" s="82"/>
      <c r="CC86" s="82"/>
      <c r="CD86" s="82"/>
      <c r="CE86" s="82"/>
      <c r="CF86" s="82"/>
      <c r="CG86" s="82"/>
      <c r="CH86" s="82"/>
      <c r="CI86" s="82"/>
      <c r="CJ86" s="82"/>
      <c r="CK86" s="82"/>
      <c r="CL86" s="82"/>
      <c r="CM86" s="82"/>
      <c r="CN86" s="82"/>
      <c r="CO86" s="82"/>
    </row>
    <row r="87" spans="1:93">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c r="BG87" s="82"/>
      <c r="BH87" s="82"/>
      <c r="BI87" s="82"/>
      <c r="BJ87" s="82"/>
      <c r="BK87" s="82"/>
      <c r="BL87" s="82"/>
      <c r="BM87" s="82"/>
      <c r="BN87" s="82"/>
      <c r="BO87" s="82"/>
      <c r="BP87" s="82"/>
      <c r="BQ87" s="82"/>
      <c r="BR87" s="82"/>
      <c r="BS87" s="82"/>
      <c r="BT87" s="82"/>
      <c r="BU87" s="82"/>
      <c r="BV87" s="82"/>
      <c r="BW87" s="82"/>
      <c r="BX87" s="82"/>
      <c r="BY87" s="82"/>
      <c r="BZ87" s="82"/>
      <c r="CA87" s="82"/>
      <c r="CB87" s="82"/>
      <c r="CC87" s="82"/>
      <c r="CD87" s="82"/>
      <c r="CE87" s="82"/>
      <c r="CF87" s="82"/>
      <c r="CG87" s="82"/>
      <c r="CH87" s="82"/>
      <c r="CI87" s="82"/>
      <c r="CJ87" s="82"/>
      <c r="CK87" s="82"/>
      <c r="CL87" s="82"/>
      <c r="CM87" s="82"/>
      <c r="CN87" s="82"/>
      <c r="CO87" s="82"/>
    </row>
    <row r="88" spans="1:93">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82"/>
      <c r="AH88" s="82"/>
      <c r="AI88" s="82"/>
      <c r="AJ88" s="82"/>
      <c r="AK88" s="82"/>
      <c r="AL88" s="82"/>
      <c r="AM88" s="82"/>
      <c r="AN88" s="82"/>
      <c r="AO88" s="82"/>
      <c r="AP88" s="82"/>
      <c r="AQ88" s="82"/>
      <c r="AR88" s="82"/>
      <c r="AS88" s="82"/>
      <c r="AT88" s="82"/>
      <c r="AU88" s="82"/>
      <c r="AV88" s="82"/>
      <c r="AW88" s="82"/>
      <c r="AX88" s="82"/>
      <c r="AY88" s="82"/>
      <c r="AZ88" s="82"/>
      <c r="BA88" s="82"/>
      <c r="BB88" s="82"/>
      <c r="BC88" s="82"/>
      <c r="BD88" s="82"/>
      <c r="BE88" s="82"/>
      <c r="BF88" s="82"/>
      <c r="BG88" s="82"/>
      <c r="BH88" s="82"/>
      <c r="BI88" s="82"/>
      <c r="BJ88" s="82"/>
      <c r="BK88" s="82"/>
      <c r="BL88" s="82"/>
      <c r="BM88" s="82"/>
      <c r="BN88" s="82"/>
      <c r="BO88" s="82"/>
      <c r="BP88" s="82"/>
      <c r="BQ88" s="82"/>
      <c r="BR88" s="82"/>
      <c r="BS88" s="82"/>
      <c r="BT88" s="82"/>
      <c r="BU88" s="82"/>
      <c r="BV88" s="82"/>
      <c r="BW88" s="82"/>
      <c r="BX88" s="82"/>
      <c r="BY88" s="82"/>
      <c r="BZ88" s="82"/>
      <c r="CA88" s="82"/>
      <c r="CB88" s="82"/>
      <c r="CC88" s="82"/>
      <c r="CD88" s="82"/>
      <c r="CE88" s="82"/>
      <c r="CF88" s="82"/>
      <c r="CG88" s="82"/>
      <c r="CH88" s="82"/>
      <c r="CI88" s="82"/>
      <c r="CJ88" s="82"/>
      <c r="CK88" s="82"/>
      <c r="CL88" s="82"/>
      <c r="CM88" s="82"/>
      <c r="CN88" s="82"/>
      <c r="CO88" s="82"/>
    </row>
    <row r="89" spans="1:93">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2"/>
      <c r="AM89" s="82"/>
      <c r="AN89" s="82"/>
      <c r="AO89" s="82"/>
      <c r="AP89" s="82"/>
      <c r="AQ89" s="82"/>
      <c r="AR89" s="82"/>
      <c r="AS89" s="82"/>
      <c r="AT89" s="82"/>
      <c r="AU89" s="82"/>
      <c r="AV89" s="82"/>
      <c r="AW89" s="82"/>
      <c r="AX89" s="82"/>
      <c r="AY89" s="82"/>
      <c r="AZ89" s="82"/>
      <c r="BA89" s="82"/>
      <c r="BB89" s="82"/>
      <c r="BC89" s="82"/>
      <c r="BD89" s="82"/>
      <c r="BE89" s="82"/>
      <c r="BF89" s="82"/>
      <c r="BG89" s="82"/>
      <c r="BH89" s="82"/>
      <c r="BI89" s="82"/>
      <c r="BJ89" s="82"/>
      <c r="BK89" s="82"/>
      <c r="BL89" s="82"/>
      <c r="BM89" s="82"/>
      <c r="BN89" s="82"/>
      <c r="BO89" s="82"/>
      <c r="BP89" s="82"/>
      <c r="BQ89" s="82"/>
      <c r="BR89" s="82"/>
      <c r="BS89" s="82"/>
      <c r="BT89" s="82"/>
      <c r="BU89" s="82"/>
      <c r="BV89" s="82"/>
      <c r="BW89" s="82"/>
      <c r="BX89" s="82"/>
      <c r="BY89" s="82"/>
      <c r="BZ89" s="82"/>
      <c r="CA89" s="82"/>
      <c r="CB89" s="82"/>
      <c r="CC89" s="82"/>
      <c r="CD89" s="82"/>
      <c r="CE89" s="82"/>
      <c r="CF89" s="82"/>
      <c r="CG89" s="82"/>
      <c r="CH89" s="82"/>
      <c r="CI89" s="82"/>
      <c r="CJ89" s="82"/>
      <c r="CK89" s="82"/>
      <c r="CL89" s="82"/>
      <c r="CM89" s="82"/>
      <c r="CN89" s="82"/>
      <c r="CO89" s="82"/>
    </row>
    <row r="90" spans="1:93">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82"/>
      <c r="AH90" s="82"/>
      <c r="AI90" s="82"/>
      <c r="AJ90" s="82"/>
      <c r="AK90" s="82"/>
      <c r="AL90" s="82"/>
      <c r="AM90" s="82"/>
      <c r="AN90" s="82"/>
      <c r="AO90" s="82"/>
      <c r="AP90" s="82"/>
      <c r="AQ90" s="82"/>
      <c r="AR90" s="82"/>
      <c r="AS90" s="82"/>
      <c r="AT90" s="82"/>
      <c r="AU90" s="82"/>
      <c r="AV90" s="82"/>
      <c r="AW90" s="82"/>
      <c r="AX90" s="82"/>
      <c r="AY90" s="82"/>
      <c r="AZ90" s="82"/>
      <c r="BA90" s="82"/>
      <c r="BB90" s="82"/>
      <c r="BC90" s="82"/>
      <c r="BD90" s="82"/>
      <c r="BE90" s="82"/>
      <c r="BF90" s="82"/>
      <c r="BG90" s="82"/>
      <c r="BH90" s="82"/>
      <c r="BI90" s="82"/>
      <c r="BJ90" s="82"/>
      <c r="BK90" s="82"/>
      <c r="BL90" s="82"/>
      <c r="BM90" s="82"/>
      <c r="BN90" s="82"/>
      <c r="BO90" s="82"/>
      <c r="BP90" s="82"/>
      <c r="BQ90" s="82"/>
      <c r="BR90" s="82"/>
      <c r="BS90" s="82"/>
      <c r="BT90" s="82"/>
      <c r="BU90" s="82"/>
      <c r="BV90" s="82"/>
      <c r="BW90" s="82"/>
      <c r="BX90" s="82"/>
      <c r="BY90" s="82"/>
      <c r="BZ90" s="82"/>
      <c r="CA90" s="82"/>
      <c r="CB90" s="82"/>
      <c r="CC90" s="82"/>
      <c r="CD90" s="82"/>
      <c r="CE90" s="82"/>
      <c r="CF90" s="82"/>
      <c r="CG90" s="82"/>
      <c r="CH90" s="82"/>
      <c r="CI90" s="82"/>
      <c r="CJ90" s="82"/>
      <c r="CK90" s="82"/>
      <c r="CL90" s="82"/>
      <c r="CM90" s="82"/>
      <c r="CN90" s="82"/>
      <c r="CO90" s="82"/>
    </row>
    <row r="91" spans="1:93">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82"/>
      <c r="AS91" s="82"/>
      <c r="AT91" s="82"/>
      <c r="AU91" s="82"/>
      <c r="AV91" s="82"/>
      <c r="AW91" s="82"/>
      <c r="AX91" s="82"/>
      <c r="AY91" s="82"/>
      <c r="AZ91" s="82"/>
      <c r="BA91" s="82"/>
      <c r="BB91" s="82"/>
      <c r="BC91" s="82"/>
      <c r="BD91" s="82"/>
      <c r="BE91" s="82"/>
      <c r="BF91" s="82"/>
      <c r="BG91" s="82"/>
      <c r="BH91" s="82"/>
      <c r="BI91" s="82"/>
      <c r="BJ91" s="82"/>
      <c r="BK91" s="82"/>
      <c r="BL91" s="82"/>
      <c r="BM91" s="82"/>
      <c r="BN91" s="82"/>
      <c r="BO91" s="82"/>
      <c r="BP91" s="82"/>
      <c r="BQ91" s="82"/>
      <c r="BR91" s="82"/>
      <c r="BS91" s="82"/>
      <c r="BT91" s="82"/>
      <c r="BU91" s="82"/>
      <c r="BV91" s="82"/>
      <c r="BW91" s="82"/>
      <c r="BX91" s="82"/>
      <c r="BY91" s="82"/>
      <c r="BZ91" s="82"/>
      <c r="CA91" s="82"/>
      <c r="CB91" s="82"/>
      <c r="CC91" s="82"/>
      <c r="CD91" s="82"/>
      <c r="CE91" s="82"/>
      <c r="CF91" s="82"/>
      <c r="CG91" s="82"/>
      <c r="CH91" s="82"/>
      <c r="CI91" s="82"/>
      <c r="CJ91" s="82"/>
      <c r="CK91" s="82"/>
      <c r="CL91" s="82"/>
      <c r="CM91" s="82"/>
      <c r="CN91" s="82"/>
      <c r="CO91" s="82"/>
    </row>
    <row r="92" spans="1:93">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c r="BA92" s="82"/>
      <c r="BB92" s="82"/>
      <c r="BC92" s="82"/>
      <c r="BD92" s="82"/>
      <c r="BE92" s="82"/>
      <c r="BF92" s="82"/>
      <c r="BG92" s="82"/>
      <c r="BH92" s="82"/>
      <c r="BI92" s="82"/>
      <c r="BJ92" s="82"/>
      <c r="BK92" s="82"/>
      <c r="BL92" s="82"/>
      <c r="BM92" s="82"/>
      <c r="BN92" s="82"/>
      <c r="BO92" s="82"/>
      <c r="BP92" s="82"/>
      <c r="BQ92" s="82"/>
      <c r="BR92" s="82"/>
      <c r="BS92" s="82"/>
      <c r="BT92" s="82"/>
      <c r="BU92" s="82"/>
      <c r="BV92" s="82"/>
      <c r="BW92" s="82"/>
      <c r="BX92" s="82"/>
      <c r="BY92" s="82"/>
      <c r="BZ92" s="82"/>
      <c r="CA92" s="82"/>
      <c r="CB92" s="82"/>
      <c r="CC92" s="82"/>
      <c r="CD92" s="82"/>
      <c r="CE92" s="82"/>
      <c r="CF92" s="82"/>
      <c r="CG92" s="82"/>
      <c r="CH92" s="82"/>
      <c r="CI92" s="82"/>
      <c r="CJ92" s="82"/>
      <c r="CK92" s="82"/>
      <c r="CL92" s="82"/>
      <c r="CM92" s="82"/>
      <c r="CN92" s="82"/>
      <c r="CO92" s="82"/>
    </row>
    <row r="93" spans="1: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c r="BG93" s="82"/>
      <c r="BH93" s="82"/>
      <c r="BI93" s="82"/>
      <c r="BJ93" s="82"/>
      <c r="BK93" s="82"/>
      <c r="BL93" s="82"/>
      <c r="BM93" s="82"/>
      <c r="BN93" s="82"/>
      <c r="BO93" s="82"/>
      <c r="BP93" s="82"/>
      <c r="BQ93" s="82"/>
      <c r="BR93" s="82"/>
      <c r="BS93" s="82"/>
      <c r="BT93" s="82"/>
      <c r="BU93" s="82"/>
      <c r="BV93" s="82"/>
      <c r="BW93" s="82"/>
      <c r="BX93" s="82"/>
      <c r="BY93" s="82"/>
      <c r="BZ93" s="82"/>
      <c r="CA93" s="82"/>
      <c r="CB93" s="82"/>
      <c r="CC93" s="82"/>
      <c r="CD93" s="82"/>
      <c r="CE93" s="82"/>
      <c r="CF93" s="82"/>
      <c r="CG93" s="82"/>
      <c r="CH93" s="82"/>
      <c r="CI93" s="82"/>
      <c r="CJ93" s="82"/>
      <c r="CK93" s="82"/>
      <c r="CL93" s="82"/>
      <c r="CM93" s="82"/>
      <c r="CN93" s="82"/>
      <c r="CO93" s="82"/>
    </row>
    <row r="94" spans="1:93">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c r="BA94" s="82"/>
      <c r="BB94" s="82"/>
      <c r="BC94" s="82"/>
      <c r="BD94" s="82"/>
      <c r="BE94" s="82"/>
      <c r="BF94" s="82"/>
      <c r="BG94" s="82"/>
      <c r="BH94" s="82"/>
      <c r="BI94" s="82"/>
      <c r="BJ94" s="82"/>
      <c r="BK94" s="82"/>
      <c r="BL94" s="82"/>
      <c r="BM94" s="82"/>
      <c r="BN94" s="82"/>
      <c r="BO94" s="82"/>
      <c r="BP94" s="82"/>
      <c r="BQ94" s="82"/>
      <c r="BR94" s="82"/>
      <c r="BS94" s="82"/>
      <c r="BT94" s="82"/>
      <c r="BU94" s="82"/>
      <c r="BV94" s="82"/>
      <c r="BW94" s="82"/>
      <c r="BX94" s="82"/>
      <c r="BY94" s="82"/>
      <c r="BZ94" s="82"/>
      <c r="CA94" s="82"/>
      <c r="CB94" s="82"/>
      <c r="CC94" s="82"/>
      <c r="CD94" s="82"/>
      <c r="CE94" s="82"/>
      <c r="CF94" s="82"/>
      <c r="CG94" s="82"/>
      <c r="CH94" s="82"/>
      <c r="CI94" s="82"/>
      <c r="CJ94" s="82"/>
      <c r="CK94" s="82"/>
      <c r="CL94" s="82"/>
      <c r="CM94" s="82"/>
      <c r="CN94" s="82"/>
      <c r="CO94" s="82"/>
    </row>
    <row r="95" spans="1:93">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c r="BG95" s="82"/>
      <c r="BH95" s="82"/>
      <c r="BI95" s="82"/>
      <c r="BJ95" s="82"/>
      <c r="BK95" s="82"/>
      <c r="BL95" s="82"/>
      <c r="BM95" s="82"/>
      <c r="BN95" s="82"/>
      <c r="BO95" s="82"/>
      <c r="BP95" s="82"/>
      <c r="BQ95" s="82"/>
      <c r="BR95" s="82"/>
      <c r="BS95" s="82"/>
      <c r="BT95" s="82"/>
      <c r="BU95" s="82"/>
      <c r="BV95" s="82"/>
      <c r="BW95" s="82"/>
      <c r="BX95" s="82"/>
      <c r="BY95" s="82"/>
      <c r="BZ95" s="82"/>
      <c r="CA95" s="82"/>
      <c r="CB95" s="82"/>
      <c r="CC95" s="82"/>
      <c r="CD95" s="82"/>
      <c r="CE95" s="82"/>
      <c r="CF95" s="82"/>
      <c r="CG95" s="82"/>
      <c r="CH95" s="82"/>
      <c r="CI95" s="82"/>
      <c r="CJ95" s="82"/>
      <c r="CK95" s="82"/>
      <c r="CL95" s="82"/>
      <c r="CM95" s="82"/>
      <c r="CN95" s="82"/>
      <c r="CO95" s="82"/>
    </row>
    <row r="96" spans="1:93">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c r="BA96" s="82"/>
      <c r="BB96" s="82"/>
      <c r="BC96" s="82"/>
      <c r="BD96" s="82"/>
      <c r="BE96" s="82"/>
      <c r="BF96" s="82"/>
      <c r="BG96" s="82"/>
      <c r="BH96" s="82"/>
      <c r="BI96" s="82"/>
      <c r="BJ96" s="82"/>
      <c r="BK96" s="82"/>
      <c r="BL96" s="82"/>
      <c r="BM96" s="82"/>
      <c r="BN96" s="82"/>
      <c r="BO96" s="82"/>
      <c r="BP96" s="82"/>
      <c r="BQ96" s="82"/>
      <c r="BR96" s="82"/>
      <c r="BS96" s="82"/>
      <c r="BT96" s="82"/>
      <c r="BU96" s="82"/>
      <c r="BV96" s="82"/>
      <c r="BW96" s="82"/>
      <c r="BX96" s="82"/>
      <c r="BY96" s="82"/>
      <c r="BZ96" s="82"/>
      <c r="CA96" s="82"/>
      <c r="CB96" s="82"/>
      <c r="CC96" s="82"/>
      <c r="CD96" s="82"/>
      <c r="CE96" s="82"/>
      <c r="CF96" s="82"/>
      <c r="CG96" s="82"/>
      <c r="CH96" s="82"/>
      <c r="CI96" s="82"/>
      <c r="CJ96" s="82"/>
      <c r="CK96" s="82"/>
      <c r="CL96" s="82"/>
      <c r="CM96" s="82"/>
      <c r="CN96" s="82"/>
      <c r="CO96" s="82"/>
    </row>
    <row r="97" spans="1:93">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c r="BG97" s="82"/>
      <c r="BH97" s="82"/>
      <c r="BI97" s="82"/>
      <c r="BJ97" s="82"/>
      <c r="BK97" s="82"/>
      <c r="BL97" s="82"/>
      <c r="BM97" s="82"/>
      <c r="BN97" s="82"/>
      <c r="BO97" s="82"/>
      <c r="BP97" s="82"/>
      <c r="BQ97" s="82"/>
      <c r="BR97" s="82"/>
      <c r="BS97" s="82"/>
      <c r="BT97" s="82"/>
      <c r="BU97" s="82"/>
      <c r="BV97" s="82"/>
      <c r="BW97" s="82"/>
      <c r="BX97" s="82"/>
      <c r="BY97" s="82"/>
      <c r="BZ97" s="82"/>
      <c r="CA97" s="82"/>
      <c r="CB97" s="82"/>
      <c r="CC97" s="82"/>
      <c r="CD97" s="82"/>
      <c r="CE97" s="82"/>
      <c r="CF97" s="82"/>
      <c r="CG97" s="82"/>
      <c r="CH97" s="82"/>
      <c r="CI97" s="82"/>
      <c r="CJ97" s="82"/>
      <c r="CK97" s="82"/>
      <c r="CL97" s="82"/>
      <c r="CM97" s="82"/>
      <c r="CN97" s="82"/>
      <c r="CO97" s="82"/>
    </row>
    <row r="98" spans="1:93">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2"/>
      <c r="AK98" s="82"/>
      <c r="AL98" s="82"/>
      <c r="AM98" s="82"/>
      <c r="AN98" s="82"/>
      <c r="AO98" s="82"/>
      <c r="AP98" s="82"/>
      <c r="AQ98" s="82"/>
      <c r="AR98" s="82"/>
      <c r="AS98" s="82"/>
      <c r="AT98" s="82"/>
      <c r="AU98" s="82"/>
      <c r="AV98" s="82"/>
      <c r="AW98" s="82"/>
      <c r="AX98" s="82"/>
      <c r="AY98" s="82"/>
      <c r="AZ98" s="82"/>
      <c r="BA98" s="82"/>
      <c r="BB98" s="82"/>
      <c r="BC98" s="82"/>
      <c r="BD98" s="82"/>
      <c r="BE98" s="82"/>
      <c r="BF98" s="82"/>
      <c r="BG98" s="82"/>
      <c r="BH98" s="82"/>
      <c r="BI98" s="82"/>
      <c r="BJ98" s="82"/>
      <c r="BK98" s="82"/>
      <c r="BL98" s="82"/>
      <c r="BM98" s="82"/>
      <c r="BN98" s="82"/>
      <c r="BO98" s="82"/>
      <c r="BP98" s="82"/>
      <c r="BQ98" s="82"/>
      <c r="BR98" s="82"/>
      <c r="BS98" s="82"/>
      <c r="BT98" s="82"/>
      <c r="BU98" s="82"/>
      <c r="BV98" s="82"/>
      <c r="BW98" s="82"/>
      <c r="BX98" s="82"/>
      <c r="BY98" s="82"/>
      <c r="BZ98" s="82"/>
      <c r="CA98" s="82"/>
      <c r="CB98" s="82"/>
      <c r="CC98" s="82"/>
      <c r="CD98" s="82"/>
      <c r="CE98" s="82"/>
      <c r="CF98" s="82"/>
      <c r="CG98" s="82"/>
      <c r="CH98" s="82"/>
      <c r="CI98" s="82"/>
      <c r="CJ98" s="82"/>
      <c r="CK98" s="82"/>
      <c r="CL98" s="82"/>
      <c r="CM98" s="82"/>
      <c r="CN98" s="82"/>
      <c r="CO98" s="82"/>
    </row>
    <row r="99" spans="1:93">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82"/>
      <c r="AI99" s="82"/>
      <c r="AJ99" s="82"/>
      <c r="AK99" s="82"/>
      <c r="AL99" s="82"/>
      <c r="AM99" s="82"/>
      <c r="AN99" s="82"/>
      <c r="AO99" s="82"/>
      <c r="AP99" s="82"/>
      <c r="AQ99" s="82"/>
      <c r="AR99" s="82"/>
      <c r="AS99" s="82"/>
      <c r="AT99" s="82"/>
      <c r="AU99" s="82"/>
      <c r="AV99" s="82"/>
      <c r="AW99" s="82"/>
      <c r="AX99" s="82"/>
      <c r="AY99" s="82"/>
      <c r="AZ99" s="82"/>
      <c r="BA99" s="82"/>
      <c r="BB99" s="82"/>
      <c r="BC99" s="82"/>
      <c r="BD99" s="82"/>
      <c r="BE99" s="82"/>
      <c r="BF99" s="82"/>
      <c r="BG99" s="82"/>
      <c r="BH99" s="82"/>
      <c r="BI99" s="82"/>
      <c r="BJ99" s="82"/>
      <c r="BK99" s="82"/>
      <c r="BL99" s="82"/>
      <c r="BM99" s="82"/>
      <c r="BN99" s="82"/>
      <c r="BO99" s="82"/>
      <c r="BP99" s="82"/>
      <c r="BQ99" s="82"/>
      <c r="BR99" s="82"/>
      <c r="BS99" s="82"/>
      <c r="BT99" s="82"/>
      <c r="BU99" s="82"/>
      <c r="BV99" s="82"/>
      <c r="BW99" s="82"/>
      <c r="BX99" s="82"/>
      <c r="BY99" s="82"/>
      <c r="BZ99" s="82"/>
      <c r="CA99" s="82"/>
      <c r="CB99" s="82"/>
      <c r="CC99" s="82"/>
      <c r="CD99" s="82"/>
      <c r="CE99" s="82"/>
      <c r="CF99" s="82"/>
      <c r="CG99" s="82"/>
      <c r="CH99" s="82"/>
      <c r="CI99" s="82"/>
      <c r="CJ99" s="82"/>
      <c r="CK99" s="82"/>
      <c r="CL99" s="82"/>
      <c r="CM99" s="82"/>
      <c r="CN99" s="82"/>
      <c r="CO99" s="82"/>
    </row>
    <row r="100" spans="1:93">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c r="AI100" s="82"/>
      <c r="AJ100" s="82"/>
      <c r="AK100" s="82"/>
      <c r="AL100" s="82"/>
      <c r="AM100" s="82"/>
      <c r="AN100" s="82"/>
      <c r="AO100" s="82"/>
      <c r="AP100" s="82"/>
      <c r="AQ100" s="82"/>
      <c r="AR100" s="82"/>
      <c r="AS100" s="82"/>
      <c r="AT100" s="82"/>
      <c r="AU100" s="82"/>
      <c r="AV100" s="82"/>
      <c r="AW100" s="82"/>
      <c r="AX100" s="82"/>
      <c r="AY100" s="82"/>
      <c r="AZ100" s="82"/>
      <c r="BA100" s="82"/>
      <c r="BB100" s="82"/>
      <c r="BC100" s="82"/>
      <c r="BD100" s="82"/>
      <c r="BE100" s="82"/>
      <c r="BF100" s="82"/>
      <c r="BG100" s="82"/>
      <c r="BH100" s="82"/>
      <c r="BI100" s="82"/>
      <c r="BJ100" s="82"/>
      <c r="BK100" s="82"/>
      <c r="BL100" s="82"/>
      <c r="BM100" s="82"/>
      <c r="BN100" s="82"/>
      <c r="BO100" s="82"/>
      <c r="BP100" s="82"/>
      <c r="BQ100" s="82"/>
      <c r="BR100" s="82"/>
      <c r="BS100" s="82"/>
      <c r="BT100" s="82"/>
      <c r="BU100" s="82"/>
      <c r="BV100" s="82"/>
      <c r="BW100" s="82"/>
      <c r="BX100" s="82"/>
      <c r="BY100" s="82"/>
      <c r="BZ100" s="82"/>
      <c r="CA100" s="82"/>
      <c r="CB100" s="82"/>
      <c r="CC100" s="82"/>
      <c r="CD100" s="82"/>
      <c r="CE100" s="82"/>
      <c r="CF100" s="82"/>
      <c r="CG100" s="82"/>
      <c r="CH100" s="82"/>
      <c r="CI100" s="82"/>
      <c r="CJ100" s="82"/>
      <c r="CK100" s="82"/>
      <c r="CL100" s="82"/>
      <c r="CM100" s="82"/>
      <c r="CN100" s="82"/>
      <c r="CO100" s="82"/>
    </row>
    <row r="101" spans="1:93">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82"/>
      <c r="AX101" s="82"/>
      <c r="AY101" s="82"/>
      <c r="AZ101" s="82"/>
      <c r="BA101" s="82"/>
      <c r="BB101" s="82"/>
      <c r="BC101" s="82"/>
      <c r="BD101" s="82"/>
      <c r="BE101" s="82"/>
      <c r="BF101" s="82"/>
      <c r="BG101" s="82"/>
      <c r="BH101" s="82"/>
      <c r="BI101" s="82"/>
      <c r="BJ101" s="82"/>
      <c r="BK101" s="82"/>
      <c r="BL101" s="82"/>
      <c r="BM101" s="82"/>
      <c r="BN101" s="82"/>
      <c r="BO101" s="82"/>
      <c r="BP101" s="82"/>
      <c r="BQ101" s="82"/>
      <c r="BR101" s="82"/>
      <c r="BS101" s="82"/>
      <c r="BT101" s="82"/>
      <c r="BU101" s="82"/>
      <c r="BV101" s="82"/>
      <c r="BW101" s="82"/>
      <c r="BX101" s="82"/>
      <c r="BY101" s="82"/>
      <c r="BZ101" s="82"/>
      <c r="CA101" s="82"/>
      <c r="CB101" s="82"/>
      <c r="CC101" s="82"/>
      <c r="CD101" s="82"/>
      <c r="CE101" s="82"/>
      <c r="CF101" s="82"/>
      <c r="CG101" s="82"/>
      <c r="CH101" s="82"/>
      <c r="CI101" s="82"/>
      <c r="CJ101" s="82"/>
      <c r="CK101" s="82"/>
      <c r="CL101" s="82"/>
      <c r="CM101" s="82"/>
      <c r="CN101" s="82"/>
      <c r="CO101" s="82"/>
    </row>
    <row r="102" spans="1:93">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c r="BA102" s="82"/>
      <c r="BB102" s="82"/>
      <c r="BC102" s="82"/>
      <c r="BD102" s="82"/>
      <c r="BE102" s="82"/>
      <c r="BF102" s="82"/>
      <c r="BG102" s="82"/>
      <c r="BH102" s="82"/>
      <c r="BI102" s="82"/>
      <c r="BJ102" s="82"/>
      <c r="BK102" s="82"/>
      <c r="BL102" s="82"/>
      <c r="BM102" s="82"/>
      <c r="BN102" s="82"/>
      <c r="BO102" s="82"/>
      <c r="BP102" s="82"/>
      <c r="BQ102" s="82"/>
      <c r="BR102" s="82"/>
      <c r="BS102" s="82"/>
      <c r="BT102" s="82"/>
      <c r="BU102" s="82"/>
      <c r="BV102" s="82"/>
      <c r="BW102" s="82"/>
      <c r="BX102" s="82"/>
      <c r="BY102" s="82"/>
      <c r="BZ102" s="82"/>
      <c r="CA102" s="82"/>
      <c r="CB102" s="82"/>
      <c r="CC102" s="82"/>
      <c r="CD102" s="82"/>
      <c r="CE102" s="82"/>
      <c r="CF102" s="82"/>
      <c r="CG102" s="82"/>
      <c r="CH102" s="82"/>
      <c r="CI102" s="82"/>
      <c r="CJ102" s="82"/>
      <c r="CK102" s="82"/>
      <c r="CL102" s="82"/>
      <c r="CM102" s="82"/>
      <c r="CN102" s="82"/>
      <c r="CO102" s="82"/>
    </row>
    <row r="103" spans="1:9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82"/>
      <c r="BJ103" s="82"/>
      <c r="BK103" s="82"/>
      <c r="BL103" s="82"/>
      <c r="BM103" s="82"/>
      <c r="BN103" s="82"/>
      <c r="BO103" s="82"/>
      <c r="BP103" s="82"/>
      <c r="BQ103" s="82"/>
      <c r="BR103" s="82"/>
      <c r="BS103" s="82"/>
      <c r="BT103" s="82"/>
      <c r="BU103" s="82"/>
      <c r="BV103" s="82"/>
      <c r="BW103" s="82"/>
      <c r="BX103" s="82"/>
      <c r="BY103" s="82"/>
      <c r="BZ103" s="82"/>
      <c r="CA103" s="82"/>
      <c r="CB103" s="82"/>
      <c r="CC103" s="82"/>
      <c r="CD103" s="82"/>
      <c r="CE103" s="82"/>
      <c r="CF103" s="82"/>
      <c r="CG103" s="82"/>
      <c r="CH103" s="82"/>
      <c r="CI103" s="82"/>
      <c r="CJ103" s="82"/>
      <c r="CK103" s="82"/>
      <c r="CL103" s="82"/>
      <c r="CM103" s="82"/>
      <c r="CN103" s="82"/>
      <c r="CO103" s="82"/>
    </row>
    <row r="104" spans="1:93">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2"/>
      <c r="AQ104" s="82"/>
      <c r="AR104" s="82"/>
      <c r="AS104" s="82"/>
      <c r="AT104" s="82"/>
      <c r="AU104" s="82"/>
      <c r="AV104" s="82"/>
      <c r="AW104" s="82"/>
      <c r="AX104" s="82"/>
      <c r="AY104" s="82"/>
      <c r="AZ104" s="82"/>
      <c r="BA104" s="82"/>
      <c r="BB104" s="82"/>
      <c r="BC104" s="82"/>
      <c r="BD104" s="82"/>
      <c r="BE104" s="82"/>
      <c r="BF104" s="82"/>
      <c r="BG104" s="82"/>
      <c r="BH104" s="82"/>
      <c r="BI104" s="82"/>
      <c r="BJ104" s="82"/>
      <c r="BK104" s="82"/>
      <c r="BL104" s="82"/>
      <c r="BM104" s="82"/>
      <c r="BN104" s="82"/>
      <c r="BO104" s="82"/>
      <c r="BP104" s="82"/>
      <c r="BQ104" s="82"/>
      <c r="BR104" s="82"/>
      <c r="BS104" s="82"/>
      <c r="BT104" s="82"/>
      <c r="BU104" s="82"/>
      <c r="BV104" s="82"/>
      <c r="BW104" s="82"/>
      <c r="BX104" s="82"/>
      <c r="BY104" s="82"/>
      <c r="BZ104" s="82"/>
      <c r="CA104" s="82"/>
      <c r="CB104" s="82"/>
      <c r="CC104" s="82"/>
      <c r="CD104" s="82"/>
      <c r="CE104" s="82"/>
      <c r="CF104" s="82"/>
      <c r="CG104" s="82"/>
      <c r="CH104" s="82"/>
      <c r="CI104" s="82"/>
      <c r="CJ104" s="82"/>
      <c r="CK104" s="82"/>
      <c r="CL104" s="82"/>
      <c r="CM104" s="82"/>
      <c r="CN104" s="82"/>
      <c r="CO104" s="82"/>
    </row>
    <row r="105" spans="1:93">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2"/>
      <c r="AQ105" s="82"/>
      <c r="AR105" s="82"/>
      <c r="AS105" s="82"/>
      <c r="AT105" s="82"/>
      <c r="AU105" s="82"/>
      <c r="AV105" s="82"/>
      <c r="AW105" s="82"/>
      <c r="AX105" s="82"/>
      <c r="AY105" s="82"/>
      <c r="AZ105" s="82"/>
      <c r="BA105" s="82"/>
      <c r="BB105" s="82"/>
      <c r="BC105" s="82"/>
      <c r="BD105" s="82"/>
      <c r="BE105" s="82"/>
      <c r="BF105" s="82"/>
      <c r="BG105" s="82"/>
      <c r="BH105" s="82"/>
      <c r="BI105" s="82"/>
      <c r="BJ105" s="82"/>
      <c r="BK105" s="82"/>
      <c r="BL105" s="82"/>
      <c r="BM105" s="82"/>
      <c r="BN105" s="82"/>
      <c r="BO105" s="82"/>
      <c r="BP105" s="82"/>
      <c r="BQ105" s="82"/>
      <c r="BR105" s="82"/>
      <c r="BS105" s="82"/>
      <c r="BT105" s="82"/>
      <c r="BU105" s="82"/>
      <c r="BV105" s="82"/>
      <c r="BW105" s="82"/>
      <c r="BX105" s="82"/>
      <c r="BY105" s="82"/>
      <c r="BZ105" s="82"/>
      <c r="CA105" s="82"/>
      <c r="CB105" s="82"/>
      <c r="CC105" s="82"/>
      <c r="CD105" s="82"/>
      <c r="CE105" s="82"/>
      <c r="CF105" s="82"/>
      <c r="CG105" s="82"/>
      <c r="CH105" s="82"/>
      <c r="CI105" s="82"/>
      <c r="CJ105" s="82"/>
      <c r="CK105" s="82"/>
      <c r="CL105" s="82"/>
      <c r="CM105" s="82"/>
      <c r="CN105" s="82"/>
      <c r="CO105" s="82"/>
    </row>
    <row r="106" spans="1:93">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82"/>
      <c r="BJ106" s="82"/>
      <c r="BK106" s="82"/>
      <c r="BL106" s="82"/>
      <c r="BM106" s="82"/>
      <c r="BN106" s="82"/>
      <c r="BO106" s="82"/>
      <c r="BP106" s="82"/>
      <c r="BQ106" s="82"/>
      <c r="BR106" s="82"/>
      <c r="BS106" s="82"/>
      <c r="BT106" s="82"/>
      <c r="BU106" s="82"/>
      <c r="BV106" s="82"/>
      <c r="BW106" s="82"/>
      <c r="BX106" s="82"/>
      <c r="BY106" s="82"/>
      <c r="BZ106" s="82"/>
      <c r="CA106" s="82"/>
      <c r="CB106" s="82"/>
      <c r="CC106" s="82"/>
      <c r="CD106" s="82"/>
      <c r="CE106" s="82"/>
      <c r="CF106" s="82"/>
      <c r="CG106" s="82"/>
      <c r="CH106" s="82"/>
      <c r="CI106" s="82"/>
      <c r="CJ106" s="82"/>
      <c r="CK106" s="82"/>
      <c r="CL106" s="82"/>
      <c r="CM106" s="82"/>
      <c r="CN106" s="82"/>
      <c r="CO106" s="82"/>
    </row>
    <row r="107" spans="1:93">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2"/>
      <c r="BD107" s="82"/>
      <c r="BE107" s="82"/>
      <c r="BF107" s="82"/>
      <c r="BG107" s="82"/>
      <c r="BH107" s="82"/>
      <c r="BI107" s="82"/>
      <c r="BJ107" s="82"/>
      <c r="BK107" s="82"/>
      <c r="BL107" s="82"/>
      <c r="BM107" s="82"/>
      <c r="BN107" s="82"/>
      <c r="BO107" s="82"/>
      <c r="BP107" s="82"/>
      <c r="BQ107" s="82"/>
      <c r="BR107" s="82"/>
      <c r="BS107" s="82"/>
      <c r="BT107" s="82"/>
      <c r="BU107" s="82"/>
      <c r="BV107" s="82"/>
      <c r="BW107" s="82"/>
      <c r="BX107" s="82"/>
      <c r="BY107" s="82"/>
      <c r="BZ107" s="82"/>
      <c r="CA107" s="82"/>
      <c r="CB107" s="82"/>
      <c r="CC107" s="82"/>
      <c r="CD107" s="82"/>
      <c r="CE107" s="82"/>
      <c r="CF107" s="82"/>
      <c r="CG107" s="82"/>
      <c r="CH107" s="82"/>
      <c r="CI107" s="82"/>
      <c r="CJ107" s="82"/>
      <c r="CK107" s="82"/>
      <c r="CL107" s="82"/>
      <c r="CM107" s="82"/>
      <c r="CN107" s="82"/>
      <c r="CO107" s="82"/>
    </row>
    <row r="108" spans="1:93">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c r="BA108" s="82"/>
      <c r="BB108" s="82"/>
      <c r="BC108" s="82"/>
      <c r="BD108" s="82"/>
      <c r="BE108" s="82"/>
      <c r="BF108" s="82"/>
      <c r="BG108" s="82"/>
      <c r="BH108" s="82"/>
      <c r="BI108" s="82"/>
      <c r="BJ108" s="82"/>
      <c r="BK108" s="82"/>
      <c r="BL108" s="82"/>
      <c r="BM108" s="82"/>
      <c r="BN108" s="82"/>
      <c r="BO108" s="82"/>
      <c r="BP108" s="82"/>
      <c r="BQ108" s="82"/>
      <c r="BR108" s="82"/>
      <c r="BS108" s="82"/>
      <c r="BT108" s="82"/>
      <c r="BU108" s="82"/>
      <c r="BV108" s="82"/>
      <c r="BW108" s="82"/>
      <c r="BX108" s="82"/>
      <c r="BY108" s="82"/>
      <c r="BZ108" s="82"/>
      <c r="CA108" s="82"/>
      <c r="CB108" s="82"/>
      <c r="CC108" s="82"/>
      <c r="CD108" s="82"/>
      <c r="CE108" s="82"/>
      <c r="CF108" s="82"/>
      <c r="CG108" s="82"/>
      <c r="CH108" s="82"/>
      <c r="CI108" s="82"/>
      <c r="CJ108" s="82"/>
      <c r="CK108" s="82"/>
      <c r="CL108" s="82"/>
      <c r="CM108" s="82"/>
      <c r="CN108" s="82"/>
      <c r="CO108" s="82"/>
    </row>
    <row r="109" spans="1:93">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2"/>
      <c r="AF109" s="82"/>
      <c r="AG109" s="82"/>
      <c r="AH109" s="82"/>
      <c r="AI109" s="82"/>
      <c r="AJ109" s="82"/>
      <c r="AK109" s="82"/>
      <c r="AL109" s="82"/>
      <c r="AM109" s="82"/>
      <c r="AN109" s="82"/>
      <c r="AO109" s="82"/>
      <c r="AP109" s="82"/>
      <c r="AQ109" s="82"/>
      <c r="AR109" s="82"/>
      <c r="AS109" s="82"/>
      <c r="AT109" s="82"/>
      <c r="AU109" s="82"/>
      <c r="AV109" s="82"/>
      <c r="AW109" s="82"/>
      <c r="AX109" s="82"/>
      <c r="AY109" s="82"/>
      <c r="AZ109" s="82"/>
      <c r="BA109" s="82"/>
      <c r="BB109" s="82"/>
      <c r="BC109" s="82"/>
      <c r="BD109" s="82"/>
      <c r="BE109" s="82"/>
      <c r="BF109" s="82"/>
      <c r="BG109" s="82"/>
      <c r="BH109" s="82"/>
      <c r="BI109" s="82"/>
      <c r="BJ109" s="82"/>
      <c r="BK109" s="82"/>
      <c r="BL109" s="82"/>
      <c r="BM109" s="82"/>
      <c r="BN109" s="82"/>
      <c r="BO109" s="82"/>
      <c r="BP109" s="82"/>
      <c r="BQ109" s="82"/>
      <c r="BR109" s="82"/>
      <c r="BS109" s="82"/>
      <c r="BT109" s="82"/>
      <c r="BU109" s="82"/>
      <c r="BV109" s="82"/>
      <c r="BW109" s="82"/>
      <c r="BX109" s="82"/>
      <c r="BY109" s="82"/>
      <c r="BZ109" s="82"/>
      <c r="CA109" s="82"/>
      <c r="CB109" s="82"/>
      <c r="CC109" s="82"/>
      <c r="CD109" s="82"/>
      <c r="CE109" s="82"/>
      <c r="CF109" s="82"/>
      <c r="CG109" s="82"/>
      <c r="CH109" s="82"/>
      <c r="CI109" s="82"/>
      <c r="CJ109" s="82"/>
      <c r="CK109" s="82"/>
      <c r="CL109" s="82"/>
      <c r="CM109" s="82"/>
      <c r="CN109" s="82"/>
      <c r="CO109" s="82"/>
    </row>
    <row r="110" spans="1:93">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c r="AI110" s="82"/>
      <c r="AJ110" s="82"/>
      <c r="AK110" s="82"/>
      <c r="AL110" s="82"/>
      <c r="AM110" s="82"/>
      <c r="AN110" s="82"/>
      <c r="AO110" s="82"/>
      <c r="AP110" s="82"/>
      <c r="AQ110" s="82"/>
      <c r="AR110" s="82"/>
      <c r="AS110" s="82"/>
      <c r="AT110" s="82"/>
      <c r="AU110" s="82"/>
      <c r="AV110" s="82"/>
      <c r="AW110" s="82"/>
      <c r="AX110" s="82"/>
      <c r="AY110" s="82"/>
      <c r="AZ110" s="82"/>
      <c r="BA110" s="82"/>
      <c r="BB110" s="82"/>
      <c r="BC110" s="82"/>
      <c r="BD110" s="82"/>
      <c r="BE110" s="82"/>
      <c r="BF110" s="82"/>
      <c r="BG110" s="82"/>
      <c r="BH110" s="82"/>
      <c r="BI110" s="82"/>
      <c r="BJ110" s="82"/>
      <c r="BK110" s="82"/>
      <c r="BL110" s="82"/>
      <c r="BM110" s="82"/>
      <c r="BN110" s="82"/>
      <c r="BO110" s="82"/>
      <c r="BP110" s="82"/>
      <c r="BQ110" s="82"/>
      <c r="BR110" s="82"/>
      <c r="BS110" s="82"/>
      <c r="BT110" s="82"/>
      <c r="BU110" s="82"/>
      <c r="BV110" s="82"/>
      <c r="BW110" s="82"/>
      <c r="BX110" s="82"/>
      <c r="BY110" s="82"/>
      <c r="BZ110" s="82"/>
      <c r="CA110" s="82"/>
      <c r="CB110" s="82"/>
      <c r="CC110" s="82"/>
      <c r="CD110" s="82"/>
      <c r="CE110" s="82"/>
      <c r="CF110" s="82"/>
      <c r="CG110" s="82"/>
      <c r="CH110" s="82"/>
      <c r="CI110" s="82"/>
      <c r="CJ110" s="82"/>
      <c r="CK110" s="82"/>
      <c r="CL110" s="82"/>
      <c r="CM110" s="82"/>
      <c r="CN110" s="82"/>
      <c r="CO110" s="82"/>
    </row>
    <row r="111" spans="1:93">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c r="AI111" s="82"/>
      <c r="AJ111" s="82"/>
      <c r="AK111" s="82"/>
      <c r="AL111" s="82"/>
      <c r="AM111" s="82"/>
      <c r="AN111" s="82"/>
      <c r="AO111" s="82"/>
      <c r="AP111" s="82"/>
      <c r="AQ111" s="82"/>
      <c r="AR111" s="82"/>
      <c r="AS111" s="82"/>
      <c r="AT111" s="82"/>
      <c r="AU111" s="82"/>
      <c r="AV111" s="82"/>
      <c r="AW111" s="82"/>
      <c r="AX111" s="82"/>
      <c r="AY111" s="82"/>
      <c r="AZ111" s="82"/>
      <c r="BA111" s="82"/>
      <c r="BB111" s="82"/>
      <c r="BC111" s="82"/>
      <c r="BD111" s="82"/>
      <c r="BE111" s="82"/>
      <c r="BF111" s="82"/>
      <c r="BG111" s="82"/>
      <c r="BH111" s="82"/>
      <c r="BI111" s="82"/>
      <c r="BJ111" s="82"/>
      <c r="BK111" s="82"/>
      <c r="BL111" s="82"/>
      <c r="BM111" s="82"/>
      <c r="BN111" s="82"/>
      <c r="BO111" s="82"/>
      <c r="BP111" s="82"/>
      <c r="BQ111" s="82"/>
      <c r="BR111" s="82"/>
      <c r="BS111" s="82"/>
      <c r="BT111" s="82"/>
      <c r="BU111" s="82"/>
      <c r="BV111" s="82"/>
      <c r="BW111" s="82"/>
      <c r="BX111" s="82"/>
      <c r="BY111" s="82"/>
      <c r="BZ111" s="82"/>
      <c r="CA111" s="82"/>
      <c r="CB111" s="82"/>
      <c r="CC111" s="82"/>
      <c r="CD111" s="82"/>
      <c r="CE111" s="82"/>
      <c r="CF111" s="82"/>
      <c r="CG111" s="82"/>
      <c r="CH111" s="82"/>
      <c r="CI111" s="82"/>
      <c r="CJ111" s="82"/>
      <c r="CK111" s="82"/>
      <c r="CL111" s="82"/>
      <c r="CM111" s="82"/>
      <c r="CN111" s="82"/>
      <c r="CO111" s="82"/>
    </row>
    <row r="112" spans="1:93">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c r="AI112" s="82"/>
      <c r="AJ112" s="82"/>
      <c r="AK112" s="82"/>
      <c r="AL112" s="82"/>
      <c r="AM112" s="82"/>
      <c r="AN112" s="82"/>
      <c r="AO112" s="82"/>
      <c r="AP112" s="82"/>
      <c r="AQ112" s="82"/>
      <c r="AR112" s="82"/>
      <c r="AS112" s="82"/>
      <c r="AT112" s="82"/>
      <c r="AU112" s="82"/>
      <c r="AV112" s="82"/>
      <c r="AW112" s="82"/>
      <c r="AX112" s="82"/>
      <c r="AY112" s="82"/>
      <c r="AZ112" s="82"/>
      <c r="BA112" s="82"/>
      <c r="BB112" s="82"/>
      <c r="BC112" s="82"/>
      <c r="BD112" s="82"/>
      <c r="BE112" s="82"/>
      <c r="BF112" s="82"/>
      <c r="BG112" s="82"/>
      <c r="BH112" s="82"/>
      <c r="BI112" s="82"/>
      <c r="BJ112" s="82"/>
      <c r="BK112" s="82"/>
      <c r="BL112" s="82"/>
      <c r="BM112" s="82"/>
      <c r="BN112" s="82"/>
      <c r="BO112" s="82"/>
      <c r="BP112" s="82"/>
      <c r="BQ112" s="82"/>
      <c r="BR112" s="82"/>
      <c r="BS112" s="82"/>
      <c r="BT112" s="82"/>
      <c r="BU112" s="82"/>
      <c r="BV112" s="82"/>
      <c r="BW112" s="82"/>
      <c r="BX112" s="82"/>
      <c r="BY112" s="82"/>
      <c r="BZ112" s="82"/>
      <c r="CA112" s="82"/>
      <c r="CB112" s="82"/>
      <c r="CC112" s="82"/>
      <c r="CD112" s="82"/>
      <c r="CE112" s="82"/>
      <c r="CF112" s="82"/>
      <c r="CG112" s="82"/>
      <c r="CH112" s="82"/>
      <c r="CI112" s="82"/>
      <c r="CJ112" s="82"/>
      <c r="CK112" s="82"/>
      <c r="CL112" s="82"/>
      <c r="CM112" s="82"/>
      <c r="CN112" s="82"/>
      <c r="CO112" s="82"/>
    </row>
    <row r="113" spans="1:9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c r="AI113" s="82"/>
      <c r="AJ113" s="82"/>
      <c r="AK113" s="82"/>
      <c r="AL113" s="82"/>
      <c r="AM113" s="82"/>
      <c r="AN113" s="82"/>
      <c r="AO113" s="82"/>
      <c r="AP113" s="82"/>
      <c r="AQ113" s="82"/>
      <c r="AR113" s="82"/>
      <c r="AS113" s="82"/>
      <c r="AT113" s="82"/>
      <c r="AU113" s="82"/>
      <c r="AV113" s="82"/>
      <c r="AW113" s="82"/>
      <c r="AX113" s="82"/>
      <c r="AY113" s="82"/>
      <c r="AZ113" s="82"/>
      <c r="BA113" s="82"/>
      <c r="BB113" s="82"/>
      <c r="BC113" s="82"/>
      <c r="BD113" s="82"/>
      <c r="BE113" s="82"/>
      <c r="BF113" s="82"/>
      <c r="BG113" s="82"/>
      <c r="BH113" s="82"/>
      <c r="BI113" s="82"/>
      <c r="BJ113" s="82"/>
      <c r="BK113" s="82"/>
      <c r="BL113" s="82"/>
      <c r="BM113" s="82"/>
      <c r="BN113" s="82"/>
      <c r="BO113" s="82"/>
      <c r="BP113" s="82"/>
      <c r="BQ113" s="82"/>
      <c r="BR113" s="82"/>
      <c r="BS113" s="82"/>
      <c r="BT113" s="82"/>
      <c r="BU113" s="82"/>
      <c r="BV113" s="82"/>
      <c r="BW113" s="82"/>
      <c r="BX113" s="82"/>
      <c r="BY113" s="82"/>
      <c r="BZ113" s="82"/>
      <c r="CA113" s="82"/>
      <c r="CB113" s="82"/>
      <c r="CC113" s="82"/>
      <c r="CD113" s="82"/>
      <c r="CE113" s="82"/>
      <c r="CF113" s="82"/>
      <c r="CG113" s="82"/>
      <c r="CH113" s="82"/>
      <c r="CI113" s="82"/>
      <c r="CJ113" s="82"/>
      <c r="CK113" s="82"/>
      <c r="CL113" s="82"/>
      <c r="CM113" s="82"/>
      <c r="CN113" s="82"/>
      <c r="CO113" s="82"/>
    </row>
    <row r="114" spans="1:93">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c r="AI114" s="82"/>
      <c r="AJ114" s="82"/>
      <c r="AK114" s="82"/>
      <c r="AL114" s="82"/>
      <c r="AM114" s="82"/>
      <c r="AN114" s="82"/>
      <c r="AO114" s="82"/>
      <c r="AP114" s="82"/>
      <c r="AQ114" s="82"/>
      <c r="AR114" s="82"/>
      <c r="AS114" s="82"/>
      <c r="AT114" s="82"/>
      <c r="AU114" s="82"/>
      <c r="AV114" s="82"/>
      <c r="AW114" s="82"/>
      <c r="AX114" s="82"/>
      <c r="AY114" s="82"/>
      <c r="AZ114" s="82"/>
      <c r="BA114" s="82"/>
      <c r="BB114" s="82"/>
      <c r="BC114" s="82"/>
      <c r="BD114" s="82"/>
      <c r="BE114" s="82"/>
      <c r="BF114" s="82"/>
      <c r="BG114" s="82"/>
      <c r="BH114" s="82"/>
      <c r="BI114" s="82"/>
      <c r="BJ114" s="82"/>
      <c r="BK114" s="82"/>
      <c r="BL114" s="82"/>
      <c r="BM114" s="82"/>
      <c r="BN114" s="82"/>
      <c r="BO114" s="82"/>
      <c r="BP114" s="82"/>
      <c r="BQ114" s="82"/>
      <c r="BR114" s="82"/>
      <c r="BS114" s="82"/>
      <c r="BT114" s="82"/>
      <c r="BU114" s="82"/>
      <c r="BV114" s="82"/>
      <c r="BW114" s="82"/>
      <c r="BX114" s="82"/>
      <c r="BY114" s="82"/>
      <c r="BZ114" s="82"/>
      <c r="CA114" s="82"/>
      <c r="CB114" s="82"/>
      <c r="CC114" s="82"/>
      <c r="CD114" s="82"/>
      <c r="CE114" s="82"/>
      <c r="CF114" s="82"/>
      <c r="CG114" s="82"/>
      <c r="CH114" s="82"/>
      <c r="CI114" s="82"/>
      <c r="CJ114" s="82"/>
      <c r="CK114" s="82"/>
      <c r="CL114" s="82"/>
      <c r="CM114" s="82"/>
      <c r="CN114" s="82"/>
      <c r="CO114" s="82"/>
    </row>
    <row r="115" spans="1:93">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82"/>
      <c r="AH115" s="82"/>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c r="BK115" s="82"/>
      <c r="BL115" s="82"/>
      <c r="BM115" s="82"/>
      <c r="BN115" s="82"/>
      <c r="BO115" s="82"/>
      <c r="BP115" s="82"/>
      <c r="BQ115" s="82"/>
      <c r="BR115" s="82"/>
      <c r="BS115" s="82"/>
      <c r="BT115" s="82"/>
      <c r="BU115" s="82"/>
      <c r="BV115" s="82"/>
      <c r="BW115" s="82"/>
      <c r="BX115" s="82"/>
      <c r="BY115" s="82"/>
      <c r="BZ115" s="82"/>
      <c r="CA115" s="82"/>
      <c r="CB115" s="82"/>
      <c r="CC115" s="82"/>
      <c r="CD115" s="82"/>
      <c r="CE115" s="82"/>
      <c r="CF115" s="82"/>
      <c r="CG115" s="82"/>
      <c r="CH115" s="82"/>
      <c r="CI115" s="82"/>
      <c r="CJ115" s="82"/>
      <c r="CK115" s="82"/>
      <c r="CL115" s="82"/>
      <c r="CM115" s="82"/>
      <c r="CN115" s="82"/>
      <c r="CO115" s="82"/>
    </row>
    <row r="116" spans="1:93">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c r="AI116" s="82"/>
      <c r="AJ116" s="82"/>
      <c r="AK116" s="82"/>
      <c r="AL116" s="82"/>
      <c r="AM116" s="82"/>
      <c r="AN116" s="82"/>
      <c r="AO116" s="82"/>
      <c r="AP116" s="82"/>
      <c r="AQ116" s="82"/>
      <c r="AR116" s="82"/>
      <c r="AS116" s="82"/>
      <c r="AT116" s="82"/>
      <c r="AU116" s="82"/>
      <c r="AV116" s="82"/>
      <c r="AW116" s="82"/>
      <c r="AX116" s="82"/>
      <c r="AY116" s="82"/>
      <c r="AZ116" s="82"/>
      <c r="BA116" s="82"/>
      <c r="BB116" s="82"/>
      <c r="BC116" s="82"/>
      <c r="BD116" s="82"/>
      <c r="BE116" s="82"/>
      <c r="BF116" s="82"/>
      <c r="BG116" s="82"/>
      <c r="BH116" s="82"/>
      <c r="BI116" s="82"/>
      <c r="BJ116" s="82"/>
      <c r="BK116" s="82"/>
      <c r="BL116" s="82"/>
      <c r="BM116" s="82"/>
      <c r="BN116" s="82"/>
      <c r="BO116" s="82"/>
      <c r="BP116" s="82"/>
      <c r="BQ116" s="82"/>
      <c r="BR116" s="82"/>
      <c r="BS116" s="82"/>
      <c r="BT116" s="82"/>
      <c r="BU116" s="82"/>
      <c r="BV116" s="82"/>
      <c r="BW116" s="82"/>
      <c r="BX116" s="82"/>
      <c r="BY116" s="82"/>
      <c r="BZ116" s="82"/>
      <c r="CA116" s="82"/>
      <c r="CB116" s="82"/>
      <c r="CC116" s="82"/>
      <c r="CD116" s="82"/>
      <c r="CE116" s="82"/>
      <c r="CF116" s="82"/>
      <c r="CG116" s="82"/>
      <c r="CH116" s="82"/>
      <c r="CI116" s="82"/>
      <c r="CJ116" s="82"/>
      <c r="CK116" s="82"/>
      <c r="CL116" s="82"/>
      <c r="CM116" s="82"/>
      <c r="CN116" s="82"/>
      <c r="CO116" s="82"/>
    </row>
    <row r="117" spans="1:93">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K117" s="82"/>
      <c r="AL117" s="82"/>
      <c r="AM117" s="82"/>
      <c r="AN117" s="82"/>
      <c r="AO117" s="82"/>
      <c r="AP117" s="82"/>
      <c r="AQ117" s="82"/>
      <c r="AR117" s="82"/>
      <c r="AS117" s="82"/>
      <c r="AT117" s="82"/>
      <c r="AU117" s="82"/>
      <c r="AV117" s="82"/>
      <c r="AW117" s="82"/>
      <c r="AX117" s="82"/>
      <c r="AY117" s="82"/>
      <c r="AZ117" s="82"/>
      <c r="BA117" s="82"/>
      <c r="BB117" s="82"/>
      <c r="BC117" s="82"/>
      <c r="BD117" s="82"/>
      <c r="BE117" s="82"/>
      <c r="BF117" s="82"/>
      <c r="BG117" s="82"/>
      <c r="BH117" s="82"/>
      <c r="BI117" s="82"/>
      <c r="BJ117" s="82"/>
      <c r="BK117" s="82"/>
      <c r="BL117" s="82"/>
      <c r="BM117" s="82"/>
      <c r="BN117" s="82"/>
      <c r="BO117" s="82"/>
      <c r="BP117" s="82"/>
      <c r="BQ117" s="82"/>
      <c r="BR117" s="82"/>
      <c r="BS117" s="82"/>
      <c r="BT117" s="82"/>
      <c r="BU117" s="82"/>
      <c r="BV117" s="82"/>
      <c r="BW117" s="82"/>
      <c r="BX117" s="82"/>
      <c r="BY117" s="82"/>
      <c r="BZ117" s="82"/>
      <c r="CA117" s="82"/>
      <c r="CB117" s="82"/>
      <c r="CC117" s="82"/>
      <c r="CD117" s="82"/>
      <c r="CE117" s="82"/>
      <c r="CF117" s="82"/>
      <c r="CG117" s="82"/>
      <c r="CH117" s="82"/>
      <c r="CI117" s="82"/>
      <c r="CJ117" s="82"/>
      <c r="CK117" s="82"/>
      <c r="CL117" s="82"/>
      <c r="CM117" s="82"/>
      <c r="CN117" s="82"/>
      <c r="CO117" s="82"/>
    </row>
    <row r="118" spans="1:93">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2"/>
      <c r="AI118" s="82"/>
      <c r="AJ118" s="82"/>
      <c r="AK118" s="82"/>
      <c r="AL118" s="82"/>
      <c r="AM118" s="82"/>
      <c r="AN118" s="82"/>
      <c r="AO118" s="82"/>
      <c r="AP118" s="82"/>
      <c r="AQ118" s="82"/>
      <c r="AR118" s="82"/>
      <c r="AS118" s="82"/>
      <c r="AT118" s="82"/>
      <c r="AU118" s="82"/>
      <c r="AV118" s="82"/>
      <c r="AW118" s="82"/>
      <c r="AX118" s="82"/>
      <c r="AY118" s="82"/>
      <c r="AZ118" s="82"/>
      <c r="BA118" s="82"/>
      <c r="BB118" s="82"/>
      <c r="BC118" s="82"/>
      <c r="BD118" s="82"/>
      <c r="BE118" s="82"/>
      <c r="BF118" s="82"/>
      <c r="BG118" s="82"/>
      <c r="BH118" s="82"/>
      <c r="BI118" s="82"/>
      <c r="BJ118" s="82"/>
      <c r="BK118" s="82"/>
      <c r="BL118" s="82"/>
      <c r="BM118" s="82"/>
      <c r="BN118" s="82"/>
      <c r="BO118" s="82"/>
      <c r="BP118" s="82"/>
      <c r="BQ118" s="82"/>
      <c r="BR118" s="82"/>
      <c r="BS118" s="82"/>
      <c r="BT118" s="82"/>
      <c r="BU118" s="82"/>
      <c r="BV118" s="82"/>
      <c r="BW118" s="82"/>
      <c r="BX118" s="82"/>
      <c r="BY118" s="82"/>
      <c r="BZ118" s="82"/>
      <c r="CA118" s="82"/>
      <c r="CB118" s="82"/>
      <c r="CC118" s="82"/>
      <c r="CD118" s="82"/>
      <c r="CE118" s="82"/>
      <c r="CF118" s="82"/>
      <c r="CG118" s="82"/>
      <c r="CH118" s="82"/>
      <c r="CI118" s="82"/>
      <c r="CJ118" s="82"/>
      <c r="CK118" s="82"/>
      <c r="CL118" s="82"/>
      <c r="CM118" s="82"/>
      <c r="CN118" s="82"/>
      <c r="CO118" s="82"/>
    </row>
    <row r="119" spans="1:93">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AT119" s="82"/>
      <c r="AU119" s="82"/>
      <c r="AV119" s="82"/>
      <c r="AW119" s="82"/>
      <c r="AX119" s="82"/>
      <c r="AY119" s="82"/>
      <c r="AZ119" s="82"/>
      <c r="BA119" s="82"/>
      <c r="BB119" s="82"/>
      <c r="BC119" s="82"/>
      <c r="BD119" s="82"/>
      <c r="BE119" s="82"/>
      <c r="BF119" s="82"/>
      <c r="BG119" s="82"/>
      <c r="BH119" s="82"/>
      <c r="BI119" s="82"/>
      <c r="BJ119" s="82"/>
      <c r="BK119" s="82"/>
      <c r="BL119" s="82"/>
      <c r="BM119" s="82"/>
      <c r="BN119" s="82"/>
      <c r="BO119" s="82"/>
      <c r="BP119" s="82"/>
      <c r="BQ119" s="82"/>
      <c r="BR119" s="82"/>
      <c r="BS119" s="82"/>
      <c r="BT119" s="82"/>
      <c r="BU119" s="82"/>
      <c r="BV119" s="82"/>
      <c r="BW119" s="82"/>
      <c r="BX119" s="82"/>
      <c r="BY119" s="82"/>
      <c r="BZ119" s="82"/>
      <c r="CA119" s="82"/>
      <c r="CB119" s="82"/>
      <c r="CC119" s="82"/>
      <c r="CD119" s="82"/>
      <c r="CE119" s="82"/>
      <c r="CF119" s="82"/>
      <c r="CG119" s="82"/>
      <c r="CH119" s="82"/>
      <c r="CI119" s="82"/>
      <c r="CJ119" s="82"/>
      <c r="CK119" s="82"/>
      <c r="CL119" s="82"/>
      <c r="CM119" s="82"/>
      <c r="CN119" s="82"/>
      <c r="CO119" s="82"/>
    </row>
    <row r="120" spans="1:93">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c r="AI120" s="82"/>
      <c r="AJ120" s="82"/>
      <c r="AK120" s="82"/>
      <c r="AL120" s="82"/>
      <c r="AM120" s="82"/>
      <c r="AN120" s="82"/>
      <c r="AO120" s="82"/>
      <c r="AP120" s="82"/>
      <c r="AQ120" s="82"/>
      <c r="AR120" s="82"/>
      <c r="AS120" s="82"/>
      <c r="AT120" s="82"/>
      <c r="AU120" s="82"/>
      <c r="AV120" s="82"/>
      <c r="AW120" s="82"/>
      <c r="AX120" s="82"/>
      <c r="AY120" s="82"/>
      <c r="AZ120" s="82"/>
      <c r="BA120" s="82"/>
      <c r="BB120" s="82"/>
      <c r="BC120" s="82"/>
      <c r="BD120" s="82"/>
      <c r="BE120" s="82"/>
      <c r="BF120" s="82"/>
      <c r="BG120" s="82"/>
      <c r="BH120" s="82"/>
      <c r="BI120" s="82"/>
      <c r="BJ120" s="82"/>
      <c r="BK120" s="82"/>
      <c r="BL120" s="82"/>
      <c r="BM120" s="82"/>
      <c r="BN120" s="82"/>
      <c r="BO120" s="82"/>
      <c r="BP120" s="82"/>
      <c r="BQ120" s="82"/>
      <c r="BR120" s="82"/>
      <c r="BS120" s="82"/>
      <c r="BT120" s="82"/>
      <c r="BU120" s="82"/>
      <c r="BV120" s="82"/>
      <c r="BW120" s="82"/>
      <c r="BX120" s="82"/>
      <c r="BY120" s="82"/>
      <c r="BZ120" s="82"/>
      <c r="CA120" s="82"/>
      <c r="CB120" s="82"/>
      <c r="CC120" s="82"/>
      <c r="CD120" s="82"/>
      <c r="CE120" s="82"/>
      <c r="CF120" s="82"/>
      <c r="CG120" s="82"/>
      <c r="CH120" s="82"/>
      <c r="CI120" s="82"/>
      <c r="CJ120" s="82"/>
      <c r="CK120" s="82"/>
      <c r="CL120" s="82"/>
      <c r="CM120" s="82"/>
      <c r="CN120" s="82"/>
      <c r="CO120" s="82"/>
    </row>
    <row r="121" spans="1:93">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2"/>
      <c r="AF121" s="82"/>
      <c r="AG121" s="82"/>
      <c r="AH121" s="82"/>
      <c r="AI121" s="82"/>
      <c r="AJ121" s="82"/>
      <c r="AK121" s="82"/>
      <c r="AL121" s="82"/>
      <c r="AM121" s="82"/>
      <c r="AN121" s="82"/>
      <c r="AO121" s="82"/>
      <c r="AP121" s="82"/>
      <c r="AQ121" s="82"/>
      <c r="AR121" s="82"/>
      <c r="AS121" s="82"/>
      <c r="AT121" s="82"/>
      <c r="AU121" s="82"/>
      <c r="AV121" s="82"/>
      <c r="AW121" s="82"/>
      <c r="AX121" s="82"/>
      <c r="AY121" s="82"/>
      <c r="AZ121" s="82"/>
      <c r="BA121" s="82"/>
      <c r="BB121" s="82"/>
      <c r="BC121" s="82"/>
      <c r="BD121" s="82"/>
      <c r="BE121" s="82"/>
      <c r="BF121" s="82"/>
      <c r="BG121" s="82"/>
      <c r="BH121" s="82"/>
      <c r="BI121" s="82"/>
      <c r="BJ121" s="82"/>
      <c r="BK121" s="82"/>
      <c r="BL121" s="82"/>
      <c r="BM121" s="82"/>
      <c r="BN121" s="82"/>
      <c r="BO121" s="82"/>
      <c r="BP121" s="82"/>
      <c r="BQ121" s="82"/>
      <c r="BR121" s="82"/>
      <c r="BS121" s="82"/>
      <c r="BT121" s="82"/>
      <c r="BU121" s="82"/>
      <c r="BV121" s="82"/>
      <c r="BW121" s="82"/>
      <c r="BX121" s="82"/>
      <c r="BY121" s="82"/>
      <c r="BZ121" s="82"/>
      <c r="CA121" s="82"/>
      <c r="CB121" s="82"/>
      <c r="CC121" s="82"/>
      <c r="CD121" s="82"/>
      <c r="CE121" s="82"/>
      <c r="CF121" s="82"/>
      <c r="CG121" s="82"/>
      <c r="CH121" s="82"/>
      <c r="CI121" s="82"/>
      <c r="CJ121" s="82"/>
      <c r="CK121" s="82"/>
      <c r="CL121" s="82"/>
      <c r="CM121" s="82"/>
      <c r="CN121" s="82"/>
      <c r="CO121" s="82"/>
    </row>
    <row r="122" spans="1:93">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c r="AI122" s="82"/>
      <c r="AJ122" s="82"/>
      <c r="AK122" s="82"/>
      <c r="AL122" s="82"/>
      <c r="AM122" s="82"/>
      <c r="AN122" s="82"/>
      <c r="AO122" s="82"/>
      <c r="AP122" s="82"/>
      <c r="AQ122" s="82"/>
      <c r="AR122" s="82"/>
      <c r="AS122" s="82"/>
      <c r="AT122" s="82"/>
      <c r="AU122" s="82"/>
      <c r="AV122" s="82"/>
      <c r="AW122" s="82"/>
      <c r="AX122" s="82"/>
      <c r="AY122" s="82"/>
      <c r="AZ122" s="82"/>
      <c r="BA122" s="82"/>
      <c r="BB122" s="82"/>
      <c r="BC122" s="82"/>
      <c r="BD122" s="82"/>
      <c r="BE122" s="82"/>
      <c r="BF122" s="82"/>
      <c r="BG122" s="82"/>
      <c r="BH122" s="82"/>
      <c r="BI122" s="82"/>
      <c r="BJ122" s="82"/>
      <c r="BK122" s="82"/>
      <c r="BL122" s="82"/>
      <c r="BM122" s="82"/>
      <c r="BN122" s="82"/>
      <c r="BO122" s="82"/>
      <c r="BP122" s="82"/>
      <c r="BQ122" s="82"/>
      <c r="BR122" s="82"/>
      <c r="BS122" s="82"/>
      <c r="BT122" s="82"/>
      <c r="BU122" s="82"/>
      <c r="BV122" s="82"/>
      <c r="BW122" s="82"/>
      <c r="BX122" s="82"/>
      <c r="BY122" s="82"/>
      <c r="BZ122" s="82"/>
      <c r="CA122" s="82"/>
      <c r="CB122" s="82"/>
      <c r="CC122" s="82"/>
      <c r="CD122" s="82"/>
      <c r="CE122" s="82"/>
      <c r="CF122" s="82"/>
      <c r="CG122" s="82"/>
      <c r="CH122" s="82"/>
      <c r="CI122" s="82"/>
      <c r="CJ122" s="82"/>
      <c r="CK122" s="82"/>
      <c r="CL122" s="82"/>
      <c r="CM122" s="82"/>
      <c r="CN122" s="82"/>
      <c r="CO122" s="82"/>
    </row>
    <row r="123" spans="1:9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2"/>
      <c r="AF123" s="82"/>
      <c r="AG123" s="82"/>
      <c r="AH123" s="82"/>
      <c r="AI123" s="82"/>
      <c r="AJ123" s="82"/>
      <c r="AK123" s="82"/>
      <c r="AL123" s="82"/>
      <c r="AM123" s="82"/>
      <c r="AN123" s="82"/>
      <c r="AO123" s="82"/>
      <c r="AP123" s="82"/>
      <c r="AQ123" s="82"/>
      <c r="AR123" s="82"/>
      <c r="AS123" s="82"/>
      <c r="AT123" s="82"/>
      <c r="AU123" s="82"/>
      <c r="AV123" s="82"/>
      <c r="AW123" s="82"/>
      <c r="AX123" s="82"/>
      <c r="AY123" s="82"/>
      <c r="AZ123" s="82"/>
      <c r="BA123" s="82"/>
      <c r="BB123" s="82"/>
      <c r="BC123" s="82"/>
      <c r="BD123" s="82"/>
      <c r="BE123" s="82"/>
      <c r="BF123" s="82"/>
      <c r="BG123" s="82"/>
      <c r="BH123" s="82"/>
      <c r="BI123" s="82"/>
      <c r="BJ123" s="82"/>
      <c r="BK123" s="82"/>
      <c r="BL123" s="82"/>
      <c r="BM123" s="82"/>
      <c r="BN123" s="82"/>
      <c r="BO123" s="82"/>
      <c r="BP123" s="82"/>
      <c r="BQ123" s="82"/>
      <c r="BR123" s="82"/>
      <c r="BS123" s="82"/>
      <c r="BT123" s="82"/>
      <c r="BU123" s="82"/>
      <c r="BV123" s="82"/>
      <c r="BW123" s="82"/>
      <c r="BX123" s="82"/>
      <c r="BY123" s="82"/>
      <c r="BZ123" s="82"/>
      <c r="CA123" s="82"/>
      <c r="CB123" s="82"/>
      <c r="CC123" s="82"/>
      <c r="CD123" s="82"/>
      <c r="CE123" s="82"/>
      <c r="CF123" s="82"/>
      <c r="CG123" s="82"/>
      <c r="CH123" s="82"/>
      <c r="CI123" s="82"/>
      <c r="CJ123" s="82"/>
      <c r="CK123" s="82"/>
      <c r="CL123" s="82"/>
      <c r="CM123" s="82"/>
      <c r="CN123" s="82"/>
      <c r="CO123" s="82"/>
    </row>
    <row r="124" spans="1:93">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c r="AI124" s="82"/>
      <c r="AJ124" s="82"/>
      <c r="AK124" s="82"/>
      <c r="AL124" s="82"/>
      <c r="AM124" s="82"/>
      <c r="AN124" s="82"/>
      <c r="AO124" s="82"/>
      <c r="AP124" s="82"/>
      <c r="AQ124" s="82"/>
      <c r="AR124" s="82"/>
      <c r="AS124" s="82"/>
      <c r="AT124" s="82"/>
      <c r="AU124" s="82"/>
      <c r="AV124" s="82"/>
      <c r="AW124" s="82"/>
      <c r="AX124" s="82"/>
      <c r="AY124" s="82"/>
      <c r="AZ124" s="82"/>
      <c r="BA124" s="82"/>
      <c r="BB124" s="82"/>
      <c r="BC124" s="82"/>
      <c r="BD124" s="82"/>
      <c r="BE124" s="82"/>
      <c r="BF124" s="82"/>
      <c r="BG124" s="82"/>
      <c r="BH124" s="82"/>
      <c r="BI124" s="82"/>
      <c r="BJ124" s="82"/>
      <c r="BK124" s="82"/>
      <c r="BL124" s="82"/>
      <c r="BM124" s="82"/>
      <c r="BN124" s="82"/>
      <c r="BO124" s="82"/>
      <c r="BP124" s="82"/>
      <c r="BQ124" s="82"/>
      <c r="BR124" s="82"/>
      <c r="BS124" s="82"/>
      <c r="BT124" s="82"/>
      <c r="BU124" s="82"/>
      <c r="BV124" s="82"/>
      <c r="BW124" s="82"/>
      <c r="BX124" s="82"/>
      <c r="BY124" s="82"/>
      <c r="BZ124" s="82"/>
      <c r="CA124" s="82"/>
      <c r="CB124" s="82"/>
      <c r="CC124" s="82"/>
      <c r="CD124" s="82"/>
      <c r="CE124" s="82"/>
      <c r="CF124" s="82"/>
      <c r="CG124" s="82"/>
      <c r="CH124" s="82"/>
      <c r="CI124" s="82"/>
      <c r="CJ124" s="82"/>
      <c r="CK124" s="82"/>
      <c r="CL124" s="82"/>
      <c r="CM124" s="82"/>
      <c r="CN124" s="82"/>
      <c r="CO124" s="82"/>
    </row>
    <row r="125" spans="1:93">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c r="AI125" s="82"/>
      <c r="AJ125" s="82"/>
      <c r="AK125" s="82"/>
      <c r="AL125" s="82"/>
      <c r="AM125" s="82"/>
      <c r="AN125" s="82"/>
      <c r="AO125" s="82"/>
      <c r="AP125" s="82"/>
      <c r="AQ125" s="82"/>
      <c r="AR125" s="82"/>
      <c r="AS125" s="82"/>
      <c r="AT125" s="82"/>
      <c r="AU125" s="82"/>
      <c r="AV125" s="82"/>
      <c r="AW125" s="82"/>
      <c r="AX125" s="82"/>
      <c r="AY125" s="82"/>
      <c r="AZ125" s="82"/>
      <c r="BA125" s="82"/>
      <c r="BB125" s="82"/>
      <c r="BC125" s="82"/>
      <c r="BD125" s="82"/>
      <c r="BE125" s="82"/>
      <c r="BF125" s="82"/>
      <c r="BG125" s="82"/>
      <c r="BH125" s="82"/>
      <c r="BI125" s="82"/>
      <c r="BJ125" s="82"/>
      <c r="BK125" s="82"/>
      <c r="BL125" s="82"/>
      <c r="BM125" s="82"/>
      <c r="BN125" s="82"/>
      <c r="BO125" s="82"/>
      <c r="BP125" s="82"/>
      <c r="BQ125" s="82"/>
      <c r="BR125" s="82"/>
      <c r="BS125" s="82"/>
      <c r="BT125" s="82"/>
      <c r="BU125" s="82"/>
      <c r="BV125" s="82"/>
      <c r="BW125" s="82"/>
      <c r="BX125" s="82"/>
      <c r="BY125" s="82"/>
      <c r="BZ125" s="82"/>
      <c r="CA125" s="82"/>
      <c r="CB125" s="82"/>
      <c r="CC125" s="82"/>
      <c r="CD125" s="82"/>
      <c r="CE125" s="82"/>
      <c r="CF125" s="82"/>
      <c r="CG125" s="82"/>
      <c r="CH125" s="82"/>
      <c r="CI125" s="82"/>
      <c r="CJ125" s="82"/>
      <c r="CK125" s="82"/>
      <c r="CL125" s="82"/>
      <c r="CM125" s="82"/>
      <c r="CN125" s="82"/>
      <c r="CO125" s="82"/>
    </row>
    <row r="126" spans="1:93">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c r="AI126" s="82"/>
      <c r="AJ126" s="82"/>
      <c r="AK126" s="82"/>
      <c r="AL126" s="82"/>
      <c r="AM126" s="82"/>
      <c r="AN126" s="82"/>
      <c r="AO126" s="82"/>
      <c r="AP126" s="82"/>
      <c r="AQ126" s="82"/>
      <c r="AR126" s="82"/>
      <c r="AS126" s="82"/>
      <c r="AT126" s="82"/>
      <c r="AU126" s="82"/>
      <c r="AV126" s="82"/>
      <c r="AW126" s="82"/>
      <c r="AX126" s="82"/>
      <c r="AY126" s="82"/>
      <c r="AZ126" s="82"/>
      <c r="BA126" s="82"/>
      <c r="BB126" s="82"/>
      <c r="BC126" s="82"/>
      <c r="BD126" s="82"/>
      <c r="BE126" s="82"/>
      <c r="BF126" s="82"/>
      <c r="BG126" s="82"/>
      <c r="BH126" s="82"/>
      <c r="BI126" s="82"/>
      <c r="BJ126" s="82"/>
      <c r="BK126" s="82"/>
      <c r="BL126" s="82"/>
      <c r="BM126" s="82"/>
      <c r="BN126" s="82"/>
      <c r="BO126" s="82"/>
      <c r="BP126" s="82"/>
      <c r="BQ126" s="82"/>
      <c r="BR126" s="82"/>
      <c r="BS126" s="82"/>
      <c r="BT126" s="82"/>
      <c r="BU126" s="82"/>
      <c r="BV126" s="82"/>
      <c r="BW126" s="82"/>
      <c r="BX126" s="82"/>
      <c r="BY126" s="82"/>
      <c r="BZ126" s="82"/>
      <c r="CA126" s="82"/>
      <c r="CB126" s="82"/>
      <c r="CC126" s="82"/>
      <c r="CD126" s="82"/>
      <c r="CE126" s="82"/>
      <c r="CF126" s="82"/>
      <c r="CG126" s="82"/>
      <c r="CH126" s="82"/>
      <c r="CI126" s="82"/>
      <c r="CJ126" s="82"/>
      <c r="CK126" s="82"/>
      <c r="CL126" s="82"/>
      <c r="CM126" s="82"/>
      <c r="CN126" s="82"/>
      <c r="CO126" s="82"/>
    </row>
    <row r="127" spans="1:93">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c r="BA127" s="82"/>
      <c r="BB127" s="82"/>
      <c r="BC127" s="82"/>
      <c r="BD127" s="82"/>
      <c r="BE127" s="82"/>
      <c r="BF127" s="82"/>
      <c r="BG127" s="82"/>
      <c r="BH127" s="82"/>
      <c r="BI127" s="82"/>
      <c r="BJ127" s="82"/>
      <c r="BK127" s="82"/>
      <c r="BL127" s="82"/>
      <c r="BM127" s="82"/>
      <c r="BN127" s="82"/>
      <c r="BO127" s="82"/>
      <c r="BP127" s="82"/>
      <c r="BQ127" s="82"/>
      <c r="BR127" s="82"/>
      <c r="BS127" s="82"/>
      <c r="BT127" s="82"/>
      <c r="BU127" s="82"/>
      <c r="BV127" s="82"/>
      <c r="BW127" s="82"/>
      <c r="BX127" s="82"/>
      <c r="BY127" s="82"/>
      <c r="BZ127" s="82"/>
      <c r="CA127" s="82"/>
      <c r="CB127" s="82"/>
      <c r="CC127" s="82"/>
      <c r="CD127" s="82"/>
      <c r="CE127" s="82"/>
      <c r="CF127" s="82"/>
      <c r="CG127" s="82"/>
      <c r="CH127" s="82"/>
      <c r="CI127" s="82"/>
      <c r="CJ127" s="82"/>
      <c r="CK127" s="82"/>
      <c r="CL127" s="82"/>
      <c r="CM127" s="82"/>
      <c r="CN127" s="82"/>
      <c r="CO127" s="82"/>
    </row>
    <row r="128" spans="1:93">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c r="BA128" s="82"/>
      <c r="BB128" s="82"/>
      <c r="BC128" s="82"/>
      <c r="BD128" s="82"/>
      <c r="BE128" s="82"/>
      <c r="BF128" s="82"/>
      <c r="BG128" s="82"/>
      <c r="BH128" s="82"/>
      <c r="BI128" s="82"/>
      <c r="BJ128" s="82"/>
      <c r="BK128" s="82"/>
      <c r="BL128" s="82"/>
      <c r="BM128" s="82"/>
      <c r="BN128" s="82"/>
      <c r="BO128" s="82"/>
      <c r="BP128" s="82"/>
      <c r="BQ128" s="82"/>
      <c r="BR128" s="82"/>
      <c r="BS128" s="82"/>
      <c r="BT128" s="82"/>
      <c r="BU128" s="82"/>
      <c r="BV128" s="82"/>
      <c r="BW128" s="82"/>
      <c r="BX128" s="82"/>
      <c r="BY128" s="82"/>
      <c r="BZ128" s="82"/>
      <c r="CA128" s="82"/>
      <c r="CB128" s="82"/>
      <c r="CC128" s="82"/>
      <c r="CD128" s="82"/>
      <c r="CE128" s="82"/>
      <c r="CF128" s="82"/>
      <c r="CG128" s="82"/>
      <c r="CH128" s="82"/>
      <c r="CI128" s="82"/>
      <c r="CJ128" s="82"/>
      <c r="CK128" s="82"/>
      <c r="CL128" s="82"/>
      <c r="CM128" s="82"/>
      <c r="CN128" s="82"/>
      <c r="CO128" s="82"/>
    </row>
    <row r="129" spans="1:93">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AR129" s="82"/>
      <c r="AS129" s="82"/>
      <c r="AT129" s="82"/>
      <c r="AU129" s="82"/>
      <c r="AV129" s="82"/>
      <c r="AW129" s="82"/>
      <c r="AX129" s="82"/>
      <c r="AY129" s="82"/>
      <c r="AZ129" s="82"/>
      <c r="BA129" s="82"/>
      <c r="BB129" s="82"/>
      <c r="BC129" s="82"/>
      <c r="BD129" s="82"/>
      <c r="BE129" s="82"/>
      <c r="BF129" s="82"/>
      <c r="BG129" s="82"/>
      <c r="BH129" s="82"/>
      <c r="BI129" s="82"/>
      <c r="BJ129" s="82"/>
      <c r="BK129" s="82"/>
      <c r="BL129" s="82"/>
      <c r="BM129" s="82"/>
      <c r="BN129" s="82"/>
      <c r="BO129" s="82"/>
      <c r="BP129" s="82"/>
      <c r="BQ129" s="82"/>
      <c r="BR129" s="82"/>
      <c r="BS129" s="82"/>
      <c r="BT129" s="82"/>
      <c r="BU129" s="82"/>
      <c r="BV129" s="82"/>
      <c r="BW129" s="82"/>
      <c r="BX129" s="82"/>
      <c r="BY129" s="82"/>
      <c r="BZ129" s="82"/>
      <c r="CA129" s="82"/>
      <c r="CB129" s="82"/>
      <c r="CC129" s="82"/>
      <c r="CD129" s="82"/>
      <c r="CE129" s="82"/>
      <c r="CF129" s="82"/>
      <c r="CG129" s="82"/>
      <c r="CH129" s="82"/>
      <c r="CI129" s="82"/>
      <c r="CJ129" s="82"/>
      <c r="CK129" s="82"/>
      <c r="CL129" s="82"/>
      <c r="CM129" s="82"/>
      <c r="CN129" s="82"/>
      <c r="CO129" s="82"/>
    </row>
    <row r="130" spans="1:93">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c r="AL130" s="82"/>
      <c r="AM130" s="82"/>
      <c r="AN130" s="82"/>
      <c r="AO130" s="82"/>
      <c r="AP130" s="82"/>
      <c r="AQ130" s="82"/>
      <c r="AR130" s="82"/>
      <c r="AS130" s="82"/>
      <c r="AT130" s="82"/>
      <c r="AU130" s="82"/>
      <c r="AV130" s="82"/>
      <c r="AW130" s="82"/>
      <c r="AX130" s="82"/>
      <c r="AY130" s="82"/>
      <c r="AZ130" s="82"/>
      <c r="BA130" s="82"/>
      <c r="BB130" s="82"/>
      <c r="BC130" s="82"/>
      <c r="BD130" s="82"/>
      <c r="BE130" s="82"/>
      <c r="BF130" s="82"/>
      <c r="BG130" s="82"/>
      <c r="BH130" s="82"/>
      <c r="BI130" s="82"/>
      <c r="BJ130" s="82"/>
      <c r="BK130" s="82"/>
      <c r="BL130" s="82"/>
      <c r="BM130" s="82"/>
      <c r="BN130" s="82"/>
      <c r="BO130" s="82"/>
      <c r="BP130" s="82"/>
      <c r="BQ130" s="82"/>
      <c r="BR130" s="82"/>
      <c r="BS130" s="82"/>
      <c r="BT130" s="82"/>
      <c r="BU130" s="82"/>
      <c r="BV130" s="82"/>
      <c r="BW130" s="82"/>
      <c r="BX130" s="82"/>
      <c r="BY130" s="82"/>
      <c r="BZ130" s="82"/>
      <c r="CA130" s="82"/>
      <c r="CB130" s="82"/>
      <c r="CC130" s="82"/>
      <c r="CD130" s="82"/>
      <c r="CE130" s="82"/>
      <c r="CF130" s="82"/>
      <c r="CG130" s="82"/>
      <c r="CH130" s="82"/>
      <c r="CI130" s="82"/>
      <c r="CJ130" s="82"/>
      <c r="CK130" s="82"/>
      <c r="CL130" s="82"/>
      <c r="CM130" s="82"/>
      <c r="CN130" s="82"/>
      <c r="CO130" s="82"/>
    </row>
    <row r="131" spans="1:93">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c r="AI131" s="82"/>
      <c r="AJ131" s="82"/>
      <c r="AK131" s="82"/>
      <c r="AL131" s="82"/>
      <c r="AM131" s="82"/>
      <c r="AN131" s="82"/>
      <c r="AO131" s="82"/>
      <c r="AP131" s="82"/>
      <c r="AQ131" s="82"/>
      <c r="AR131" s="82"/>
      <c r="AS131" s="82"/>
      <c r="AT131" s="82"/>
      <c r="AU131" s="82"/>
      <c r="AV131" s="82"/>
      <c r="AW131" s="82"/>
      <c r="AX131" s="82"/>
      <c r="AY131" s="82"/>
      <c r="AZ131" s="82"/>
      <c r="BA131" s="82"/>
      <c r="BB131" s="82"/>
      <c r="BC131" s="82"/>
      <c r="BD131" s="82"/>
      <c r="BE131" s="82"/>
      <c r="BF131" s="82"/>
      <c r="BG131" s="82"/>
      <c r="BH131" s="82"/>
      <c r="BI131" s="82"/>
      <c r="BJ131" s="82"/>
      <c r="BK131" s="82"/>
      <c r="BL131" s="82"/>
      <c r="BM131" s="82"/>
      <c r="BN131" s="82"/>
      <c r="BO131" s="82"/>
      <c r="BP131" s="82"/>
      <c r="BQ131" s="82"/>
      <c r="BR131" s="82"/>
      <c r="BS131" s="82"/>
      <c r="BT131" s="82"/>
      <c r="BU131" s="82"/>
      <c r="BV131" s="82"/>
      <c r="BW131" s="82"/>
      <c r="BX131" s="82"/>
      <c r="BY131" s="82"/>
      <c r="BZ131" s="82"/>
      <c r="CA131" s="82"/>
      <c r="CB131" s="82"/>
      <c r="CC131" s="82"/>
      <c r="CD131" s="82"/>
      <c r="CE131" s="82"/>
      <c r="CF131" s="82"/>
      <c r="CG131" s="82"/>
      <c r="CH131" s="82"/>
      <c r="CI131" s="82"/>
      <c r="CJ131" s="82"/>
      <c r="CK131" s="82"/>
      <c r="CL131" s="82"/>
      <c r="CM131" s="82"/>
      <c r="CN131" s="82"/>
      <c r="CO131" s="82"/>
    </row>
    <row r="132" spans="1:93">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c r="AI132" s="82"/>
      <c r="AJ132" s="82"/>
      <c r="AK132" s="82"/>
      <c r="AL132" s="82"/>
      <c r="AM132" s="82"/>
      <c r="AN132" s="82"/>
      <c r="AO132" s="82"/>
      <c r="AP132" s="82"/>
      <c r="AQ132" s="82"/>
      <c r="AR132" s="82"/>
      <c r="AS132" s="82"/>
      <c r="AT132" s="82"/>
      <c r="AU132" s="82"/>
      <c r="AV132" s="82"/>
      <c r="AW132" s="82"/>
      <c r="AX132" s="82"/>
      <c r="AY132" s="82"/>
      <c r="AZ132" s="82"/>
      <c r="BA132" s="82"/>
      <c r="BB132" s="82"/>
      <c r="BC132" s="82"/>
      <c r="BD132" s="82"/>
      <c r="BE132" s="82"/>
      <c r="BF132" s="82"/>
      <c r="BG132" s="82"/>
      <c r="BH132" s="82"/>
      <c r="BI132" s="82"/>
      <c r="BJ132" s="82"/>
      <c r="BK132" s="82"/>
      <c r="BL132" s="82"/>
      <c r="BM132" s="82"/>
      <c r="BN132" s="82"/>
      <c r="BO132" s="82"/>
      <c r="BP132" s="82"/>
      <c r="BQ132" s="82"/>
      <c r="BR132" s="82"/>
      <c r="BS132" s="82"/>
      <c r="BT132" s="82"/>
      <c r="BU132" s="82"/>
      <c r="BV132" s="82"/>
      <c r="BW132" s="82"/>
      <c r="BX132" s="82"/>
      <c r="BY132" s="82"/>
      <c r="BZ132" s="82"/>
      <c r="CA132" s="82"/>
      <c r="CB132" s="82"/>
      <c r="CC132" s="82"/>
      <c r="CD132" s="82"/>
      <c r="CE132" s="82"/>
      <c r="CF132" s="82"/>
      <c r="CG132" s="82"/>
      <c r="CH132" s="82"/>
      <c r="CI132" s="82"/>
      <c r="CJ132" s="82"/>
      <c r="CK132" s="82"/>
      <c r="CL132" s="82"/>
      <c r="CM132" s="82"/>
      <c r="CN132" s="82"/>
      <c r="CO132" s="82"/>
    </row>
    <row r="133" spans="1:9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2"/>
      <c r="AQ133" s="82"/>
      <c r="AR133" s="82"/>
      <c r="AS133" s="82"/>
      <c r="AT133" s="82"/>
      <c r="AU133" s="82"/>
      <c r="AV133" s="82"/>
      <c r="AW133" s="82"/>
      <c r="AX133" s="82"/>
      <c r="AY133" s="82"/>
      <c r="AZ133" s="82"/>
      <c r="BA133" s="82"/>
      <c r="BB133" s="82"/>
      <c r="BC133" s="82"/>
      <c r="BD133" s="82"/>
      <c r="BE133" s="82"/>
      <c r="BF133" s="82"/>
      <c r="BG133" s="82"/>
      <c r="BH133" s="82"/>
      <c r="BI133" s="82"/>
      <c r="BJ133" s="82"/>
      <c r="BK133" s="82"/>
      <c r="BL133" s="82"/>
      <c r="BM133" s="82"/>
      <c r="BN133" s="82"/>
      <c r="BO133" s="82"/>
      <c r="BP133" s="82"/>
      <c r="BQ133" s="82"/>
      <c r="BR133" s="82"/>
      <c r="BS133" s="82"/>
      <c r="BT133" s="82"/>
      <c r="BU133" s="82"/>
      <c r="BV133" s="82"/>
      <c r="BW133" s="82"/>
      <c r="BX133" s="82"/>
      <c r="BY133" s="82"/>
      <c r="BZ133" s="82"/>
      <c r="CA133" s="82"/>
      <c r="CB133" s="82"/>
      <c r="CC133" s="82"/>
      <c r="CD133" s="82"/>
      <c r="CE133" s="82"/>
      <c r="CF133" s="82"/>
      <c r="CG133" s="82"/>
      <c r="CH133" s="82"/>
      <c r="CI133" s="82"/>
      <c r="CJ133" s="82"/>
      <c r="CK133" s="82"/>
      <c r="CL133" s="82"/>
      <c r="CM133" s="82"/>
      <c r="CN133" s="82"/>
      <c r="CO133" s="82"/>
    </row>
    <row r="134" spans="1:93">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AR134" s="82"/>
      <c r="AS134" s="82"/>
      <c r="AT134" s="82"/>
      <c r="AU134" s="82"/>
      <c r="AV134" s="82"/>
      <c r="AW134" s="82"/>
      <c r="AX134" s="82"/>
      <c r="AY134" s="82"/>
      <c r="AZ134" s="82"/>
      <c r="BA134" s="82"/>
      <c r="BB134" s="82"/>
      <c r="BC134" s="82"/>
      <c r="BD134" s="82"/>
      <c r="BE134" s="82"/>
      <c r="BF134" s="82"/>
      <c r="BG134" s="82"/>
      <c r="BH134" s="82"/>
      <c r="BI134" s="82"/>
      <c r="BJ134" s="82"/>
      <c r="BK134" s="82"/>
      <c r="BL134" s="82"/>
      <c r="BM134" s="82"/>
      <c r="BN134" s="82"/>
      <c r="BO134" s="82"/>
      <c r="BP134" s="82"/>
      <c r="BQ134" s="82"/>
      <c r="BR134" s="82"/>
      <c r="BS134" s="82"/>
      <c r="BT134" s="82"/>
      <c r="BU134" s="82"/>
      <c r="BV134" s="82"/>
      <c r="BW134" s="82"/>
      <c r="BX134" s="82"/>
      <c r="BY134" s="82"/>
      <c r="BZ134" s="82"/>
      <c r="CA134" s="82"/>
      <c r="CB134" s="82"/>
      <c r="CC134" s="82"/>
      <c r="CD134" s="82"/>
      <c r="CE134" s="82"/>
      <c r="CF134" s="82"/>
      <c r="CG134" s="82"/>
      <c r="CH134" s="82"/>
      <c r="CI134" s="82"/>
      <c r="CJ134" s="82"/>
      <c r="CK134" s="82"/>
      <c r="CL134" s="82"/>
      <c r="CM134" s="82"/>
      <c r="CN134" s="82"/>
      <c r="CO134" s="82"/>
    </row>
  </sheetData>
  <sheetProtection sheet="1" objects="1" scenarios="1"/>
  <mergeCells count="86">
    <mergeCell ref="F2:F4"/>
    <mergeCell ref="A1:I1"/>
    <mergeCell ref="M1:AG1"/>
    <mergeCell ref="AH1:AQ1"/>
    <mergeCell ref="AR1:BG1"/>
    <mergeCell ref="A2:A4"/>
    <mergeCell ref="B2:B4"/>
    <mergeCell ref="C2:C4"/>
    <mergeCell ref="D2:D4"/>
    <mergeCell ref="E2:E4"/>
    <mergeCell ref="AR2:AY2"/>
    <mergeCell ref="AA3:AA4"/>
    <mergeCell ref="W3:W4"/>
    <mergeCell ref="X3:X4"/>
    <mergeCell ref="Y3:Y4"/>
    <mergeCell ref="Z3:Z4"/>
    <mergeCell ref="BZ1:CB1"/>
    <mergeCell ref="CC1:CE1"/>
    <mergeCell ref="CF1:CO1"/>
    <mergeCell ref="CP1:DI1"/>
    <mergeCell ref="BH1:BO1"/>
    <mergeCell ref="BP1:BY1"/>
    <mergeCell ref="CF3:CG3"/>
    <mergeCell ref="AZ2:BG2"/>
    <mergeCell ref="I2:I4"/>
    <mergeCell ref="J2:L2"/>
    <mergeCell ref="M2:O2"/>
    <mergeCell ref="P2:R2"/>
    <mergeCell ref="S2:U2"/>
    <mergeCell ref="V2:X2"/>
    <mergeCell ref="R3:R4"/>
    <mergeCell ref="S3:S4"/>
    <mergeCell ref="T3:T4"/>
    <mergeCell ref="U3:U4"/>
    <mergeCell ref="Y2:AA2"/>
    <mergeCell ref="AB2:AD2"/>
    <mergeCell ref="AE2:AG2"/>
    <mergeCell ref="AH2:AQ2"/>
    <mergeCell ref="DD2:DE3"/>
    <mergeCell ref="CF2:CJ2"/>
    <mergeCell ref="CM3:CO3"/>
    <mergeCell ref="BH3:BJ3"/>
    <mergeCell ref="BK3:BO3"/>
    <mergeCell ref="BP3:BQ3"/>
    <mergeCell ref="BR3:BT3"/>
    <mergeCell ref="BU3:BV3"/>
    <mergeCell ref="BW3:BY3"/>
    <mergeCell ref="BZ3:CB3"/>
    <mergeCell ref="CC3:CE3"/>
    <mergeCell ref="BH2:BO2"/>
    <mergeCell ref="BP2:BT2"/>
    <mergeCell ref="BU2:BY2"/>
    <mergeCell ref="BZ2:CB2"/>
    <mergeCell ref="CC2:CE2"/>
    <mergeCell ref="DF2:DG3"/>
    <mergeCell ref="DH2:DI3"/>
    <mergeCell ref="J3:J4"/>
    <mergeCell ref="K3:K4"/>
    <mergeCell ref="L3:L4"/>
    <mergeCell ref="M3:M4"/>
    <mergeCell ref="N3:N4"/>
    <mergeCell ref="O3:O4"/>
    <mergeCell ref="P3:P4"/>
    <mergeCell ref="Q3:Q4"/>
    <mergeCell ref="CK2:CO2"/>
    <mergeCell ref="CP2:CW3"/>
    <mergeCell ref="CX2:CY3"/>
    <mergeCell ref="CZ2:DA3"/>
    <mergeCell ref="DB2:DC3"/>
    <mergeCell ref="V3:V4"/>
    <mergeCell ref="CH3:CJ3"/>
    <mergeCell ref="CK3:CL3"/>
    <mergeCell ref="G2:G4"/>
    <mergeCell ref="H2:H4"/>
    <mergeCell ref="BC3:BG3"/>
    <mergeCell ref="AB3:AB4"/>
    <mergeCell ref="AC3:AC4"/>
    <mergeCell ref="AD3:AD4"/>
    <mergeCell ref="AE3:AE4"/>
    <mergeCell ref="AF3:AF4"/>
    <mergeCell ref="AG3:AG4"/>
    <mergeCell ref="AH3:AJ3"/>
    <mergeCell ref="AK3:AQ3"/>
    <mergeCell ref="AR3:AT3"/>
    <mergeCell ref="AU3:AY3"/>
    <mergeCell ref="AZ3:BB3"/>
  </mergeCells>
  <pageMargins left="0.70866141732283505" right="0.70866141732283505" top="0.74803149606299202" bottom="0.74803149606299202" header="0.31496062992126" footer="0.31496062992126"/>
  <pageSetup paperSize="8" scale="25" fitToHeight="0" orientation="landscape" r:id="rId1"/>
  <headerFooter>
    <oddFooter>&amp;LDC-DEV-QM-xxx-xxx  Rev 1.0
#&amp;"Calibri,Regular"&amp;K000000 Information Classification: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ACC9-00A3-43E2-BD52-7C55ACEA2CBB}">
  <sheetPr>
    <tabColor rgb="FFFFFF00"/>
    <pageSetUpPr fitToPage="1"/>
  </sheetPr>
  <dimension ref="A1:VO144"/>
  <sheetViews>
    <sheetView showGridLines="0" zoomScale="85" zoomScaleNormal="85" workbookViewId="0">
      <selection activeCell="F15" sqref="F15"/>
    </sheetView>
  </sheetViews>
  <sheetFormatPr baseColWidth="10" defaultColWidth="9.1640625" defaultRowHeight="14"/>
  <cols>
    <col min="1" max="1" width="5.5" style="2" bestFit="1" customWidth="1"/>
    <col min="2" max="2" width="16.5" style="8" customWidth="1"/>
    <col min="3" max="3" width="14.5" style="8" customWidth="1"/>
    <col min="4" max="4" width="15.1640625" style="8" customWidth="1"/>
    <col min="5" max="5" width="18" style="2" bestFit="1" customWidth="1"/>
    <col min="6" max="8" width="14.5" style="2" customWidth="1"/>
    <col min="9" max="9" width="16.5" style="2" customWidth="1"/>
    <col min="10" max="10" width="7.5" style="2" bestFit="1" customWidth="1"/>
    <col min="11" max="11" width="17.83203125" style="2" bestFit="1" customWidth="1"/>
    <col min="12" max="12" width="13.5" style="2" bestFit="1" customWidth="1"/>
    <col min="13" max="13" width="7.5" style="2" bestFit="1" customWidth="1"/>
    <col min="14" max="14" width="17.83203125" style="2" bestFit="1" customWidth="1"/>
    <col min="15" max="15" width="13.5" style="2" bestFit="1" customWidth="1"/>
    <col min="16" max="16" width="12.5" style="2" customWidth="1"/>
    <col min="17" max="17" width="17.83203125" style="2" bestFit="1" customWidth="1"/>
    <col min="18" max="18" width="13.5" style="2" bestFit="1" customWidth="1"/>
    <col min="19" max="19" width="12.5" style="2" customWidth="1"/>
    <col min="20" max="20" width="17.83203125" style="2" bestFit="1" customWidth="1"/>
    <col min="21" max="21" width="13.5" style="2" bestFit="1" customWidth="1"/>
    <col min="22" max="22" width="12.5" style="2" customWidth="1"/>
    <col min="23" max="23" width="17.83203125" style="2" bestFit="1" customWidth="1"/>
    <col min="24" max="24" width="13.5" style="2" bestFit="1" customWidth="1"/>
    <col min="25" max="25" width="12.5" style="2" customWidth="1"/>
    <col min="26" max="26" width="17.83203125" style="2" bestFit="1" customWidth="1"/>
    <col min="27" max="27" width="13.5" style="2" bestFit="1" customWidth="1"/>
    <col min="28" max="28" width="12.5" style="2" customWidth="1"/>
    <col min="29" max="29" width="17.83203125" style="2" bestFit="1" customWidth="1"/>
    <col min="30" max="30" width="13.5" style="2" bestFit="1" customWidth="1"/>
    <col min="31" max="31" width="12.5" style="2" customWidth="1"/>
    <col min="32" max="32" width="17.83203125" style="2" bestFit="1" customWidth="1"/>
    <col min="33" max="33" width="13.5" style="2" bestFit="1" customWidth="1"/>
    <col min="34" max="34" width="7.5" style="2" bestFit="1" customWidth="1"/>
    <col min="35" max="35" width="8.5" style="2" bestFit="1" customWidth="1"/>
    <col min="36" max="36" width="12.1640625" style="2" customWidth="1"/>
    <col min="37" max="37" width="7.5" style="2" bestFit="1" customWidth="1"/>
    <col min="38" max="38" width="8.5" style="2" bestFit="1" customWidth="1"/>
    <col min="39" max="39" width="14" style="2" customWidth="1"/>
    <col min="40" max="40" width="9.5" style="2" bestFit="1" customWidth="1"/>
    <col min="41" max="41" width="13.5" style="2" bestFit="1" customWidth="1"/>
    <col min="42" max="42" width="14.5" style="2" customWidth="1"/>
    <col min="43" max="43" width="15.5" style="2" customWidth="1"/>
    <col min="44" max="44" width="7.5" style="2" bestFit="1" customWidth="1"/>
    <col min="45" max="46" width="11.5" style="2" bestFit="1" customWidth="1"/>
    <col min="47" max="47" width="7.5" style="2" bestFit="1" customWidth="1"/>
    <col min="48" max="48" width="11.5" style="2" bestFit="1" customWidth="1"/>
    <col min="49" max="49" width="15.5" style="2" customWidth="1"/>
    <col min="50" max="50" width="11.5" style="2" bestFit="1" customWidth="1"/>
    <col min="51" max="51" width="15.5" style="2" customWidth="1"/>
    <col min="52" max="52" width="7.5" style="2" bestFit="1" customWidth="1"/>
    <col min="53" max="53" width="11.5" style="2" bestFit="1" customWidth="1"/>
    <col min="54" max="54" width="11.1640625" style="2" bestFit="1" customWidth="1"/>
    <col min="55" max="55" width="12.5" style="2" bestFit="1" customWidth="1"/>
    <col min="56" max="56" width="11.5" style="2" bestFit="1" customWidth="1"/>
    <col min="57" max="57" width="15.5" style="2" customWidth="1"/>
    <col min="58" max="58" width="11.5" style="2" customWidth="1"/>
    <col min="59" max="59" width="13.5" style="2" customWidth="1"/>
    <col min="60" max="60" width="7.5" style="2" bestFit="1" customWidth="1"/>
    <col min="61" max="61" width="17.83203125" style="2" customWidth="1"/>
    <col min="62" max="62" width="18.83203125" style="2" customWidth="1"/>
    <col min="63" max="63" width="7.5" style="2" bestFit="1" customWidth="1"/>
    <col min="64" max="65" width="16.5" style="2" customWidth="1"/>
    <col min="66" max="66" width="17.5" style="2" customWidth="1"/>
    <col min="67" max="67" width="13.83203125" style="2" customWidth="1"/>
    <col min="68" max="68" width="12.5" style="2" customWidth="1"/>
    <col min="69" max="69" width="16.5" style="2" customWidth="1"/>
    <col min="70" max="70" width="12.5" style="2" customWidth="1"/>
    <col min="71" max="71" width="15.5" style="2" customWidth="1"/>
    <col min="72" max="72" width="15.5" style="2" bestFit="1" customWidth="1"/>
    <col min="73" max="73" width="7.1640625" style="2" bestFit="1" customWidth="1"/>
    <col min="74" max="74" width="13.5" style="2" customWidth="1"/>
    <col min="75" max="75" width="7.1640625" style="2" bestFit="1" customWidth="1"/>
    <col min="76" max="76" width="11.5" style="2" customWidth="1"/>
    <col min="77" max="77" width="12.83203125" style="2" customWidth="1"/>
    <col min="78" max="78" width="13.83203125" style="2" customWidth="1"/>
    <col min="79" max="79" width="11" style="2" bestFit="1" customWidth="1"/>
    <col min="80" max="80" width="14.5" style="2" customWidth="1"/>
    <col min="81" max="81" width="19.5" style="2" customWidth="1"/>
    <col min="82" max="82" width="10.83203125" style="2" bestFit="1" customWidth="1"/>
    <col min="83" max="83" width="14" style="2" customWidth="1"/>
    <col min="84" max="84" width="12" style="2" customWidth="1"/>
    <col min="85" max="85" width="15.5" style="2" customWidth="1"/>
    <col min="86" max="86" width="12.5" style="2" customWidth="1"/>
    <col min="87" max="87" width="15.83203125" style="2" customWidth="1"/>
    <col min="88" max="88" width="16.5" style="2" customWidth="1"/>
    <col min="89" max="89" width="14.83203125" style="2" customWidth="1"/>
    <col min="90" max="90" width="16.5" style="2" customWidth="1"/>
    <col min="91" max="91" width="12" style="2" customWidth="1"/>
    <col min="92" max="92" width="14.1640625" style="2" customWidth="1"/>
    <col min="93" max="93" width="19.83203125" style="2" customWidth="1"/>
    <col min="94" max="16384" width="9.1640625" style="2"/>
  </cols>
  <sheetData>
    <row r="1" spans="1:587" s="4" customFormat="1" ht="14" customHeight="1">
      <c r="A1" s="2" t="s">
        <v>97</v>
      </c>
      <c r="B1" t="s">
        <v>98</v>
      </c>
      <c r="C1" t="s">
        <v>99</v>
      </c>
      <c r="D1" t="s">
        <v>100</v>
      </c>
      <c r="E1" t="s">
        <v>101</v>
      </c>
      <c r="F1" t="s">
        <v>181</v>
      </c>
      <c r="G1" t="s">
        <v>288</v>
      </c>
      <c r="H1" t="s">
        <v>289</v>
      </c>
      <c r="I1" t="s">
        <v>182</v>
      </c>
      <c r="J1" s="85" t="s">
        <v>183</v>
      </c>
      <c r="K1" s="85" t="s">
        <v>184</v>
      </c>
      <c r="L1" s="85" t="s">
        <v>185</v>
      </c>
      <c r="M1" s="85" t="s">
        <v>186</v>
      </c>
      <c r="N1" s="85" t="s">
        <v>187</v>
      </c>
      <c r="O1" s="85" t="s">
        <v>188</v>
      </c>
      <c r="P1" s="85" t="s">
        <v>189</v>
      </c>
      <c r="Q1" s="85" t="s">
        <v>190</v>
      </c>
      <c r="R1" s="85" t="s">
        <v>191</v>
      </c>
      <c r="S1" s="85" t="s">
        <v>192</v>
      </c>
      <c r="T1" s="85" t="s">
        <v>193</v>
      </c>
      <c r="U1" s="85" t="s">
        <v>194</v>
      </c>
      <c r="V1" s="85" t="s">
        <v>195</v>
      </c>
      <c r="W1" s="85" t="s">
        <v>196</v>
      </c>
      <c r="X1" s="85" t="s">
        <v>197</v>
      </c>
      <c r="Y1" s="85" t="s">
        <v>198</v>
      </c>
      <c r="Z1" s="85" t="s">
        <v>199</v>
      </c>
      <c r="AA1" s="85" t="s">
        <v>200</v>
      </c>
      <c r="AB1" s="85" t="s">
        <v>201</v>
      </c>
      <c r="AC1" s="85" t="s">
        <v>202</v>
      </c>
      <c r="AD1" s="85" t="s">
        <v>203</v>
      </c>
      <c r="AE1" s="85" t="s">
        <v>204</v>
      </c>
      <c r="AF1" s="85" t="s">
        <v>205</v>
      </c>
      <c r="AG1" s="85" t="s">
        <v>206</v>
      </c>
      <c r="AH1" t="s">
        <v>207</v>
      </c>
      <c r="AI1" t="s">
        <v>208</v>
      </c>
      <c r="AJ1" t="s">
        <v>209</v>
      </c>
      <c r="AK1" t="s">
        <v>210</v>
      </c>
      <c r="AL1" t="s">
        <v>211</v>
      </c>
      <c r="AM1" t="s">
        <v>212</v>
      </c>
      <c r="AN1" t="s">
        <v>213</v>
      </c>
      <c r="AO1" t="s">
        <v>214</v>
      </c>
      <c r="AP1" t="s">
        <v>215</v>
      </c>
      <c r="AQ1" t="s">
        <v>216</v>
      </c>
      <c r="AR1" t="s">
        <v>217</v>
      </c>
      <c r="AS1" t="s">
        <v>218</v>
      </c>
      <c r="AT1" t="s">
        <v>219</v>
      </c>
      <c r="AU1" t="s">
        <v>220</v>
      </c>
      <c r="AV1" t="s">
        <v>221</v>
      </c>
      <c r="AW1" t="s">
        <v>222</v>
      </c>
      <c r="AX1" t="s">
        <v>223</v>
      </c>
      <c r="AY1" t="s">
        <v>224</v>
      </c>
      <c r="AZ1" t="s">
        <v>225</v>
      </c>
      <c r="BA1" t="s">
        <v>226</v>
      </c>
      <c r="BB1" t="s">
        <v>227</v>
      </c>
      <c r="BC1" t="s">
        <v>228</v>
      </c>
      <c r="BD1" t="s">
        <v>229</v>
      </c>
      <c r="BE1" t="s">
        <v>230</v>
      </c>
      <c r="BF1" t="s">
        <v>231</v>
      </c>
      <c r="BG1" t="s">
        <v>232</v>
      </c>
      <c r="BH1" t="s">
        <v>233</v>
      </c>
      <c r="BI1" t="s">
        <v>234</v>
      </c>
      <c r="BJ1" t="s">
        <v>235</v>
      </c>
      <c r="BK1" t="s">
        <v>236</v>
      </c>
      <c r="BL1" t="s">
        <v>237</v>
      </c>
      <c r="BM1" t="s">
        <v>238</v>
      </c>
      <c r="BN1" t="s">
        <v>239</v>
      </c>
      <c r="BO1" t="s">
        <v>240</v>
      </c>
      <c r="BP1" t="s">
        <v>241</v>
      </c>
      <c r="BQ1" t="s">
        <v>242</v>
      </c>
      <c r="BR1" t="s">
        <v>243</v>
      </c>
      <c r="BS1" t="s">
        <v>244</v>
      </c>
      <c r="BT1" t="s">
        <v>245</v>
      </c>
      <c r="BU1" t="s">
        <v>246</v>
      </c>
      <c r="BV1" t="s">
        <v>247</v>
      </c>
      <c r="BW1" t="s">
        <v>248</v>
      </c>
      <c r="BX1" t="s">
        <v>249</v>
      </c>
      <c r="BY1" t="s">
        <v>250</v>
      </c>
      <c r="BZ1" t="s">
        <v>251</v>
      </c>
      <c r="CA1" t="s">
        <v>252</v>
      </c>
      <c r="CB1" t="s">
        <v>253</v>
      </c>
      <c r="CC1" t="s">
        <v>254</v>
      </c>
      <c r="CD1" t="s">
        <v>255</v>
      </c>
      <c r="CE1" t="s">
        <v>256</v>
      </c>
      <c r="CF1" t="s">
        <v>257</v>
      </c>
      <c r="CG1" t="s">
        <v>258</v>
      </c>
      <c r="CH1" t="s">
        <v>259</v>
      </c>
      <c r="CI1" t="s">
        <v>260</v>
      </c>
      <c r="CJ1" t="s">
        <v>261</v>
      </c>
      <c r="CK1" t="s">
        <v>262</v>
      </c>
      <c r="CL1" t="s">
        <v>263</v>
      </c>
      <c r="CM1" t="s">
        <v>264</v>
      </c>
      <c r="CN1" t="s">
        <v>265</v>
      </c>
      <c r="CO1" t="s">
        <v>266</v>
      </c>
      <c r="CP1" t="s">
        <v>267</v>
      </c>
      <c r="CQ1" t="s">
        <v>268</v>
      </c>
      <c r="CR1" t="s">
        <v>269</v>
      </c>
      <c r="CS1" t="s">
        <v>270</v>
      </c>
      <c r="CT1" t="s">
        <v>271</v>
      </c>
      <c r="CU1" t="s">
        <v>272</v>
      </c>
      <c r="CV1" t="s">
        <v>273</v>
      </c>
      <c r="CW1" t="s">
        <v>274</v>
      </c>
      <c r="CX1" t="s">
        <v>275</v>
      </c>
      <c r="CY1" t="s">
        <v>276</v>
      </c>
      <c r="CZ1" t="s">
        <v>277</v>
      </c>
      <c r="DA1" t="s">
        <v>278</v>
      </c>
      <c r="DB1" t="s">
        <v>279</v>
      </c>
      <c r="DC1" t="s">
        <v>280</v>
      </c>
      <c r="DD1" t="s">
        <v>281</v>
      </c>
      <c r="DE1" t="s">
        <v>282</v>
      </c>
      <c r="DF1" t="s">
        <v>283</v>
      </c>
      <c r="DG1" t="s">
        <v>284</v>
      </c>
      <c r="DH1" t="s">
        <v>285</v>
      </c>
      <c r="DI1" t="s">
        <v>286</v>
      </c>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row>
    <row r="2" spans="1:587" s="5" customFormat="1" ht="30">
      <c r="A2" s="6">
        <f>'Consolidated Q. Register - 01 '!A5</f>
        <v>1</v>
      </c>
      <c r="B2" s="6" t="str">
        <f>'Consolidated Q. Register - 01 '!B5</f>
        <v>DG2 - Diriyah II</v>
      </c>
      <c r="C2" s="6" t="str">
        <f>'Consolidated Q. Register - 01 '!C5</f>
        <v>BV - Boulevard Community</v>
      </c>
      <c r="D2" s="6" t="str">
        <f>'Consolidated Q. Register - 01 '!D5</f>
        <v>BSE - Boulevard South-East</v>
      </c>
      <c r="E2" s="6" t="str">
        <f>'Consolidated Q. Register - 01 '!E5</f>
        <v>Diriyah II Grand Mosque</v>
      </c>
      <c r="F2" s="6" t="str">
        <f>'Consolidated Q. Register - 01 '!F5</f>
        <v>DD-DG2-BV-BSE-110</v>
      </c>
      <c r="G2" s="6" t="str">
        <f>'Consolidated Q. Register - 01 '!G5</f>
        <v xml:space="preserve"> X-ARCHITECTS</v>
      </c>
      <c r="H2" s="6" t="str">
        <f>'Consolidated Q. Register - 01 '!H5</f>
        <v>MAG-MAN JV</v>
      </c>
      <c r="I2" s="6" t="str">
        <f>'Consolidated Q. Register - 01 '!I5</f>
        <v>Construction</v>
      </c>
      <c r="J2" s="6">
        <f>'Consolidated Q. Register - 01 '!J5</f>
        <v>1</v>
      </c>
      <c r="K2" s="6">
        <f>'Consolidated Q. Register - 01 '!K5</f>
        <v>1</v>
      </c>
      <c r="L2" s="6">
        <f>'Consolidated Q. Register - 01 '!L5</f>
        <v>1</v>
      </c>
      <c r="M2" s="6">
        <f>'Consolidated Q. Register - 01 '!M5</f>
        <v>3</v>
      </c>
      <c r="N2" s="6">
        <f>'Consolidated Q. Register - 01 '!N5</f>
        <v>3</v>
      </c>
      <c r="O2" s="6">
        <f>'Consolidated Q. Register - 01 '!O5</f>
        <v>1</v>
      </c>
      <c r="P2" s="6">
        <f>'Consolidated Q. Register - 01 '!P5</f>
        <v>11</v>
      </c>
      <c r="Q2" s="6">
        <f>'Consolidated Q. Register - 01 '!Q5</f>
        <v>11</v>
      </c>
      <c r="R2" s="6">
        <f>'Consolidated Q. Register - 01 '!R5</f>
        <v>1</v>
      </c>
      <c r="S2" s="6">
        <f>'Consolidated Q. Register - 01 '!S5</f>
        <v>71</v>
      </c>
      <c r="T2" s="6">
        <f>'Consolidated Q. Register - 01 '!T5</f>
        <v>59</v>
      </c>
      <c r="U2" s="6">
        <f>'Consolidated Q. Register - 01 '!U5</f>
        <v>0.83098591549295775</v>
      </c>
      <c r="V2" s="6">
        <f>'Consolidated Q. Register - 01 '!V5</f>
        <v>55</v>
      </c>
      <c r="W2" s="6">
        <f>'Consolidated Q. Register - 01 '!W5</f>
        <v>54</v>
      </c>
      <c r="X2" s="6">
        <f>'Consolidated Q. Register - 01 '!X5</f>
        <v>0.98181818181818181</v>
      </c>
      <c r="Y2" s="6">
        <f>'Consolidated Q. Register - 01 '!Y5</f>
        <v>171</v>
      </c>
      <c r="Z2" s="6">
        <f>'Consolidated Q. Register - 01 '!Z5</f>
        <v>121</v>
      </c>
      <c r="AA2" s="6">
        <f>'Consolidated Q. Register - 01 '!AA5</f>
        <v>0.70760233918128657</v>
      </c>
      <c r="AB2" s="6">
        <f>'Consolidated Q. Register - 01 '!AB5</f>
        <v>0</v>
      </c>
      <c r="AC2" s="6">
        <f>'Consolidated Q. Register - 01 '!AC5</f>
        <v>0</v>
      </c>
      <c r="AD2" s="6" t="str">
        <f>'Consolidated Q. Register - 01 '!AD5</f>
        <v>0</v>
      </c>
      <c r="AE2" s="6">
        <f>'Consolidated Q. Register - 01 '!AE5</f>
        <v>853</v>
      </c>
      <c r="AF2" s="6">
        <f>'Consolidated Q. Register - 01 '!AF5</f>
        <v>613</v>
      </c>
      <c r="AG2" s="6">
        <f>'Consolidated Q. Register - 01 '!AG5</f>
        <v>0.7186400937866354</v>
      </c>
      <c r="AH2" s="6">
        <f>'Consolidated Q. Register - 01 '!AH5</f>
        <v>13</v>
      </c>
      <c r="AI2" s="6">
        <f>'Consolidated Q. Register - 01 '!AI5</f>
        <v>3</v>
      </c>
      <c r="AJ2" s="6">
        <f>'Consolidated Q. Register - 01 '!AJ5</f>
        <v>0</v>
      </c>
      <c r="AK2" s="6">
        <f>'Consolidated Q. Register - 01 '!AK5</f>
        <v>34</v>
      </c>
      <c r="AL2" s="6">
        <f>'Consolidated Q. Register - 01 '!AL5</f>
        <v>23</v>
      </c>
      <c r="AM2" s="6">
        <f>'Consolidated Q. Register - 01 '!AM5</f>
        <v>0.67647058823529416</v>
      </c>
      <c r="AN2" s="6">
        <f>'Consolidated Q. Register - 01 '!AN5</f>
        <v>3</v>
      </c>
      <c r="AO2" s="6">
        <f>'Consolidated Q. Register - 01 '!AO5</f>
        <v>0.13043478260869565</v>
      </c>
      <c r="AP2" s="6">
        <f>'Consolidated Q. Register - 01 '!AP5</f>
        <v>1171</v>
      </c>
      <c r="AQ2" s="6">
        <f>'Consolidated Q. Register - 01 '!AQ5</f>
        <v>2.9035012809564473E-2</v>
      </c>
      <c r="AR2" s="6">
        <f>'Consolidated Q. Register - 01 '!AR5</f>
        <v>20</v>
      </c>
      <c r="AS2" s="6">
        <f>'Consolidated Q. Register - 01 '!AS5</f>
        <v>12</v>
      </c>
      <c r="AT2" s="6">
        <f>'Consolidated Q. Register - 01 '!AT5</f>
        <v>12</v>
      </c>
      <c r="AU2" s="6">
        <f>'Consolidated Q. Register - 01 '!AU5</f>
        <v>114</v>
      </c>
      <c r="AV2" s="6">
        <f>'Consolidated Q. Register - 01 '!AV5</f>
        <v>94</v>
      </c>
      <c r="AW2" s="6">
        <f>'Consolidated Q. Register - 01 '!AW5</f>
        <v>0.82456140350877194</v>
      </c>
      <c r="AX2" s="6">
        <f>'Consolidated Q. Register - 01 '!AX5</f>
        <v>81</v>
      </c>
      <c r="AY2" s="6">
        <f>'Consolidated Q. Register - 01 '!AY5</f>
        <v>0.86170212765957444</v>
      </c>
      <c r="AZ2" s="6">
        <f>'Consolidated Q. Register - 01 '!AZ5</f>
        <v>258</v>
      </c>
      <c r="BA2" s="6">
        <f>'Consolidated Q. Register - 01 '!BA5</f>
        <v>158</v>
      </c>
      <c r="BB2" s="6">
        <f>'Consolidated Q. Register - 01 '!BB5</f>
        <v>139</v>
      </c>
      <c r="BC2" s="6">
        <f>'Consolidated Q. Register - 01 '!BC5</f>
        <v>1171</v>
      </c>
      <c r="BD2" s="6">
        <f>'Consolidated Q. Register - 01 '!BD5</f>
        <v>1007</v>
      </c>
      <c r="BE2" s="6">
        <f>'Consolidated Q. Register - 01 '!BE5</f>
        <v>0.85994876174210078</v>
      </c>
      <c r="BF2" s="6">
        <f>'Consolidated Q. Register - 01 '!BF5</f>
        <v>910</v>
      </c>
      <c r="BG2" s="6">
        <f>'Consolidated Q. Register - 01 '!BG5</f>
        <v>0.90367428003972194</v>
      </c>
      <c r="BH2" s="6">
        <f>'Consolidated Q. Register - 01 '!BH5</f>
        <v>13</v>
      </c>
      <c r="BI2" s="6">
        <f>'Consolidated Q. Register - 01 '!BI5</f>
        <v>4</v>
      </c>
      <c r="BJ2" s="6">
        <f>'Consolidated Q. Register - 01 '!BJ5</f>
        <v>4</v>
      </c>
      <c r="BK2" s="6">
        <f>'Consolidated Q. Register - 01 '!BK5</f>
        <v>161</v>
      </c>
      <c r="BL2" s="6">
        <f>'Consolidated Q. Register - 01 '!BL5</f>
        <v>140</v>
      </c>
      <c r="BM2" s="6">
        <f>'Consolidated Q. Register - 01 '!BM5</f>
        <v>0.86956521739130432</v>
      </c>
      <c r="BN2" s="6">
        <f>'Consolidated Q. Register - 01 '!BN5</f>
        <v>140</v>
      </c>
      <c r="BO2" s="6">
        <f>'Consolidated Q. Register - 01 '!BO5</f>
        <v>1</v>
      </c>
      <c r="BP2" s="6">
        <f>'Consolidated Q. Register - 01 '!BP5</f>
        <v>0</v>
      </c>
      <c r="BQ2" s="6">
        <f>'Consolidated Q. Register - 01 '!BQ5</f>
        <v>0</v>
      </c>
      <c r="BR2" s="6">
        <f>'Consolidated Q. Register - 01 '!BR5</f>
        <v>6</v>
      </c>
      <c r="BS2" s="6">
        <f>'Consolidated Q. Register - 01 '!BS5</f>
        <v>1</v>
      </c>
      <c r="BT2" s="6">
        <f>'Consolidated Q. Register - 01 '!BT5</f>
        <v>0.16666666666666666</v>
      </c>
      <c r="BU2" s="6">
        <f>'Consolidated Q. Register - 01 '!BU5</f>
        <v>0</v>
      </c>
      <c r="BV2" s="6">
        <f>'Consolidated Q. Register - 01 '!BV5</f>
        <v>0</v>
      </c>
      <c r="BW2" s="6">
        <f>'Consolidated Q. Register - 01 '!BW5</f>
        <v>0</v>
      </c>
      <c r="BX2" s="6">
        <f>'Consolidated Q. Register - 01 '!BX5</f>
        <v>0</v>
      </c>
      <c r="BY2" s="6" t="str">
        <f>'Consolidated Q. Register - 01 '!BY5</f>
        <v>NA</v>
      </c>
      <c r="BZ2" s="6">
        <f>'Consolidated Q. Register - 01 '!BZ5</f>
        <v>17</v>
      </c>
      <c r="CA2" s="6">
        <f>'Consolidated Q. Register - 01 '!CA5</f>
        <v>17</v>
      </c>
      <c r="CB2" s="6">
        <f>'Consolidated Q. Register - 01 '!CB5</f>
        <v>0</v>
      </c>
      <c r="CC2" s="6">
        <f>'Consolidated Q. Register - 01 '!CC5</f>
        <v>12</v>
      </c>
      <c r="CD2" s="6">
        <f>'Consolidated Q. Register - 01 '!CD5</f>
        <v>11</v>
      </c>
      <c r="CE2" s="6">
        <f>'Consolidated Q. Register - 01 '!CE5</f>
        <v>11</v>
      </c>
      <c r="CF2" s="6">
        <f>'Consolidated Q. Register - 01 '!CF5</f>
        <v>4</v>
      </c>
      <c r="CG2" s="6">
        <f>'Consolidated Q. Register - 01 '!CG5</f>
        <v>4</v>
      </c>
      <c r="CH2" s="6">
        <f>'Consolidated Q. Register - 01 '!CH5</f>
        <v>38</v>
      </c>
      <c r="CI2" s="6">
        <f>'Consolidated Q. Register - 01 '!CI5</f>
        <v>38</v>
      </c>
      <c r="CJ2" s="6">
        <f>'Consolidated Q. Register - 01 '!CJ5</f>
        <v>1</v>
      </c>
      <c r="CK2" s="6">
        <f>'Consolidated Q. Register - 01 '!CK5</f>
        <v>4</v>
      </c>
      <c r="CL2" s="6">
        <f>'Consolidated Q. Register - 01 '!CL5</f>
        <v>4</v>
      </c>
      <c r="CM2" s="6">
        <f>'Consolidated Q. Register - 01 '!CM5</f>
        <v>27</v>
      </c>
      <c r="CN2" s="6">
        <f>'Consolidated Q. Register - 01 '!CN5</f>
        <v>27</v>
      </c>
      <c r="CO2" s="6">
        <f>'Consolidated Q. Register - 01 '!CO5</f>
        <v>1</v>
      </c>
      <c r="CP2" s="6">
        <f>'Consolidated Q. Register - 01 '!CP5</f>
        <v>0</v>
      </c>
      <c r="CQ2" s="6">
        <f>'Consolidated Q. Register - 01 '!CQ5</f>
        <v>0</v>
      </c>
      <c r="CR2" s="6">
        <f>'Consolidated Q. Register - 01 '!CR5</f>
        <v>0</v>
      </c>
      <c r="CS2" s="6">
        <f>'Consolidated Q. Register - 01 '!CS5</f>
        <v>0</v>
      </c>
      <c r="CT2" s="6">
        <f>'Consolidated Q. Register - 01 '!CT5</f>
        <v>0</v>
      </c>
      <c r="CU2" s="6">
        <f>'Consolidated Q. Register - 01 '!CU5</f>
        <v>0</v>
      </c>
      <c r="CV2" s="6">
        <f>'Consolidated Q. Register - 01 '!CV5</f>
        <v>0</v>
      </c>
      <c r="CW2" s="6">
        <f>'Consolidated Q. Register - 01 '!CW5</f>
        <v>0</v>
      </c>
      <c r="CX2" s="6">
        <f>'Consolidated Q. Register - 01 '!CX5</f>
        <v>0</v>
      </c>
      <c r="CY2" s="6">
        <f>'Consolidated Q. Register - 01 '!CY5</f>
        <v>0</v>
      </c>
      <c r="CZ2" s="6">
        <f>'Consolidated Q. Register - 01 '!CZ5</f>
        <v>0</v>
      </c>
      <c r="DA2" s="6">
        <f>'Consolidated Q. Register - 01 '!DA5</f>
        <v>0</v>
      </c>
      <c r="DB2" s="6">
        <f>'Consolidated Q. Register - 01 '!DB5</f>
        <v>0</v>
      </c>
      <c r="DC2" s="6">
        <f>'Consolidated Q. Register - 01 '!DC5</f>
        <v>0</v>
      </c>
      <c r="DD2" s="6">
        <f>'Consolidated Q. Register - 01 '!DD5</f>
        <v>0</v>
      </c>
      <c r="DE2" s="6">
        <f>'Consolidated Q. Register - 01 '!DE5</f>
        <v>0</v>
      </c>
      <c r="DF2" s="6">
        <f>'Consolidated Q. Register - 01 '!DF5</f>
        <v>0</v>
      </c>
      <c r="DG2" s="6">
        <f>'Consolidated Q. Register - 01 '!DG5</f>
        <v>0</v>
      </c>
      <c r="DH2" s="6">
        <f>'Consolidated Q. Register - 01 '!DH5</f>
        <v>0</v>
      </c>
      <c r="DI2" s="6">
        <f>'Consolidated Q. Register - 01 '!DI5</f>
        <v>0</v>
      </c>
    </row>
    <row r="3" spans="1:587" s="5" customFormat="1" ht="150">
      <c r="A3" s="6">
        <f>'Consolidated Q. Register - 01 '!A6</f>
        <v>2</v>
      </c>
      <c r="B3" s="6" t="str">
        <f>'Consolidated Q. Register - 01 '!B6</f>
        <v>DG2 - Diriyah II</v>
      </c>
      <c r="C3" s="6" t="str">
        <f>'Consolidated Q. Register - 01 '!C6</f>
        <v>BV - Boulevard Community</v>
      </c>
      <c r="D3" s="6" t="str">
        <f>'Consolidated Q. Register - 01 '!D6</f>
        <v>BSW - Boulevard South-West</v>
      </c>
      <c r="E3" s="6" t="str">
        <f>'Consolidated Q. Register - 01 '!E6</f>
        <v>Royal Diriyah Opera House</v>
      </c>
      <c r="F3" s="6" t="str">
        <f>'Consolidated Q. Register - 01 '!F6</f>
        <v>DD-DG2-BV-BSW-105</v>
      </c>
      <c r="G3" s="6" t="str">
        <f>'Consolidated Q. Register - 01 '!G6</f>
        <v>Snohetta/ Saudi Diyar</v>
      </c>
      <c r="H3" s="6" t="str">
        <f>'Consolidated Q. Register - 01 '!H6</f>
        <v>ECM JV</v>
      </c>
      <c r="I3" s="6" t="str">
        <f>'Consolidated Q. Register - 01 '!I6</f>
        <v>Construction</v>
      </c>
      <c r="J3" s="6">
        <f>'Consolidated Q. Register - 01 '!J6</f>
        <v>1</v>
      </c>
      <c r="K3" s="6">
        <f>'Consolidated Q. Register - 01 '!K6</f>
        <v>1</v>
      </c>
      <c r="L3" s="6">
        <f>'Consolidated Q. Register - 01 '!L6</f>
        <v>1</v>
      </c>
      <c r="M3" s="6">
        <f>'Consolidated Q. Register - 01 '!M6</f>
        <v>1</v>
      </c>
      <c r="N3" s="6">
        <f>'Consolidated Q. Register - 01 '!N6</f>
        <v>1</v>
      </c>
      <c r="O3" s="6">
        <f>'Consolidated Q. Register - 01 '!O6</f>
        <v>1</v>
      </c>
      <c r="P3" s="6">
        <f>'Consolidated Q. Register - 01 '!P6</f>
        <v>11</v>
      </c>
      <c r="Q3" s="6">
        <f>'Consolidated Q. Register - 01 '!Q6</f>
        <v>11</v>
      </c>
      <c r="R3" s="6">
        <f>'Consolidated Q. Register - 01 '!R6</f>
        <v>1</v>
      </c>
      <c r="S3" s="6">
        <f>'Consolidated Q. Register - 01 '!S6</f>
        <v>78</v>
      </c>
      <c r="T3" s="6">
        <f>'Consolidated Q. Register - 01 '!T6</f>
        <v>60</v>
      </c>
      <c r="U3" s="6">
        <f>'Consolidated Q. Register - 01 '!U6</f>
        <v>0.76923076923076927</v>
      </c>
      <c r="V3" s="6">
        <f>'Consolidated Q. Register - 01 '!V6</f>
        <v>47</v>
      </c>
      <c r="W3" s="6">
        <f>'Consolidated Q. Register - 01 '!W6</f>
        <v>36</v>
      </c>
      <c r="X3" s="6">
        <f>'Consolidated Q. Register - 01 '!X6</f>
        <v>0.76595744680851063</v>
      </c>
      <c r="Y3" s="6">
        <f>'Consolidated Q. Register - 01 '!Y6</f>
        <v>264</v>
      </c>
      <c r="Z3" s="6">
        <f>'Consolidated Q. Register - 01 '!Z6</f>
        <v>163</v>
      </c>
      <c r="AA3" s="6">
        <f>'Consolidated Q. Register - 01 '!AA6</f>
        <v>0.61742424242424243</v>
      </c>
      <c r="AB3" s="6">
        <f>'Consolidated Q. Register - 01 '!AB6</f>
        <v>0</v>
      </c>
      <c r="AC3" s="6">
        <f>'Consolidated Q. Register - 01 '!AC6</f>
        <v>0</v>
      </c>
      <c r="AD3" s="6" t="str">
        <f>'Consolidated Q. Register - 01 '!AD6</f>
        <v>0</v>
      </c>
      <c r="AE3" s="6">
        <f>'Consolidated Q. Register - 01 '!AE6</f>
        <v>7990</v>
      </c>
      <c r="AF3" s="6">
        <f>'Consolidated Q. Register - 01 '!AF6</f>
        <v>6538</v>
      </c>
      <c r="AG3" s="6">
        <f>'Consolidated Q. Register - 01 '!AG6</f>
        <v>0.81827284105131415</v>
      </c>
      <c r="AH3" s="6">
        <f>'Consolidated Q. Register - 01 '!AH6</f>
        <v>10</v>
      </c>
      <c r="AI3" s="6">
        <f>'Consolidated Q. Register - 01 '!AI6</f>
        <v>1</v>
      </c>
      <c r="AJ3" s="6">
        <f>'Consolidated Q. Register - 01 '!AJ6</f>
        <v>0</v>
      </c>
      <c r="AK3" s="6">
        <f>'Consolidated Q. Register - 01 '!AK6</f>
        <v>41</v>
      </c>
      <c r="AL3" s="6">
        <f>'Consolidated Q. Register - 01 '!AL6</f>
        <v>21</v>
      </c>
      <c r="AM3" s="6">
        <f>'Consolidated Q. Register - 01 '!AM6</f>
        <v>0.51219512195121952</v>
      </c>
      <c r="AN3" s="6">
        <f>'Consolidated Q. Register - 01 '!AN6</f>
        <v>18</v>
      </c>
      <c r="AO3" s="6">
        <f>'Consolidated Q. Register - 01 '!AO6</f>
        <v>0.5625</v>
      </c>
      <c r="AP3" s="6">
        <f>'Consolidated Q. Register - 01 '!AP6</f>
        <v>6315</v>
      </c>
      <c r="AQ3" s="6">
        <f>'Consolidated Q. Register - 01 '!AQ6</f>
        <v>6.4924782264449725E-3</v>
      </c>
      <c r="AR3" s="6">
        <f>'Consolidated Q. Register - 01 '!AR6</f>
        <v>66</v>
      </c>
      <c r="AS3" s="6">
        <f>'Consolidated Q. Register - 01 '!AS6</f>
        <v>54</v>
      </c>
      <c r="AT3" s="6">
        <f>'Consolidated Q. Register - 01 '!AT6</f>
        <v>50</v>
      </c>
      <c r="AU3" s="6">
        <f>'Consolidated Q. Register - 01 '!AU6</f>
        <v>385</v>
      </c>
      <c r="AV3" s="6">
        <f>'Consolidated Q. Register - 01 '!AV6</f>
        <v>365</v>
      </c>
      <c r="AW3" s="6">
        <f>'Consolidated Q. Register - 01 '!AW6</f>
        <v>0.94805194805194803</v>
      </c>
      <c r="AX3" s="6">
        <f>'Consolidated Q. Register - 01 '!AX6</f>
        <v>315</v>
      </c>
      <c r="AY3" s="6">
        <f>'Consolidated Q. Register - 01 '!AY6</f>
        <v>0.86301369863013699</v>
      </c>
      <c r="AZ3" s="6">
        <f>'Consolidated Q. Register - 01 '!AZ6</f>
        <v>701</v>
      </c>
      <c r="BA3" s="6">
        <f>'Consolidated Q. Register - 01 '!BA6</f>
        <v>605</v>
      </c>
      <c r="BB3" s="6">
        <f>'Consolidated Q. Register - 01 '!BB6</f>
        <v>550</v>
      </c>
      <c r="BC3" s="6">
        <f>'Consolidated Q. Register - 01 '!BC6</f>
        <v>6315</v>
      </c>
      <c r="BD3" s="6">
        <f>'Consolidated Q. Register - 01 '!BD6</f>
        <v>6051</v>
      </c>
      <c r="BE3" s="6">
        <f>'Consolidated Q. Register - 01 '!BE6</f>
        <v>0.95819477434679334</v>
      </c>
      <c r="BF3" s="6">
        <f>'Consolidated Q. Register - 01 '!BF6</f>
        <v>5218</v>
      </c>
      <c r="BG3" s="6">
        <f>'Consolidated Q. Register - 01 '!BG6</f>
        <v>0.86233680383407696</v>
      </c>
      <c r="BH3" s="6">
        <f>'Consolidated Q. Register - 01 '!BH6</f>
        <v>119</v>
      </c>
      <c r="BI3" s="6">
        <f>'Consolidated Q. Register - 01 '!BI6</f>
        <v>93</v>
      </c>
      <c r="BJ3" s="6">
        <f>'Consolidated Q. Register - 01 '!BJ6</f>
        <v>66</v>
      </c>
      <c r="BK3" s="6">
        <f>'Consolidated Q. Register - 01 '!BK6</f>
        <v>1320</v>
      </c>
      <c r="BL3" s="6">
        <f>'Consolidated Q. Register - 01 '!BL6</f>
        <v>1294</v>
      </c>
      <c r="BM3" s="6">
        <f>'Consolidated Q. Register - 01 '!BM6</f>
        <v>0.98030303030303034</v>
      </c>
      <c r="BN3" s="6">
        <f>'Consolidated Q. Register - 01 '!BN6</f>
        <v>882</v>
      </c>
      <c r="BO3" s="6">
        <f>'Consolidated Q. Register - 01 '!BO6</f>
        <v>0.68108108108108112</v>
      </c>
      <c r="BP3" s="6">
        <f>'Consolidated Q. Register - 01 '!BP6</f>
        <v>1</v>
      </c>
      <c r="BQ3" s="6">
        <f>'Consolidated Q. Register - 01 '!BQ6</f>
        <v>1</v>
      </c>
      <c r="BR3" s="6">
        <f>'Consolidated Q. Register - 01 '!BR6</f>
        <v>1</v>
      </c>
      <c r="BS3" s="6">
        <f>'Consolidated Q. Register - 01 '!BS6</f>
        <v>1</v>
      </c>
      <c r="BT3" s="6">
        <f>'Consolidated Q. Register - 01 '!BT6</f>
        <v>1</v>
      </c>
      <c r="BU3" s="6">
        <f>'Consolidated Q. Register - 01 '!BU6</f>
        <v>0</v>
      </c>
      <c r="BV3" s="6">
        <f>'Consolidated Q. Register - 01 '!BV6</f>
        <v>0</v>
      </c>
      <c r="BW3" s="6">
        <f>'Consolidated Q. Register - 01 '!BW6</f>
        <v>0</v>
      </c>
      <c r="BX3" s="6">
        <f>'Consolidated Q. Register - 01 '!BX6</f>
        <v>0</v>
      </c>
      <c r="BY3" s="6" t="str">
        <f>'Consolidated Q. Register - 01 '!BY6</f>
        <v>NA</v>
      </c>
      <c r="BZ3" s="6">
        <f>'Consolidated Q. Register - 01 '!BZ6</f>
        <v>3</v>
      </c>
      <c r="CA3" s="6">
        <f>'Consolidated Q. Register - 01 '!CA6</f>
        <v>3</v>
      </c>
      <c r="CB3" s="6">
        <f>'Consolidated Q. Register - 01 '!CB6</f>
        <v>1</v>
      </c>
      <c r="CC3" s="6">
        <f>'Consolidated Q. Register - 01 '!CC6</f>
        <v>2</v>
      </c>
      <c r="CD3" s="6">
        <f>'Consolidated Q. Register - 01 '!CD6</f>
        <v>100</v>
      </c>
      <c r="CE3" s="6">
        <f>'Consolidated Q. Register - 01 '!CE6</f>
        <v>100</v>
      </c>
      <c r="CF3" s="6">
        <f>'Consolidated Q. Register - 01 '!CF6</f>
        <v>5</v>
      </c>
      <c r="CG3" s="6">
        <f>'Consolidated Q. Register - 01 '!CG6</f>
        <v>5</v>
      </c>
      <c r="CH3" s="6">
        <f>'Consolidated Q. Register - 01 '!CH6</f>
        <v>49</v>
      </c>
      <c r="CI3" s="6">
        <f>'Consolidated Q. Register - 01 '!CI6</f>
        <v>49</v>
      </c>
      <c r="CJ3" s="6">
        <f>'Consolidated Q. Register - 01 '!CJ6</f>
        <v>1</v>
      </c>
      <c r="CK3" s="6">
        <f>'Consolidated Q. Register - 01 '!CK6</f>
        <v>5</v>
      </c>
      <c r="CL3" s="6">
        <f>'Consolidated Q. Register - 01 '!CL6</f>
        <v>5</v>
      </c>
      <c r="CM3" s="6">
        <f>'Consolidated Q. Register - 01 '!CM6</f>
        <v>49</v>
      </c>
      <c r="CN3" s="6">
        <f>'Consolidated Q. Register - 01 '!CN6</f>
        <v>49</v>
      </c>
      <c r="CO3" s="6">
        <f>'Consolidated Q. Register - 01 '!CO6</f>
        <v>1</v>
      </c>
      <c r="CP3" s="6">
        <f>'Consolidated Q. Register - 01 '!CP6</f>
        <v>0</v>
      </c>
      <c r="CQ3" s="6">
        <f>'Consolidated Q. Register - 01 '!CQ6</f>
        <v>0</v>
      </c>
      <c r="CR3" s="6">
        <f>'Consolidated Q. Register - 01 '!CR6</f>
        <v>0</v>
      </c>
      <c r="CS3" s="6" t="str">
        <f>'Consolidated Q. Register - 01 '!CS6</f>
        <v>The Process/ procedure's of Installation are either Incompete / Inaccurate</v>
      </c>
      <c r="CT3" s="6" t="str">
        <f>'Consolidated Q. Register - 01 '!CT6</f>
        <v xml:space="preserve">The Inspection Hold points requires update  </v>
      </c>
      <c r="CU3" s="6" t="str">
        <f>'Consolidated Q. Register - 01 '!CU6</f>
        <v xml:space="preserve">The MAR's submitted by Sub-Contractors are not Reviewed </v>
      </c>
      <c r="CV3" s="6">
        <f>'Consolidated Q. Register - 01 '!CV6</f>
        <v>0</v>
      </c>
      <c r="CW3" s="6" t="str">
        <f>'Consolidated Q. Register - 01 '!CW6</f>
        <v xml:space="preserve">The Shop Drawings require detailed review by ECM Teams </v>
      </c>
      <c r="CX3" s="6">
        <f>'Consolidated Q. Register - 01 '!CX6</f>
        <v>0</v>
      </c>
      <c r="CY3" s="6" t="str">
        <f>'Consolidated Q. Register - 01 '!CY6</f>
        <v>Delayed CAPA &amp; Correction by ECM JV</v>
      </c>
      <c r="CZ3" s="6">
        <f>'Consolidated Q. Register - 01 '!CZ6</f>
        <v>0</v>
      </c>
      <c r="DA3" s="6">
        <f>'Consolidated Q. Register - 01 '!DA6</f>
        <v>0</v>
      </c>
      <c r="DB3" s="6">
        <f>'Consolidated Q. Register - 01 '!DB6</f>
        <v>0</v>
      </c>
      <c r="DC3" s="6">
        <f>'Consolidated Q. Register - 01 '!DC6</f>
        <v>0</v>
      </c>
      <c r="DD3" s="6">
        <f>'Consolidated Q. Register - 01 '!DD6</f>
        <v>0</v>
      </c>
      <c r="DE3" s="6">
        <f>'Consolidated Q. Register - 01 '!DE6</f>
        <v>0</v>
      </c>
      <c r="DF3" s="6" t="str">
        <f>'Consolidated Q. Register - 01 '!DF6</f>
        <v xml:space="preserve">Pending Audit Findings </v>
      </c>
      <c r="DG3" s="6">
        <f>'Consolidated Q. Register - 01 '!DG6</f>
        <v>0</v>
      </c>
      <c r="DH3" s="6">
        <f>'Consolidated Q. Register - 01 '!DH6</f>
        <v>0</v>
      </c>
      <c r="DI3" s="6">
        <f>'Consolidated Q. Register - 01 '!DI6</f>
        <v>0</v>
      </c>
    </row>
    <row r="4" spans="1:587" s="5" customFormat="1" ht="45">
      <c r="A4" s="6">
        <f>'Consolidated Q. Register - 01 '!A7</f>
        <v>3</v>
      </c>
      <c r="B4" s="6" t="str">
        <f>'Consolidated Q. Register - 01 '!B7</f>
        <v>DG2 - Diriyah II</v>
      </c>
      <c r="C4" s="6" t="str">
        <f>'Consolidated Q. Register - 01 '!C7</f>
        <v>BV - Boulevard Community</v>
      </c>
      <c r="D4" s="6" t="str">
        <f>'Consolidated Q. Register - 01 '!D7</f>
        <v>BSW - Boulevard South-West</v>
      </c>
      <c r="E4" s="6" t="e">
        <f>'Consolidated Q. Register - 01 '!E7</f>
        <v>#REF!</v>
      </c>
      <c r="F4" s="6" t="str">
        <f>'Consolidated Q. Register - 01 '!F7</f>
        <v>DD-DG2-BV-BSW-106</v>
      </c>
      <c r="G4" s="6" t="e">
        <f>'Consolidated Q. Register - 01 '!G7</f>
        <v>#REF!</v>
      </c>
      <c r="H4" s="6" t="e">
        <f>'Consolidated Q. Register - 01 '!H7</f>
        <v>#REF!</v>
      </c>
      <c r="I4" s="6" t="str">
        <f>'Consolidated Q. Register - 01 '!I7</f>
        <v>Construction</v>
      </c>
      <c r="J4" s="6" t="e">
        <f>'Consolidated Q. Register - 01 '!J7</f>
        <v>#REF!</v>
      </c>
      <c r="K4" s="6" t="e">
        <f>'Consolidated Q. Register - 01 '!K7</f>
        <v>#REF!</v>
      </c>
      <c r="L4" s="6" t="e">
        <f>'Consolidated Q. Register - 01 '!L7</f>
        <v>#REF!</v>
      </c>
      <c r="M4" s="6" t="e">
        <f>'Consolidated Q. Register - 01 '!M7</f>
        <v>#REF!</v>
      </c>
      <c r="N4" s="6" t="e">
        <f>'Consolidated Q. Register - 01 '!N7</f>
        <v>#REF!</v>
      </c>
      <c r="O4" s="6" t="e">
        <f>'Consolidated Q. Register - 01 '!O7</f>
        <v>#REF!</v>
      </c>
      <c r="P4" s="6" t="e">
        <f>'Consolidated Q. Register - 01 '!P7</f>
        <v>#REF!</v>
      </c>
      <c r="Q4" s="6" t="e">
        <f>'Consolidated Q. Register - 01 '!Q7</f>
        <v>#REF!</v>
      </c>
      <c r="R4" s="6" t="e">
        <f>'Consolidated Q. Register - 01 '!R7</f>
        <v>#REF!</v>
      </c>
      <c r="S4" s="6" t="e">
        <f>'Consolidated Q. Register - 01 '!S7</f>
        <v>#REF!</v>
      </c>
      <c r="T4" s="6" t="e">
        <f>'Consolidated Q. Register - 01 '!T7</f>
        <v>#REF!</v>
      </c>
      <c r="U4" s="6" t="e">
        <f>'Consolidated Q. Register - 01 '!U7</f>
        <v>#REF!</v>
      </c>
      <c r="V4" s="6" t="e">
        <f>'Consolidated Q. Register - 01 '!V7</f>
        <v>#REF!</v>
      </c>
      <c r="W4" s="6" t="e">
        <f>'Consolidated Q. Register - 01 '!W7</f>
        <v>#REF!</v>
      </c>
      <c r="X4" s="6" t="e">
        <f>'Consolidated Q. Register - 01 '!X7</f>
        <v>#REF!</v>
      </c>
      <c r="Y4" s="6" t="e">
        <f>'Consolidated Q. Register - 01 '!Y7</f>
        <v>#REF!</v>
      </c>
      <c r="Z4" s="6" t="e">
        <f>'Consolidated Q. Register - 01 '!Z7</f>
        <v>#REF!</v>
      </c>
      <c r="AA4" s="6" t="e">
        <f>'Consolidated Q. Register - 01 '!AA7</f>
        <v>#REF!</v>
      </c>
      <c r="AB4" s="6" t="e">
        <f>'Consolidated Q. Register - 01 '!AB7</f>
        <v>#REF!</v>
      </c>
      <c r="AC4" s="6" t="e">
        <f>'Consolidated Q. Register - 01 '!AC7</f>
        <v>#REF!</v>
      </c>
      <c r="AD4" s="6" t="e">
        <f>'Consolidated Q. Register - 01 '!AD7</f>
        <v>#REF!</v>
      </c>
      <c r="AE4" s="6" t="e">
        <f>'Consolidated Q. Register - 01 '!AE7</f>
        <v>#REF!</v>
      </c>
      <c r="AF4" s="6" t="e">
        <f>'Consolidated Q. Register - 01 '!AF7</f>
        <v>#REF!</v>
      </c>
      <c r="AG4" s="6" t="e">
        <f>'Consolidated Q. Register - 01 '!AG7</f>
        <v>#REF!</v>
      </c>
      <c r="AH4" s="6" t="e">
        <f>'Consolidated Q. Register - 01 '!AH7</f>
        <v>#REF!</v>
      </c>
      <c r="AI4" s="6" t="e">
        <f>'Consolidated Q. Register - 01 '!AI7</f>
        <v>#REF!</v>
      </c>
      <c r="AJ4" s="6" t="e">
        <f>'Consolidated Q. Register - 01 '!AJ7</f>
        <v>#REF!</v>
      </c>
      <c r="AK4" s="6" t="e">
        <f>'Consolidated Q. Register - 01 '!AK7</f>
        <v>#REF!</v>
      </c>
      <c r="AL4" s="6" t="e">
        <f>'Consolidated Q. Register - 01 '!AL7</f>
        <v>#REF!</v>
      </c>
      <c r="AM4" s="6" t="e">
        <f>'Consolidated Q. Register - 01 '!AM7</f>
        <v>#REF!</v>
      </c>
      <c r="AN4" s="6" t="e">
        <f>'Consolidated Q. Register - 01 '!AN7</f>
        <v>#REF!</v>
      </c>
      <c r="AO4" s="6" t="e">
        <f>'Consolidated Q. Register - 01 '!AO7</f>
        <v>#REF!</v>
      </c>
      <c r="AP4" s="6" t="e">
        <f>'Consolidated Q. Register - 01 '!AP7</f>
        <v>#REF!</v>
      </c>
      <c r="AQ4" s="6" t="e">
        <f>'Consolidated Q. Register - 01 '!AQ7</f>
        <v>#REF!</v>
      </c>
      <c r="AR4" s="6" t="e">
        <f>'Consolidated Q. Register - 01 '!AR7</f>
        <v>#REF!</v>
      </c>
      <c r="AS4" s="6" t="e">
        <f>'Consolidated Q. Register - 01 '!AS7</f>
        <v>#REF!</v>
      </c>
      <c r="AT4" s="6" t="e">
        <f>'Consolidated Q. Register - 01 '!AT7</f>
        <v>#REF!</v>
      </c>
      <c r="AU4" s="6" t="e">
        <f>'Consolidated Q. Register - 01 '!AU7</f>
        <v>#REF!</v>
      </c>
      <c r="AV4" s="6" t="e">
        <f>'Consolidated Q. Register - 01 '!AV7</f>
        <v>#REF!</v>
      </c>
      <c r="AW4" s="6" t="e">
        <f>'Consolidated Q. Register - 01 '!AW7</f>
        <v>#REF!</v>
      </c>
      <c r="AX4" s="6" t="e">
        <f>'Consolidated Q. Register - 01 '!AX7</f>
        <v>#REF!</v>
      </c>
      <c r="AY4" s="6" t="e">
        <f>'Consolidated Q. Register - 01 '!AY7</f>
        <v>#REF!</v>
      </c>
      <c r="AZ4" s="6" t="e">
        <f>'Consolidated Q. Register - 01 '!AZ7</f>
        <v>#REF!</v>
      </c>
      <c r="BA4" s="6" t="e">
        <f>'Consolidated Q. Register - 01 '!BA7</f>
        <v>#REF!</v>
      </c>
      <c r="BB4" s="6" t="e">
        <f>'Consolidated Q. Register - 01 '!BB7</f>
        <v>#REF!</v>
      </c>
      <c r="BC4" s="6" t="e">
        <f>'Consolidated Q. Register - 01 '!BC7</f>
        <v>#REF!</v>
      </c>
      <c r="BD4" s="6" t="e">
        <f>'Consolidated Q. Register - 01 '!BD7</f>
        <v>#REF!</v>
      </c>
      <c r="BE4" s="6" t="e">
        <f>'Consolidated Q. Register - 01 '!BE7</f>
        <v>#REF!</v>
      </c>
      <c r="BF4" s="6" t="e">
        <f>'Consolidated Q. Register - 01 '!BF7</f>
        <v>#REF!</v>
      </c>
      <c r="BG4" s="6" t="e">
        <f>'Consolidated Q. Register - 01 '!BG7</f>
        <v>#REF!</v>
      </c>
      <c r="BH4" s="6" t="e">
        <f>'Consolidated Q. Register - 01 '!BH7</f>
        <v>#REF!</v>
      </c>
      <c r="BI4" s="6" t="e">
        <f>'Consolidated Q. Register - 01 '!BI7</f>
        <v>#REF!</v>
      </c>
      <c r="BJ4" s="6" t="e">
        <f>'Consolidated Q. Register - 01 '!BJ7</f>
        <v>#REF!</v>
      </c>
      <c r="BK4" s="6" t="e">
        <f>'Consolidated Q. Register - 01 '!BK7</f>
        <v>#REF!</v>
      </c>
      <c r="BL4" s="6" t="e">
        <f>'Consolidated Q. Register - 01 '!BL7</f>
        <v>#REF!</v>
      </c>
      <c r="BM4" s="6" t="e">
        <f>'Consolidated Q. Register - 01 '!BM7</f>
        <v>#REF!</v>
      </c>
      <c r="BN4" s="6" t="e">
        <f>'Consolidated Q. Register - 01 '!BN7</f>
        <v>#REF!</v>
      </c>
      <c r="BO4" s="6" t="e">
        <f>'Consolidated Q. Register - 01 '!BO7</f>
        <v>#REF!</v>
      </c>
      <c r="BP4" s="6" t="e">
        <f>'Consolidated Q. Register - 01 '!BP7</f>
        <v>#REF!</v>
      </c>
      <c r="BQ4" s="6" t="e">
        <f>'Consolidated Q. Register - 01 '!BQ7</f>
        <v>#REF!</v>
      </c>
      <c r="BR4" s="6" t="e">
        <f>'Consolidated Q. Register - 01 '!BR7</f>
        <v>#REF!</v>
      </c>
      <c r="BS4" s="6" t="e">
        <f>'Consolidated Q. Register - 01 '!BS7</f>
        <v>#REF!</v>
      </c>
      <c r="BT4" s="6" t="e">
        <f>'Consolidated Q. Register - 01 '!BT7</f>
        <v>#REF!</v>
      </c>
      <c r="BU4" s="6" t="e">
        <f>'Consolidated Q. Register - 01 '!BU7</f>
        <v>#REF!</v>
      </c>
      <c r="BV4" s="6" t="e">
        <f>'Consolidated Q. Register - 01 '!BV7</f>
        <v>#REF!</v>
      </c>
      <c r="BW4" s="6" t="e">
        <f>'Consolidated Q. Register - 01 '!BW7</f>
        <v>#REF!</v>
      </c>
      <c r="BX4" s="6" t="e">
        <f>'Consolidated Q. Register - 01 '!BX7</f>
        <v>#REF!</v>
      </c>
      <c r="BY4" s="6" t="e">
        <f>'Consolidated Q. Register - 01 '!BY7</f>
        <v>#REF!</v>
      </c>
      <c r="BZ4" s="6" t="e">
        <f>'Consolidated Q. Register - 01 '!BZ7</f>
        <v>#REF!</v>
      </c>
      <c r="CA4" s="6" t="e">
        <f>'Consolidated Q. Register - 01 '!CA7</f>
        <v>#REF!</v>
      </c>
      <c r="CB4" s="6" t="e">
        <f>'Consolidated Q. Register - 01 '!CB7</f>
        <v>#REF!</v>
      </c>
      <c r="CC4" s="6" t="e">
        <f>'Consolidated Q. Register - 01 '!CC7</f>
        <v>#REF!</v>
      </c>
      <c r="CD4" s="6" t="e">
        <f>'Consolidated Q. Register - 01 '!CD7</f>
        <v>#REF!</v>
      </c>
      <c r="CE4" s="6" t="e">
        <f>'Consolidated Q. Register - 01 '!CE7</f>
        <v>#REF!</v>
      </c>
      <c r="CF4" s="6" t="e">
        <f>'Consolidated Q. Register - 01 '!CF7</f>
        <v>#REF!</v>
      </c>
      <c r="CG4" s="6" t="e">
        <f>'Consolidated Q. Register - 01 '!CG7</f>
        <v>#REF!</v>
      </c>
      <c r="CH4" s="6" t="e">
        <f>'Consolidated Q. Register - 01 '!CH7</f>
        <v>#REF!</v>
      </c>
      <c r="CI4" s="6" t="e">
        <f>'Consolidated Q. Register - 01 '!CI7</f>
        <v>#REF!</v>
      </c>
      <c r="CJ4" s="6" t="e">
        <f>'Consolidated Q. Register - 01 '!CJ7</f>
        <v>#REF!</v>
      </c>
      <c r="CK4" s="6" t="e">
        <f>'Consolidated Q. Register - 01 '!CK7</f>
        <v>#REF!</v>
      </c>
      <c r="CL4" s="6" t="e">
        <f>'Consolidated Q. Register - 01 '!CL7</f>
        <v>#REF!</v>
      </c>
      <c r="CM4" s="6" t="e">
        <f>'Consolidated Q. Register - 01 '!CM7</f>
        <v>#REF!</v>
      </c>
      <c r="CN4" s="6" t="e">
        <f>'Consolidated Q. Register - 01 '!CN7</f>
        <v>#REF!</v>
      </c>
      <c r="CO4" s="6" t="e">
        <f>'Consolidated Q. Register - 01 '!CO7</f>
        <v>#REF!</v>
      </c>
      <c r="CP4" s="6" t="e">
        <f>'Consolidated Q. Register - 01 '!CP7</f>
        <v>#REF!</v>
      </c>
      <c r="CQ4" s="6" t="e">
        <f>'Consolidated Q. Register - 01 '!CQ7</f>
        <v>#REF!</v>
      </c>
      <c r="CR4" s="6" t="e">
        <f>'Consolidated Q. Register - 01 '!CR7</f>
        <v>#REF!</v>
      </c>
      <c r="CS4" s="6" t="e">
        <f>'Consolidated Q. Register - 01 '!CS7</f>
        <v>#REF!</v>
      </c>
      <c r="CT4" s="6" t="e">
        <f>'Consolidated Q. Register - 01 '!CT7</f>
        <v>#REF!</v>
      </c>
      <c r="CU4" s="6" t="e">
        <f>'Consolidated Q. Register - 01 '!CU7</f>
        <v>#REF!</v>
      </c>
      <c r="CV4" s="6" t="e">
        <f>'Consolidated Q. Register - 01 '!CV7</f>
        <v>#REF!</v>
      </c>
      <c r="CW4" s="6" t="e">
        <f>'Consolidated Q. Register - 01 '!CW7</f>
        <v>#REF!</v>
      </c>
      <c r="CX4" s="6" t="e">
        <f>'Consolidated Q. Register - 01 '!CX7</f>
        <v>#REF!</v>
      </c>
      <c r="CY4" s="6" t="e">
        <f>'Consolidated Q. Register - 01 '!CY7</f>
        <v>#REF!</v>
      </c>
      <c r="CZ4" s="6" t="e">
        <f>'Consolidated Q. Register - 01 '!CZ7</f>
        <v>#REF!</v>
      </c>
      <c r="DA4" s="6" t="e">
        <f>'Consolidated Q. Register - 01 '!DA7</f>
        <v>#REF!</v>
      </c>
      <c r="DB4" s="6" t="e">
        <f>'Consolidated Q. Register - 01 '!DB7</f>
        <v>#REF!</v>
      </c>
      <c r="DC4" s="6" t="e">
        <f>'Consolidated Q. Register - 01 '!DC7</f>
        <v>#REF!</v>
      </c>
      <c r="DD4" s="6" t="e">
        <f>'Consolidated Q. Register - 01 '!DD7</f>
        <v>#REF!</v>
      </c>
      <c r="DE4" s="6" t="e">
        <f>'Consolidated Q. Register - 01 '!DE7</f>
        <v>#REF!</v>
      </c>
      <c r="DF4" s="6" t="e">
        <f>'Consolidated Q. Register - 01 '!DF7</f>
        <v>#REF!</v>
      </c>
      <c r="DG4" s="6" t="e">
        <f>'Consolidated Q. Register - 01 '!DG7</f>
        <v>#REF!</v>
      </c>
      <c r="DH4" s="6" t="e">
        <f>'Consolidated Q. Register - 01 '!DH7</f>
        <v>#REF!</v>
      </c>
      <c r="DI4" s="6" t="e">
        <f>'Consolidated Q. Register - 01 '!DI7</f>
        <v>#REF!</v>
      </c>
    </row>
    <row r="5" spans="1:587" s="5" customFormat="1" ht="45">
      <c r="A5" s="6">
        <f>'Consolidated Q. Register - 01 '!A8</f>
        <v>4</v>
      </c>
      <c r="B5" s="6" t="str">
        <f>'Consolidated Q. Register - 01 '!B8</f>
        <v>DG2 - Diriyah II</v>
      </c>
      <c r="C5" s="6" t="str">
        <f>'Consolidated Q. Register - 01 '!C8</f>
        <v>BV - Boulevard Community</v>
      </c>
      <c r="D5" s="6" t="str">
        <f>'Consolidated Q. Register - 01 '!D8</f>
        <v>BNW - Boulevard North-West</v>
      </c>
      <c r="E5" s="6" t="str">
        <f>'Consolidated Q. Register - 01 '!E8</f>
        <v>Waldorf Astoria Hotel &amp; Branded Residences</v>
      </c>
      <c r="F5" s="6" t="str">
        <f>'Consolidated Q. Register - 01 '!F8</f>
        <v>DD-DG2-BV-BNW-108</v>
      </c>
      <c r="G5" s="6">
        <f>'Consolidated Q. Register - 01 '!G8</f>
        <v>0</v>
      </c>
      <c r="H5" s="6">
        <f>'Consolidated Q. Register - 01 '!H8</f>
        <v>0</v>
      </c>
      <c r="I5" s="6" t="str">
        <f>'Consolidated Q. Register - 01 '!I8</f>
        <v>Construction</v>
      </c>
      <c r="J5" s="6">
        <f>'Consolidated Q. Register - 01 '!J8</f>
        <v>0</v>
      </c>
      <c r="K5" s="6">
        <f>'Consolidated Q. Register - 01 '!K8</f>
        <v>0</v>
      </c>
      <c r="L5" s="6" t="str">
        <f>'Consolidated Q. Register - 01 '!L8</f>
        <v>0</v>
      </c>
      <c r="M5" s="6">
        <f>'Consolidated Q. Register - 01 '!M8</f>
        <v>0</v>
      </c>
      <c r="N5" s="6">
        <f>'Consolidated Q. Register - 01 '!N8</f>
        <v>0</v>
      </c>
      <c r="O5" s="6" t="str">
        <f>'Consolidated Q. Register - 01 '!O8</f>
        <v>0</v>
      </c>
      <c r="P5" s="6">
        <f>'Consolidated Q. Register - 01 '!P8</f>
        <v>0</v>
      </c>
      <c r="Q5" s="6">
        <f>'Consolidated Q. Register - 01 '!Q8</f>
        <v>0</v>
      </c>
      <c r="R5" s="6" t="str">
        <f>'Consolidated Q. Register - 01 '!R8</f>
        <v>0</v>
      </c>
      <c r="S5" s="6">
        <f>'Consolidated Q. Register - 01 '!S8</f>
        <v>0</v>
      </c>
      <c r="T5" s="6">
        <f>'Consolidated Q. Register - 01 '!T8</f>
        <v>0</v>
      </c>
      <c r="U5" s="6" t="str">
        <f>'Consolidated Q. Register - 01 '!U8</f>
        <v>0</v>
      </c>
      <c r="V5" s="6">
        <f>'Consolidated Q. Register - 01 '!V8</f>
        <v>0</v>
      </c>
      <c r="W5" s="6">
        <f>'Consolidated Q. Register - 01 '!W8</f>
        <v>0</v>
      </c>
      <c r="X5" s="6" t="str">
        <f>'Consolidated Q. Register - 01 '!X8</f>
        <v>0</v>
      </c>
      <c r="Y5" s="6">
        <f>'Consolidated Q. Register - 01 '!Y8</f>
        <v>0</v>
      </c>
      <c r="Z5" s="6">
        <f>'Consolidated Q. Register - 01 '!Z8</f>
        <v>0</v>
      </c>
      <c r="AA5" s="6" t="str">
        <f>'Consolidated Q. Register - 01 '!AA8</f>
        <v>0</v>
      </c>
      <c r="AB5" s="6">
        <f>'Consolidated Q. Register - 01 '!AB8</f>
        <v>0</v>
      </c>
      <c r="AC5" s="6">
        <f>'Consolidated Q. Register - 01 '!AC8</f>
        <v>0</v>
      </c>
      <c r="AD5" s="6" t="str">
        <f>'Consolidated Q. Register - 01 '!AD8</f>
        <v>0</v>
      </c>
      <c r="AE5" s="6">
        <f>'Consolidated Q. Register - 01 '!AE8</f>
        <v>0</v>
      </c>
      <c r="AF5" s="6">
        <f>'Consolidated Q. Register - 01 '!AF8</f>
        <v>0</v>
      </c>
      <c r="AG5" s="6" t="str">
        <f>'Consolidated Q. Register - 01 '!AG8</f>
        <v>0</v>
      </c>
      <c r="AH5" s="6">
        <f>'Consolidated Q. Register - 01 '!AH8</f>
        <v>0</v>
      </c>
      <c r="AI5" s="6">
        <f>'Consolidated Q. Register - 01 '!AI8</f>
        <v>0</v>
      </c>
      <c r="AJ5" s="6">
        <f>'Consolidated Q. Register - 01 '!AJ8</f>
        <v>0</v>
      </c>
      <c r="AK5" s="6">
        <f>'Consolidated Q. Register - 01 '!AK8</f>
        <v>0</v>
      </c>
      <c r="AL5" s="6">
        <f>'Consolidated Q. Register - 01 '!AL8</f>
        <v>0</v>
      </c>
      <c r="AM5" s="6" t="str">
        <f>'Consolidated Q. Register - 01 '!AM8</f>
        <v>NA</v>
      </c>
      <c r="AN5" s="6">
        <f>'Consolidated Q. Register - 01 '!AN8</f>
        <v>0</v>
      </c>
      <c r="AO5" s="6" t="str">
        <f>'Consolidated Q. Register - 01 '!AO8</f>
        <v>NA</v>
      </c>
      <c r="AP5" s="6">
        <f>'Consolidated Q. Register - 01 '!AP8</f>
        <v>0</v>
      </c>
      <c r="AQ5" s="6" t="str">
        <f>'Consolidated Q. Register - 01 '!AQ8</f>
        <v>NA</v>
      </c>
      <c r="AR5" s="6">
        <f>'Consolidated Q. Register - 01 '!AR8</f>
        <v>0</v>
      </c>
      <c r="AS5" s="6">
        <f>'Consolidated Q. Register - 01 '!AS8</f>
        <v>0</v>
      </c>
      <c r="AT5" s="6">
        <f>'Consolidated Q. Register - 01 '!AT8</f>
        <v>0</v>
      </c>
      <c r="AU5" s="6">
        <f>'Consolidated Q. Register - 01 '!AU8</f>
        <v>0</v>
      </c>
      <c r="AV5" s="6">
        <f>'Consolidated Q. Register - 01 '!AV8</f>
        <v>0</v>
      </c>
      <c r="AW5" s="6" t="str">
        <f>'Consolidated Q. Register - 01 '!AW8</f>
        <v>NA</v>
      </c>
      <c r="AX5" s="6">
        <f>'Consolidated Q. Register - 01 '!AX8</f>
        <v>0</v>
      </c>
      <c r="AY5" s="6" t="str">
        <f>'Consolidated Q. Register - 01 '!AY8</f>
        <v>NA</v>
      </c>
      <c r="AZ5" s="6">
        <f>'Consolidated Q. Register - 01 '!AZ8</f>
        <v>0</v>
      </c>
      <c r="BA5" s="6">
        <f>'Consolidated Q. Register - 01 '!BA8</f>
        <v>0</v>
      </c>
      <c r="BB5" s="6">
        <f>'Consolidated Q. Register - 01 '!BB8</f>
        <v>0</v>
      </c>
      <c r="BC5" s="6">
        <f>'Consolidated Q. Register - 01 '!BC8</f>
        <v>0</v>
      </c>
      <c r="BD5" s="6">
        <f>'Consolidated Q. Register - 01 '!BD8</f>
        <v>0</v>
      </c>
      <c r="BE5" s="6" t="str">
        <f>'Consolidated Q. Register - 01 '!BE8</f>
        <v>NA</v>
      </c>
      <c r="BF5" s="6">
        <f>'Consolidated Q. Register - 01 '!BF8</f>
        <v>0</v>
      </c>
      <c r="BG5" s="6" t="str">
        <f>'Consolidated Q. Register - 01 '!BG8</f>
        <v>NA</v>
      </c>
      <c r="BH5" s="6">
        <f>'Consolidated Q. Register - 01 '!BH8</f>
        <v>0</v>
      </c>
      <c r="BI5" s="6">
        <f>'Consolidated Q. Register - 01 '!BI8</f>
        <v>0</v>
      </c>
      <c r="BJ5" s="6">
        <f>'Consolidated Q. Register - 01 '!BJ8</f>
        <v>0</v>
      </c>
      <c r="BK5" s="6">
        <f>'Consolidated Q. Register - 01 '!BK8</f>
        <v>0</v>
      </c>
      <c r="BL5" s="6">
        <f>'Consolidated Q. Register - 01 '!BL8</f>
        <v>0</v>
      </c>
      <c r="BM5" s="6" t="str">
        <f>'Consolidated Q. Register - 01 '!BM8</f>
        <v>-</v>
      </c>
      <c r="BN5" s="6">
        <f>'Consolidated Q. Register - 01 '!BN8</f>
        <v>0</v>
      </c>
      <c r="BO5" s="6" t="str">
        <f>'Consolidated Q. Register - 01 '!BO8</f>
        <v>-</v>
      </c>
      <c r="BP5" s="6">
        <f>'Consolidated Q. Register - 01 '!BP8</f>
        <v>0</v>
      </c>
      <c r="BQ5" s="6">
        <f>'Consolidated Q. Register - 01 '!BQ8</f>
        <v>0</v>
      </c>
      <c r="BR5" s="6">
        <f>'Consolidated Q. Register - 01 '!BR8</f>
        <v>0</v>
      </c>
      <c r="BS5" s="6">
        <f>'Consolidated Q. Register - 01 '!BS8</f>
        <v>0</v>
      </c>
      <c r="BT5" s="6" t="str">
        <f>'Consolidated Q. Register - 01 '!BT8</f>
        <v>NA</v>
      </c>
      <c r="BU5" s="6">
        <f>'Consolidated Q. Register - 01 '!BU8</f>
        <v>0</v>
      </c>
      <c r="BV5" s="6">
        <f>'Consolidated Q. Register - 01 '!BV8</f>
        <v>0</v>
      </c>
      <c r="BW5" s="6">
        <f>'Consolidated Q. Register - 01 '!BW8</f>
        <v>0</v>
      </c>
      <c r="BX5" s="6">
        <f>'Consolidated Q. Register - 01 '!BX8</f>
        <v>0</v>
      </c>
      <c r="BY5" s="6" t="str">
        <f>'Consolidated Q. Register - 01 '!BY8</f>
        <v>NA</v>
      </c>
      <c r="BZ5" s="6">
        <f>'Consolidated Q. Register - 01 '!BZ8</f>
        <v>0</v>
      </c>
      <c r="CA5" s="6">
        <f>'Consolidated Q. Register - 01 '!CA8</f>
        <v>0</v>
      </c>
      <c r="CB5" s="6">
        <f>'Consolidated Q. Register - 01 '!CB8</f>
        <v>0</v>
      </c>
      <c r="CC5" s="6">
        <f>'Consolidated Q. Register - 01 '!CC8</f>
        <v>0</v>
      </c>
      <c r="CD5" s="6">
        <f>'Consolidated Q. Register - 01 '!CD8</f>
        <v>0</v>
      </c>
      <c r="CE5" s="6">
        <f>'Consolidated Q. Register - 01 '!CE8</f>
        <v>0</v>
      </c>
      <c r="CF5" s="6">
        <f>'Consolidated Q. Register - 01 '!CF8</f>
        <v>0</v>
      </c>
      <c r="CG5" s="6">
        <f>'Consolidated Q. Register - 01 '!CG8</f>
        <v>0</v>
      </c>
      <c r="CH5" s="6">
        <f>'Consolidated Q. Register - 01 '!CH8</f>
        <v>0</v>
      </c>
      <c r="CI5" s="6">
        <f>'Consolidated Q. Register - 01 '!CI8</f>
        <v>0</v>
      </c>
      <c r="CJ5" s="6" t="str">
        <f>'Consolidated Q. Register - 01 '!CJ8</f>
        <v>NA</v>
      </c>
      <c r="CK5" s="6">
        <f>'Consolidated Q. Register - 01 '!CK8</f>
        <v>0</v>
      </c>
      <c r="CL5" s="6">
        <f>'Consolidated Q. Register - 01 '!CL8</f>
        <v>0</v>
      </c>
      <c r="CM5" s="6">
        <f>'Consolidated Q. Register - 01 '!CM8</f>
        <v>0</v>
      </c>
      <c r="CN5" s="6">
        <f>'Consolidated Q. Register - 01 '!CN8</f>
        <v>0</v>
      </c>
      <c r="CO5" s="6" t="str">
        <f>'Consolidated Q. Register - 01 '!CO8</f>
        <v>NA</v>
      </c>
      <c r="CP5" s="6">
        <f>'Consolidated Q. Register - 01 '!CP8</f>
        <v>0</v>
      </c>
      <c r="CQ5" s="6">
        <f>'Consolidated Q. Register - 01 '!CQ8</f>
        <v>0</v>
      </c>
      <c r="CR5" s="6">
        <f>'Consolidated Q. Register - 01 '!CR8</f>
        <v>0</v>
      </c>
      <c r="CS5" s="6">
        <f>'Consolidated Q. Register - 01 '!CS8</f>
        <v>0</v>
      </c>
      <c r="CT5" s="6">
        <f>'Consolidated Q. Register - 01 '!CT8</f>
        <v>0</v>
      </c>
      <c r="CU5" s="6">
        <f>'Consolidated Q. Register - 01 '!CU8</f>
        <v>0</v>
      </c>
      <c r="CV5" s="6">
        <f>'Consolidated Q. Register - 01 '!CV8</f>
        <v>0</v>
      </c>
      <c r="CW5" s="6">
        <f>'Consolidated Q. Register - 01 '!CW8</f>
        <v>0</v>
      </c>
      <c r="CX5" s="6">
        <f>'Consolidated Q. Register - 01 '!CX8</f>
        <v>0</v>
      </c>
      <c r="CY5" s="6">
        <f>'Consolidated Q. Register - 01 '!CY8</f>
        <v>0</v>
      </c>
      <c r="CZ5" s="6">
        <f>'Consolidated Q. Register - 01 '!CZ8</f>
        <v>0</v>
      </c>
      <c r="DA5" s="6">
        <f>'Consolidated Q. Register - 01 '!DA8</f>
        <v>0</v>
      </c>
      <c r="DB5" s="6">
        <f>'Consolidated Q. Register - 01 '!DB8</f>
        <v>0</v>
      </c>
      <c r="DC5" s="6">
        <f>'Consolidated Q. Register - 01 '!DC8</f>
        <v>0</v>
      </c>
      <c r="DD5" s="6">
        <f>'Consolidated Q. Register - 01 '!DD8</f>
        <v>0</v>
      </c>
      <c r="DE5" s="6">
        <f>'Consolidated Q. Register - 01 '!DE8</f>
        <v>0</v>
      </c>
      <c r="DF5" s="6">
        <f>'Consolidated Q. Register - 01 '!DF8</f>
        <v>0</v>
      </c>
      <c r="DG5" s="6">
        <f>'Consolidated Q. Register - 01 '!DG8</f>
        <v>0</v>
      </c>
      <c r="DH5" s="6">
        <f>'Consolidated Q. Register - 01 '!DH8</f>
        <v>0</v>
      </c>
      <c r="DI5" s="6">
        <f>'Consolidated Q. Register - 01 '!DI8</f>
        <v>0</v>
      </c>
    </row>
    <row r="6" spans="1:587">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row>
    <row r="7" spans="1:587">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row>
    <row r="8" spans="1:587">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row>
    <row r="9" spans="1:587">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row>
    <row r="10" spans="1:587">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row>
    <row r="11" spans="1:587">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row>
    <row r="12" spans="1:587">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row>
    <row r="13" spans="1:587">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row>
    <row r="14" spans="1:587">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row>
    <row r="15" spans="1:587">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row>
    <row r="16" spans="1:587">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row>
    <row r="17" spans="1:9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row>
    <row r="18" spans="1:9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row>
    <row r="19" spans="1:9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row>
    <row r="20" spans="1:9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row>
    <row r="21" spans="1:9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row>
    <row r="22" spans="1:9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row>
    <row r="23" spans="1:9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row>
    <row r="24" spans="1:9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row>
    <row r="25" spans="1:9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row>
    <row r="26" spans="1:9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row>
    <row r="27" spans="1:9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row>
    <row r="28" spans="1:9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row>
    <row r="29" spans="1:9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row>
    <row r="30" spans="1:9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row>
    <row r="31" spans="1:9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row>
    <row r="32" spans="1:9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row>
    <row r="33" spans="1:9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row>
    <row r="34" spans="1:9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row>
    <row r="35" spans="1:9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row>
    <row r="36" spans="1:9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row>
    <row r="37" spans="1:9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row>
    <row r="38" spans="1:9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row>
    <row r="39" spans="1:9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row>
    <row r="40" spans="1:9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row>
    <row r="41" spans="1:9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row>
    <row r="42" spans="1:9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row>
    <row r="43" spans="1:9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row>
    <row r="44" spans="1:9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row>
    <row r="45" spans="1:9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row>
    <row r="46" spans="1:9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row>
    <row r="47" spans="1:9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row>
    <row r="48" spans="1:9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row>
    <row r="49" spans="1:9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row>
    <row r="50" spans="1:9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row>
    <row r="51" spans="1:9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row>
    <row r="52" spans="1:9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row>
    <row r="53" spans="1:9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row>
    <row r="54" spans="1:9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row>
    <row r="55" spans="1:9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row>
    <row r="56" spans="1:9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row>
    <row r="57" spans="1:9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row>
    <row r="58" spans="1:9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row>
    <row r="59" spans="1:9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row>
    <row r="60" spans="1:9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row>
    <row r="61" spans="1:9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row>
    <row r="62" spans="1:9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row>
    <row r="63" spans="1:9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row>
    <row r="64" spans="1:9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row>
    <row r="65" spans="1:9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row>
    <row r="66" spans="1:9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row>
    <row r="67" spans="1:9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row>
    <row r="68" spans="1:9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row>
    <row r="69" spans="1:9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row>
    <row r="70" spans="1:9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row>
    <row r="71" spans="1:9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row>
    <row r="72" spans="1:9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row>
    <row r="73" spans="1:9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row>
    <row r="74" spans="1:9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row>
    <row r="75" spans="1:9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row>
    <row r="76" spans="1:9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row>
    <row r="77" spans="1:9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row>
    <row r="78" spans="1:9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row>
    <row r="79" spans="1:9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row>
    <row r="80" spans="1:9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row>
    <row r="81" spans="1:9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row>
    <row r="82" spans="1:9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row>
    <row r="83" spans="1:9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row>
    <row r="84" spans="1:9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row>
    <row r="85" spans="1:9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row>
    <row r="86" spans="1:9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row>
    <row r="87" spans="1:9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row>
    <row r="88" spans="1:9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row>
    <row r="89" spans="1:9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row>
    <row r="90" spans="1:9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row>
    <row r="91" spans="1:9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row>
    <row r="92" spans="1:9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row>
    <row r="93" spans="1: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row>
    <row r="94" spans="1:9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row>
    <row r="95" spans="1:9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row>
    <row r="96" spans="1:9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row>
    <row r="97" spans="1:9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row>
    <row r="98" spans="1:9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row>
    <row r="99" spans="1:9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row>
    <row r="100" spans="1:9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row>
    <row r="101" spans="1:9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row>
    <row r="102" spans="1:9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row>
    <row r="103" spans="1:9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row>
    <row r="104" spans="1:9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row>
    <row r="105" spans="1:9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row>
    <row r="106" spans="1:9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row>
    <row r="107" spans="1:9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row>
    <row r="108" spans="1:9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row>
    <row r="109" spans="1:9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row>
    <row r="110" spans="1:9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row>
    <row r="111" spans="1:9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row>
    <row r="112" spans="1:9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row>
    <row r="113" spans="1:9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row>
    <row r="114" spans="1:9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row>
    <row r="115" spans="1:9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row>
    <row r="116" spans="1:9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row>
    <row r="117" spans="1:9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row>
    <row r="118" spans="1:9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row>
    <row r="119" spans="1:9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row>
    <row r="120" spans="1:9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row>
    <row r="121" spans="1:9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row>
    <row r="122" spans="1:9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row>
    <row r="123" spans="1:9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row>
    <row r="124" spans="1:9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row>
    <row r="125" spans="1:9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row>
    <row r="126" spans="1:9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row>
    <row r="127" spans="1:9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row>
    <row r="128" spans="1:9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row>
    <row r="129" spans="1:9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row>
    <row r="130" spans="1:9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row>
    <row r="131" spans="1:9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row>
    <row r="132" spans="1:9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row>
    <row r="133" spans="1:9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row>
    <row r="134" spans="1:9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row>
    <row r="135" spans="1:9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row>
    <row r="136" spans="1:9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row>
    <row r="137" spans="1:9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row>
    <row r="138" spans="1:9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row>
    <row r="139" spans="1:9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row>
    <row r="140" spans="1:9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row>
    <row r="141" spans="1:9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row>
    <row r="142" spans="1:9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row>
    <row r="143" spans="1:9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row>
    <row r="144" spans="1:9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row>
  </sheetData>
  <sheetProtection sheet="1" selectLockedCells="1"/>
  <conditionalFormatting sqref="D1">
    <cfRule type="cellIs" dxfId="2" priority="1" stopIfTrue="1" operator="equal">
      <formula>"P"</formula>
    </cfRule>
    <cfRule type="cellIs" dxfId="1" priority="2" stopIfTrue="1" operator="equal">
      <formula>"C"</formula>
    </cfRule>
    <cfRule type="cellIs" dxfId="0" priority="3" stopIfTrue="1" operator="equal">
      <formula>"X"</formula>
    </cfRule>
  </conditionalFormatting>
  <pageMargins left="0.70866141732283505" right="0.70866141732283505" top="0.74803149606299202" bottom="0.74803149606299202" header="0.31496062992126" footer="0.31496062992126"/>
  <pageSetup paperSize="8" scale="21" fitToHeight="0" orientation="landscape" r:id="rId1"/>
  <headerFooter>
    <oddFooter>&amp;LDC-DEV-QM-xxx-xxx  Rev 1.0
#&amp;"Calibri,Regular"&amp;K000000 Information Classification: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6A25-2552-4A3C-AD0E-B03FC1C31C76}">
  <dimension ref="A1:J73"/>
  <sheetViews>
    <sheetView showGridLines="0" zoomScale="80" zoomScaleNormal="80" zoomScaleSheetLayoutView="50" workbookViewId="0">
      <selection activeCell="I25" sqref="I25"/>
    </sheetView>
  </sheetViews>
  <sheetFormatPr baseColWidth="10" defaultColWidth="9.1640625" defaultRowHeight="13"/>
  <cols>
    <col min="1" max="1" width="7.1640625" style="9" bestFit="1" customWidth="1"/>
    <col min="2" max="2" width="28.1640625" style="11" bestFit="1" customWidth="1"/>
    <col min="3" max="3" width="21.83203125" style="11" bestFit="1" customWidth="1"/>
    <col min="4" max="4" width="11.1640625" style="11" bestFit="1" customWidth="1"/>
    <col min="5" max="5" width="18" style="9" bestFit="1" customWidth="1"/>
    <col min="6" max="6" width="17.1640625" style="9" bestFit="1" customWidth="1"/>
    <col min="7" max="7" width="12.83203125" style="9" customWidth="1"/>
    <col min="8" max="9" width="41.1640625" style="9" customWidth="1"/>
    <col min="10" max="10" width="20.83203125" style="9" customWidth="1"/>
    <col min="11" max="16384" width="9.1640625" style="9"/>
  </cols>
  <sheetData>
    <row r="1" spans="1:10" s="1" customFormat="1" ht="76.5" customHeight="1">
      <c r="A1" s="227" t="s">
        <v>146</v>
      </c>
      <c r="B1" s="227"/>
      <c r="C1" s="227"/>
      <c r="D1" s="227"/>
      <c r="E1" s="227"/>
      <c r="F1" s="227"/>
      <c r="G1" s="227"/>
      <c r="H1" s="227"/>
      <c r="I1" s="227"/>
      <c r="J1" s="227"/>
    </row>
    <row r="2" spans="1:10" ht="29.25" customHeight="1">
      <c r="A2" s="228"/>
      <c r="B2" s="229"/>
      <c r="C2" s="229"/>
      <c r="D2" s="229"/>
      <c r="E2" s="229"/>
      <c r="F2" s="229"/>
      <c r="G2" s="230"/>
      <c r="H2" s="228" t="s">
        <v>163</v>
      </c>
      <c r="I2" s="229"/>
      <c r="J2" s="229"/>
    </row>
    <row r="3" spans="1:10" s="58" customFormat="1" ht="42.75" customHeight="1">
      <c r="A3" s="231" t="s">
        <v>97</v>
      </c>
      <c r="B3" s="231" t="s">
        <v>98</v>
      </c>
      <c r="C3" s="231" t="s">
        <v>99</v>
      </c>
      <c r="D3" s="231" t="s">
        <v>100</v>
      </c>
      <c r="E3" s="231" t="s">
        <v>101</v>
      </c>
      <c r="F3" s="231" t="s">
        <v>102</v>
      </c>
      <c r="G3" s="231" t="s">
        <v>103</v>
      </c>
      <c r="H3" s="224" t="s">
        <v>54</v>
      </c>
      <c r="I3" s="225"/>
      <c r="J3" s="226"/>
    </row>
    <row r="4" spans="1:10" s="58" customFormat="1" ht="30">
      <c r="A4" s="232"/>
      <c r="B4" s="232"/>
      <c r="C4" s="232"/>
      <c r="D4" s="232"/>
      <c r="E4" s="232"/>
      <c r="F4" s="232"/>
      <c r="G4" s="232"/>
      <c r="H4" s="12" t="s">
        <v>56</v>
      </c>
      <c r="I4" s="12" t="s">
        <v>57</v>
      </c>
      <c r="J4" s="12" t="s">
        <v>147</v>
      </c>
    </row>
    <row r="5" spans="1:10" ht="12" customHeight="1">
      <c r="A5" s="6"/>
      <c r="B5" s="59"/>
      <c r="C5" s="59"/>
      <c r="D5" s="59"/>
      <c r="E5" s="59"/>
      <c r="F5" s="59"/>
      <c r="G5" s="59"/>
      <c r="H5" s="59"/>
      <c r="I5" s="59"/>
      <c r="J5" s="59"/>
    </row>
    <row r="6" spans="1:10" ht="14">
      <c r="A6" s="6"/>
      <c r="B6" s="59"/>
      <c r="C6" s="59"/>
      <c r="D6" s="59"/>
      <c r="E6" s="59"/>
      <c r="F6" s="59"/>
      <c r="G6" s="59"/>
      <c r="H6" s="59"/>
      <c r="I6" s="59"/>
      <c r="J6" s="59"/>
    </row>
    <row r="7" spans="1:10" ht="14">
      <c r="A7" s="6"/>
      <c r="B7" s="59"/>
      <c r="C7" s="59"/>
      <c r="D7" s="59"/>
      <c r="E7" s="59"/>
      <c r="F7" s="59"/>
      <c r="G7" s="59"/>
      <c r="H7" s="59"/>
      <c r="I7" s="59"/>
      <c r="J7" s="59"/>
    </row>
    <row r="8" spans="1:10" ht="14">
      <c r="A8" s="6"/>
      <c r="B8" s="59"/>
      <c r="C8" s="59"/>
      <c r="D8" s="59"/>
      <c r="E8" s="59"/>
      <c r="F8" s="59"/>
      <c r="G8" s="59"/>
      <c r="H8" s="59"/>
      <c r="I8" s="59"/>
      <c r="J8" s="59"/>
    </row>
    <row r="9" spans="1:10" ht="14">
      <c r="A9" s="6"/>
      <c r="B9" s="59"/>
      <c r="C9" s="59"/>
      <c r="D9" s="59"/>
      <c r="E9" s="59"/>
      <c r="F9" s="59"/>
      <c r="G9" s="59"/>
      <c r="H9" s="59"/>
      <c r="I9" s="59"/>
      <c r="J9" s="59"/>
    </row>
    <row r="10" spans="1:10" ht="14">
      <c r="A10" s="60"/>
      <c r="B10" s="60"/>
      <c r="C10" s="60"/>
      <c r="D10" s="60"/>
      <c r="E10" s="60"/>
      <c r="F10" s="60"/>
      <c r="G10" s="60"/>
      <c r="H10" s="60"/>
      <c r="I10" s="60"/>
      <c r="J10" s="60"/>
    </row>
    <row r="11" spans="1:10">
      <c r="B11" s="9"/>
      <c r="C11" s="9"/>
      <c r="D11" s="9"/>
    </row>
    <row r="12" spans="1:10">
      <c r="B12" s="9"/>
      <c r="C12" s="9"/>
      <c r="D12" s="9"/>
    </row>
    <row r="13" spans="1:10">
      <c r="B13" s="9"/>
      <c r="C13" s="9"/>
      <c r="D13" s="9"/>
    </row>
    <row r="14" spans="1:10">
      <c r="B14" s="9"/>
      <c r="C14" s="9"/>
      <c r="D14" s="9"/>
    </row>
    <row r="15" spans="1:10">
      <c r="B15" s="9"/>
      <c r="C15" s="9"/>
      <c r="D15" s="9"/>
    </row>
    <row r="16" spans="1:10">
      <c r="B16" s="9"/>
      <c r="C16" s="9"/>
      <c r="D16" s="9"/>
    </row>
    <row r="17" s="9" customFormat="1"/>
    <row r="18" s="9" customFormat="1"/>
    <row r="19" s="9" customFormat="1"/>
    <row r="20" s="9" customFormat="1"/>
    <row r="21" s="9" customFormat="1"/>
    <row r="22" s="9" customFormat="1"/>
    <row r="23" s="9" customFormat="1"/>
    <row r="24" s="9" customFormat="1"/>
    <row r="25" s="9" customFormat="1"/>
    <row r="26" s="9" customFormat="1"/>
    <row r="27" s="9" customFormat="1"/>
    <row r="28" s="9" customFormat="1"/>
    <row r="29" s="9" customFormat="1"/>
    <row r="30" s="9" customFormat="1"/>
    <row r="31" s="9" customFormat="1"/>
    <row r="32" s="9" customFormat="1"/>
    <row r="33" s="9" customFormat="1"/>
    <row r="34" s="9" customFormat="1"/>
    <row r="35" s="9" customFormat="1"/>
    <row r="36" s="9" customFormat="1"/>
    <row r="37" s="9" customFormat="1"/>
    <row r="38" s="9" customFormat="1"/>
    <row r="39" s="9" customFormat="1"/>
    <row r="40" s="9" customFormat="1"/>
    <row r="41" s="9" customFormat="1"/>
    <row r="42" s="9" customFormat="1"/>
    <row r="43" s="9" customFormat="1"/>
    <row r="44" s="9" customFormat="1"/>
    <row r="45" s="9" customFormat="1"/>
    <row r="46" s="9" customFormat="1"/>
    <row r="47" s="9" customFormat="1"/>
    <row r="48" s="9" customFormat="1"/>
    <row r="49" s="9" customFormat="1"/>
    <row r="50" s="9" customFormat="1"/>
    <row r="51" s="9" customFormat="1"/>
    <row r="52" s="9" customFormat="1"/>
    <row r="53" s="9" customFormat="1"/>
    <row r="54" s="9" customFormat="1"/>
    <row r="55" s="9" customFormat="1"/>
    <row r="56" s="9" customFormat="1"/>
    <row r="57" s="9" customFormat="1"/>
    <row r="58" s="9" customFormat="1"/>
    <row r="59" s="9" customFormat="1"/>
    <row r="60" s="9" customFormat="1"/>
    <row r="61" s="9" customFormat="1"/>
    <row r="62" s="9" customFormat="1"/>
    <row r="63" s="9" customFormat="1"/>
    <row r="64" s="9" customFormat="1"/>
    <row r="65" spans="1:7">
      <c r="B65" s="9"/>
      <c r="C65" s="9"/>
      <c r="D65" s="9"/>
    </row>
    <row r="66" spans="1:7">
      <c r="B66" s="9"/>
      <c r="C66" s="9"/>
      <c r="D66" s="9"/>
    </row>
    <row r="67" spans="1:7">
      <c r="B67" s="9"/>
      <c r="C67" s="9"/>
      <c r="D67" s="9"/>
    </row>
    <row r="68" spans="1:7">
      <c r="B68" s="9"/>
      <c r="C68" s="9"/>
      <c r="D68" s="9"/>
    </row>
    <row r="69" spans="1:7">
      <c r="B69" s="9"/>
      <c r="C69" s="9"/>
      <c r="D69" s="9"/>
    </row>
    <row r="70" spans="1:7">
      <c r="A70" s="10"/>
      <c r="B70" s="10"/>
      <c r="C70" s="10"/>
      <c r="D70" s="10"/>
      <c r="E70" s="10"/>
      <c r="F70" s="10"/>
      <c r="G70" s="10"/>
    </row>
    <row r="71" spans="1:7">
      <c r="A71" s="10"/>
      <c r="B71" s="10"/>
      <c r="C71" s="10"/>
      <c r="D71" s="10"/>
      <c r="E71" s="10"/>
      <c r="F71" s="10"/>
      <c r="G71" s="10"/>
    </row>
    <row r="72" spans="1:7">
      <c r="A72" s="10"/>
      <c r="B72" s="10"/>
      <c r="C72" s="10"/>
      <c r="D72" s="10"/>
      <c r="E72" s="10"/>
      <c r="F72" s="10"/>
      <c r="G72" s="10"/>
    </row>
    <row r="73" spans="1:7">
      <c r="A73" s="10"/>
      <c r="B73" s="10"/>
      <c r="C73" s="10"/>
      <c r="D73" s="10"/>
      <c r="E73" s="10"/>
      <c r="F73" s="10"/>
      <c r="G73" s="10"/>
    </row>
  </sheetData>
  <mergeCells count="11">
    <mergeCell ref="H3:J3"/>
    <mergeCell ref="A1:J1"/>
    <mergeCell ref="A2:G2"/>
    <mergeCell ref="H2:J2"/>
    <mergeCell ref="A3:A4"/>
    <mergeCell ref="B3:B4"/>
    <mergeCell ref="C3:C4"/>
    <mergeCell ref="D3:D4"/>
    <mergeCell ref="E3:E4"/>
    <mergeCell ref="F3:F4"/>
    <mergeCell ref="G3:G4"/>
  </mergeCells>
  <pageMargins left="0.7" right="0.7" top="0.75" bottom="0.75" header="0.3" footer="0.3"/>
  <pageSetup scale="2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E0F8-6ED8-4AB4-BC4A-D0B57928DE2E}">
  <dimension ref="A1:J73"/>
  <sheetViews>
    <sheetView showGridLines="0" zoomScale="85" zoomScaleNormal="85" zoomScaleSheetLayoutView="50" workbookViewId="0">
      <selection activeCell="I18" sqref="I18"/>
    </sheetView>
  </sheetViews>
  <sheetFormatPr baseColWidth="10" defaultColWidth="9.1640625" defaultRowHeight="13"/>
  <cols>
    <col min="1" max="1" width="7.1640625" style="9" bestFit="1" customWidth="1"/>
    <col min="2" max="2" width="28.1640625" style="11" bestFit="1" customWidth="1"/>
    <col min="3" max="3" width="21.83203125" style="11" bestFit="1" customWidth="1"/>
    <col min="4" max="4" width="11.1640625" style="11" bestFit="1" customWidth="1"/>
    <col min="5" max="5" width="18" style="9" bestFit="1" customWidth="1"/>
    <col min="6" max="6" width="17.1640625" style="9" bestFit="1" customWidth="1"/>
    <col min="7" max="7" width="12.83203125" style="9" customWidth="1"/>
    <col min="8" max="9" width="41.1640625" style="9" customWidth="1"/>
    <col min="10" max="10" width="20.83203125" style="9" customWidth="1"/>
    <col min="11" max="16384" width="9.1640625" style="9"/>
  </cols>
  <sheetData>
    <row r="1" spans="1:10" s="1" customFormat="1" ht="76.5" customHeight="1">
      <c r="A1" s="227" t="s">
        <v>164</v>
      </c>
      <c r="B1" s="227"/>
      <c r="C1" s="227"/>
      <c r="D1" s="227"/>
      <c r="E1" s="227"/>
      <c r="F1" s="227"/>
      <c r="G1" s="227"/>
      <c r="H1" s="227"/>
      <c r="I1" s="227"/>
      <c r="J1" s="227"/>
    </row>
    <row r="2" spans="1:10" ht="29.25" customHeight="1">
      <c r="A2" s="228"/>
      <c r="B2" s="229"/>
      <c r="C2" s="229"/>
      <c r="D2" s="229"/>
      <c r="E2" s="229"/>
      <c r="F2" s="229"/>
      <c r="G2" s="230"/>
      <c r="H2" s="228" t="s">
        <v>165</v>
      </c>
      <c r="I2" s="229"/>
      <c r="J2" s="229"/>
    </row>
    <row r="3" spans="1:10" s="58" customFormat="1" ht="42.75" customHeight="1">
      <c r="A3" s="231" t="s">
        <v>97</v>
      </c>
      <c r="B3" s="231" t="s">
        <v>98</v>
      </c>
      <c r="C3" s="231" t="s">
        <v>99</v>
      </c>
      <c r="D3" s="231" t="s">
        <v>100</v>
      </c>
      <c r="E3" s="231" t="s">
        <v>101</v>
      </c>
      <c r="F3" s="231" t="s">
        <v>102</v>
      </c>
      <c r="G3" s="231" t="s">
        <v>103</v>
      </c>
      <c r="H3" s="224" t="s">
        <v>69</v>
      </c>
      <c r="I3" s="225"/>
      <c r="J3" s="226"/>
    </row>
    <row r="4" spans="1:10" s="58" customFormat="1" ht="15">
      <c r="A4" s="232"/>
      <c r="B4" s="232"/>
      <c r="C4" s="232"/>
      <c r="D4" s="232"/>
      <c r="E4" s="232"/>
      <c r="F4" s="232"/>
      <c r="G4" s="232"/>
      <c r="H4" s="12" t="s">
        <v>70</v>
      </c>
      <c r="I4" s="12" t="s">
        <v>71</v>
      </c>
      <c r="J4" s="12" t="s">
        <v>72</v>
      </c>
    </row>
    <row r="5" spans="1:10" ht="14">
      <c r="A5" s="6"/>
      <c r="B5" s="59"/>
      <c r="C5" s="59"/>
      <c r="D5" s="59"/>
      <c r="E5" s="59"/>
      <c r="F5" s="59"/>
      <c r="G5" s="59"/>
      <c r="H5" s="59"/>
      <c r="I5" s="59"/>
      <c r="J5" s="59"/>
    </row>
    <row r="6" spans="1:10" ht="14">
      <c r="A6" s="6"/>
      <c r="B6" s="59"/>
      <c r="C6" s="59"/>
      <c r="D6" s="59"/>
      <c r="E6" s="59"/>
      <c r="F6" s="59"/>
      <c r="G6" s="59"/>
      <c r="H6" s="59"/>
      <c r="I6" s="59"/>
      <c r="J6" s="59"/>
    </row>
    <row r="7" spans="1:10" ht="14">
      <c r="A7" s="6"/>
      <c r="B7" s="59"/>
      <c r="C7" s="59"/>
      <c r="D7" s="59"/>
      <c r="E7" s="59"/>
      <c r="F7" s="59"/>
      <c r="G7" s="59"/>
      <c r="H7" s="59"/>
      <c r="I7" s="59"/>
      <c r="J7" s="59"/>
    </row>
    <row r="8" spans="1:10" ht="14">
      <c r="A8" s="6"/>
      <c r="B8" s="59"/>
      <c r="C8" s="59"/>
      <c r="D8" s="59"/>
      <c r="E8" s="59"/>
      <c r="F8" s="59"/>
      <c r="G8" s="59"/>
      <c r="H8" s="59"/>
      <c r="I8" s="59"/>
      <c r="J8" s="59"/>
    </row>
    <row r="9" spans="1:10" ht="14">
      <c r="A9" s="6"/>
      <c r="B9" s="59"/>
      <c r="C9" s="59"/>
      <c r="D9" s="59"/>
      <c r="E9" s="59"/>
      <c r="F9" s="59"/>
      <c r="G9" s="59"/>
      <c r="H9" s="59"/>
      <c r="I9" s="59"/>
      <c r="J9" s="59"/>
    </row>
    <row r="10" spans="1:10" ht="14">
      <c r="A10" s="60"/>
      <c r="B10" s="60"/>
      <c r="C10" s="60"/>
      <c r="D10" s="60"/>
      <c r="E10" s="60"/>
      <c r="F10" s="60"/>
      <c r="G10" s="60"/>
      <c r="H10" s="60"/>
      <c r="I10" s="60"/>
      <c r="J10" s="60"/>
    </row>
    <row r="11" spans="1:10">
      <c r="B11" s="9"/>
      <c r="C11" s="9"/>
      <c r="D11" s="9"/>
    </row>
    <row r="12" spans="1:10">
      <c r="B12" s="9"/>
      <c r="C12" s="9"/>
      <c r="D12" s="9"/>
    </row>
    <row r="13" spans="1:10">
      <c r="B13" s="9"/>
      <c r="C13" s="9"/>
      <c r="D13" s="9"/>
    </row>
    <row r="14" spans="1:10">
      <c r="B14" s="9"/>
      <c r="C14" s="9"/>
      <c r="D14" s="9"/>
    </row>
    <row r="15" spans="1:10">
      <c r="B15" s="9"/>
      <c r="C15" s="9"/>
      <c r="D15" s="9"/>
    </row>
    <row r="16" spans="1:10">
      <c r="B16" s="9"/>
      <c r="C16" s="9"/>
      <c r="D16" s="9"/>
    </row>
    <row r="17" s="9" customFormat="1"/>
    <row r="18" s="9" customFormat="1"/>
    <row r="19" s="9" customFormat="1"/>
    <row r="20" s="9" customFormat="1"/>
    <row r="21" s="9" customFormat="1"/>
    <row r="22" s="9" customFormat="1"/>
    <row r="23" s="9" customFormat="1"/>
    <row r="24" s="9" customFormat="1"/>
    <row r="25" s="9" customFormat="1"/>
    <row r="26" s="9" customFormat="1"/>
    <row r="27" s="9" customFormat="1"/>
    <row r="28" s="9" customFormat="1"/>
    <row r="29" s="9" customFormat="1"/>
    <row r="30" s="9" customFormat="1"/>
    <row r="31" s="9" customFormat="1"/>
    <row r="32" s="9" customFormat="1"/>
    <row r="33" s="9" customFormat="1"/>
    <row r="34" s="9" customFormat="1"/>
    <row r="35" s="9" customFormat="1"/>
    <row r="36" s="9" customFormat="1"/>
    <row r="37" s="9" customFormat="1"/>
    <row r="38" s="9" customFormat="1"/>
    <row r="39" s="9" customFormat="1"/>
    <row r="40" s="9" customFormat="1"/>
    <row r="41" s="9" customFormat="1"/>
    <row r="42" s="9" customFormat="1"/>
    <row r="43" s="9" customFormat="1"/>
    <row r="44" s="9" customFormat="1"/>
    <row r="45" s="9" customFormat="1"/>
    <row r="46" s="9" customFormat="1"/>
    <row r="47" s="9" customFormat="1"/>
    <row r="48" s="9" customFormat="1"/>
    <row r="49" s="9" customFormat="1"/>
    <row r="50" s="9" customFormat="1"/>
    <row r="51" s="9" customFormat="1"/>
    <row r="52" s="9" customFormat="1"/>
    <row r="53" s="9" customFormat="1"/>
    <row r="54" s="9" customFormat="1"/>
    <row r="55" s="9" customFormat="1"/>
    <row r="56" s="9" customFormat="1"/>
    <row r="57" s="9" customFormat="1"/>
    <row r="58" s="9" customFormat="1"/>
    <row r="59" s="9" customFormat="1"/>
    <row r="60" s="9" customFormat="1"/>
    <row r="61" s="9" customFormat="1"/>
    <row r="62" s="9" customFormat="1"/>
    <row r="63" s="9" customFormat="1"/>
    <row r="64" s="9" customFormat="1"/>
    <row r="65" spans="1:7">
      <c r="B65" s="9"/>
      <c r="C65" s="9"/>
      <c r="D65" s="9"/>
    </row>
    <row r="66" spans="1:7">
      <c r="B66" s="9"/>
      <c r="C66" s="9"/>
      <c r="D66" s="9"/>
    </row>
    <row r="67" spans="1:7">
      <c r="B67" s="9"/>
      <c r="C67" s="9"/>
      <c r="D67" s="9"/>
    </row>
    <row r="68" spans="1:7">
      <c r="B68" s="9"/>
      <c r="C68" s="9"/>
      <c r="D68" s="9"/>
    </row>
    <row r="69" spans="1:7">
      <c r="B69" s="9"/>
      <c r="C69" s="9"/>
      <c r="D69" s="9"/>
    </row>
    <row r="70" spans="1:7">
      <c r="A70" s="10"/>
      <c r="B70" s="10"/>
      <c r="C70" s="10"/>
      <c r="D70" s="10"/>
      <c r="E70" s="10"/>
      <c r="F70" s="10"/>
      <c r="G70" s="10"/>
    </row>
    <row r="71" spans="1:7">
      <c r="A71" s="10"/>
      <c r="B71" s="10"/>
      <c r="C71" s="10"/>
      <c r="D71" s="10"/>
      <c r="E71" s="10"/>
      <c r="F71" s="10"/>
      <c r="G71" s="10"/>
    </row>
    <row r="72" spans="1:7">
      <c r="A72" s="10"/>
      <c r="B72" s="10"/>
      <c r="C72" s="10"/>
      <c r="D72" s="10"/>
      <c r="E72" s="10"/>
      <c r="F72" s="10"/>
      <c r="G72" s="10"/>
    </row>
    <row r="73" spans="1:7">
      <c r="A73" s="10"/>
      <c r="B73" s="10"/>
      <c r="C73" s="10"/>
      <c r="D73" s="10"/>
      <c r="E73" s="10"/>
      <c r="F73" s="10"/>
      <c r="G73" s="10"/>
    </row>
  </sheetData>
  <mergeCells count="11">
    <mergeCell ref="H3:J3"/>
    <mergeCell ref="A1:J1"/>
    <mergeCell ref="A2:G2"/>
    <mergeCell ref="H2:J2"/>
    <mergeCell ref="A3:A4"/>
    <mergeCell ref="B3:B4"/>
    <mergeCell ref="C3:C4"/>
    <mergeCell ref="D3:D4"/>
    <mergeCell ref="E3:E4"/>
    <mergeCell ref="F3:F4"/>
    <mergeCell ref="G3:G4"/>
  </mergeCells>
  <pageMargins left="0.7" right="0.7" top="0.75" bottom="0.75" header="0.3" footer="0.3"/>
  <pageSetup scale="2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d8415e-937d-47cd-b1f5-0f7ed792843d" xsi:nil="true"/>
    <lcf76f155ced4ddcb4097134ff3c332f xmlns="474d8f20-76ee-4f4f-b9b3-dcf303b46246">
      <Terms xmlns="http://schemas.microsoft.com/office/infopath/2007/PartnerControls"/>
    </lcf76f155ced4ddcb4097134ff3c332f>
    <No xmlns="474d8f20-76ee-4f4f-b9b3-dcf303b4624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50FDD775E28F44B811E62441A8BB80" ma:contentTypeVersion="14" ma:contentTypeDescription="Create a new document." ma:contentTypeScope="" ma:versionID="21512d6955602d488fd8e6cf3bce272d">
  <xsd:schema xmlns:xsd="http://www.w3.org/2001/XMLSchema" xmlns:xs="http://www.w3.org/2001/XMLSchema" xmlns:p="http://schemas.microsoft.com/office/2006/metadata/properties" xmlns:ns2="474d8f20-76ee-4f4f-b9b3-dcf303b46246" xmlns:ns3="dbd8415e-937d-47cd-b1f5-0f7ed792843d" targetNamespace="http://schemas.microsoft.com/office/2006/metadata/properties" ma:root="true" ma:fieldsID="fd86ff5f179b548b4a7245f8a2a7f902" ns2:_="" ns3:_="">
    <xsd:import namespace="474d8f20-76ee-4f4f-b9b3-dcf303b46246"/>
    <xsd:import namespace="dbd8415e-937d-47cd-b1f5-0f7ed79284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d8f20-76ee-4f4f-b9b3-dcf303b462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No" ma:index="21" nillable="true" ma:displayName="No" ma:decimals="0" ma:format="Dropdown" ma:internalName="N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dbd8415e-937d-47cd-b1f5-0f7ed792843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9b6533-09bf-4f5f-9972-5d09ed9d7f6c}" ma:internalName="TaxCatchAll" ma:showField="CatchAllData" ma:web="dbd8415e-937d-47cd-b1f5-0f7ed79284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62C8B1-0D47-4BCF-BCF4-6F79740D512E}">
  <ds:schemaRefs>
    <ds:schemaRef ds:uri="http://schemas.microsoft.com/sharepoint/v3/contenttype/forms"/>
  </ds:schemaRefs>
</ds:datastoreItem>
</file>

<file path=customXml/itemProps2.xml><?xml version="1.0" encoding="utf-8"?>
<ds:datastoreItem xmlns:ds="http://schemas.openxmlformats.org/officeDocument/2006/customXml" ds:itemID="{53BCA794-BBB6-4DDB-A8FF-4A6D45852353}">
  <ds:schemaRefs>
    <ds:schemaRef ds:uri="http://purl.org/dc/dcmitype/"/>
    <ds:schemaRef ds:uri="http://schemas.microsoft.com/office/2006/documentManagement/types"/>
    <ds:schemaRef ds:uri="http://purl.org/dc/elements/1.1/"/>
    <ds:schemaRef ds:uri="474d8f20-76ee-4f4f-b9b3-dcf303b46246"/>
    <ds:schemaRef ds:uri="http://schemas.openxmlformats.org/package/2006/metadata/core-properties"/>
    <ds:schemaRef ds:uri="http://purl.org/dc/terms/"/>
    <ds:schemaRef ds:uri="http://www.w3.org/XML/1998/namespace"/>
    <ds:schemaRef ds:uri="http://schemas.microsoft.com/office/infopath/2007/PartnerControls"/>
    <ds:schemaRef ds:uri="dbd8415e-937d-47cd-b1f5-0f7ed792843d"/>
    <ds:schemaRef ds:uri="http://schemas.microsoft.com/office/2006/metadata/properties"/>
  </ds:schemaRefs>
</ds:datastoreItem>
</file>

<file path=customXml/itemProps3.xml><?xml version="1.0" encoding="utf-8"?>
<ds:datastoreItem xmlns:ds="http://schemas.openxmlformats.org/officeDocument/2006/customXml" ds:itemID="{39FBDD28-E4DB-4406-A35D-73779A1358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4d8f20-76ee-4f4f-b9b3-dcf303b46246"/>
    <ds:schemaRef ds:uri="dbd8415e-937d-47cd-b1f5-0f7ed7928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GRAND MOSQUE</vt:lpstr>
      <vt:lpstr>Waldorf Astoria Hotel &amp; Branded</vt:lpstr>
      <vt:lpstr>OPERA HOUSE </vt:lpstr>
      <vt:lpstr>District Level - BSW</vt:lpstr>
      <vt:lpstr>PMC Report- District level</vt:lpstr>
      <vt:lpstr>Metrics</vt:lpstr>
      <vt:lpstr>Consolidated Q. Register - 01 </vt:lpstr>
      <vt:lpstr>Consolidated Q. Register - 01</vt:lpstr>
      <vt:lpstr>Consolidated Q. Register - 02</vt:lpstr>
      <vt:lpstr>Consolidated Q. Register -  03</vt:lpstr>
      <vt:lpstr>'Consolidated Q. Register -  03'!Print_Area</vt:lpstr>
      <vt:lpstr>'Consolidated Q. Register - 01'!Print_Area</vt:lpstr>
      <vt:lpstr>'Consolidated Q. Register - 01 '!Print_Area</vt:lpstr>
      <vt:lpstr>'Consolidated Q. Register - 02'!Print_Area</vt:lpstr>
      <vt:lpstr>'District Level - BSW'!Print_Area</vt:lpstr>
      <vt:lpstr>'PMC Report- District level'!Print_Area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Amine Tayeg</dc:creator>
  <cp:keywords/>
  <dc:description/>
  <cp:lastModifiedBy>Office</cp:lastModifiedBy>
  <cp:revision/>
  <cp:lastPrinted>2026-06-29T05:33:13Z</cp:lastPrinted>
  <dcterms:created xsi:type="dcterms:W3CDTF">2025-06-22T14:09:51Z</dcterms:created>
  <dcterms:modified xsi:type="dcterms:W3CDTF">2026-09-12T11:28:40Z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a1b435-f934-41ff-9595-4525aedc2225_Enabled">
    <vt:lpwstr>true</vt:lpwstr>
  </property>
  <property fmtid="{D5CDD505-2E9C-101B-9397-08002B2CF9AE}" pid="3" name="MSIP_Label_77a1b435-f934-41ff-9595-4525aedc2225_SetDate">
    <vt:lpwstr>2025-06-22T15:02:09Z</vt:lpwstr>
  </property>
  <property fmtid="{D5CDD505-2E9C-101B-9397-08002B2CF9AE}" pid="4" name="MSIP_Label_77a1b435-f934-41ff-9595-4525aedc2225_Method">
    <vt:lpwstr>Privileged</vt:lpwstr>
  </property>
  <property fmtid="{D5CDD505-2E9C-101B-9397-08002B2CF9AE}" pid="5" name="MSIP_Label_77a1b435-f934-41ff-9595-4525aedc2225_Name">
    <vt:lpwstr>Internal</vt:lpwstr>
  </property>
  <property fmtid="{D5CDD505-2E9C-101B-9397-08002B2CF9AE}" pid="6" name="MSIP_Label_77a1b435-f934-41ff-9595-4525aedc2225_SiteId">
    <vt:lpwstr>d4c9706e-143f-4bfd-876b-b25d18e0287e</vt:lpwstr>
  </property>
  <property fmtid="{D5CDD505-2E9C-101B-9397-08002B2CF9AE}" pid="7" name="MSIP_Label_77a1b435-f934-41ff-9595-4525aedc2225_ActionId">
    <vt:lpwstr>cfcdeb1a-722e-4996-804e-26efe0734d7e</vt:lpwstr>
  </property>
  <property fmtid="{D5CDD505-2E9C-101B-9397-08002B2CF9AE}" pid="8" name="MSIP_Label_77a1b435-f934-41ff-9595-4525aedc2225_ContentBits">
    <vt:lpwstr>2</vt:lpwstr>
  </property>
  <property fmtid="{D5CDD505-2E9C-101B-9397-08002B2CF9AE}" pid="9" name="MSIP_Label_77a1b435-f934-41ff-9595-4525aedc2225_Tag">
    <vt:lpwstr>10, 0, 1, 1</vt:lpwstr>
  </property>
  <property fmtid="{D5CDD505-2E9C-101B-9397-08002B2CF9AE}" pid="10" name="ContentTypeId">
    <vt:lpwstr>0x010100AC50FDD775E28F44B811E62441A8BB80</vt:lpwstr>
  </property>
  <property fmtid="{D5CDD505-2E9C-101B-9397-08002B2CF9AE}" pid="11" name="MediaServiceImageTags">
    <vt:lpwstr/>
  </property>
</Properties>
</file>