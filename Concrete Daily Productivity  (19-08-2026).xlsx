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saeed\Desktop\OPERA\Logs\"/>
    </mc:Choice>
  </mc:AlternateContent>
  <xr:revisionPtr revIDLastSave="0" documentId="13_ncr:1_{532B7ABE-0823-420A-AF18-A3DAC3F7A8AA}" xr6:coauthVersionLast="47" xr6:coauthVersionMax="47" xr10:uidLastSave="{00000000-0000-0000-0000-000000000000}"/>
  <bookViews>
    <workbookView xWindow="-120" yWindow="-120" windowWidth="29040" windowHeight="15720" activeTab="3" xr2:uid="{AFBBF982-87A5-4C91-8EEA-4643FBF7FB15}"/>
  </bookViews>
  <sheets>
    <sheet name="Summary" sheetId="8" r:id="rId1"/>
    <sheet name="Columns" sheetId="1" r:id="rId2"/>
    <sheet name="External Wall" sheetId="6" r:id="rId3"/>
    <sheet name="Internal Wall" sheetId="2" r:id="rId4"/>
    <sheet name="Slab" sheetId="4" r:id="rId5"/>
    <sheet name="Pour Strip" sheetId="5" state="hidden" r:id="rId6"/>
  </sheets>
  <definedNames>
    <definedName name="_xlnm.Print_Area" localSheetId="0">Summary!$A$1:$GZ$94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H69" i="4" l="1"/>
  <c r="HH57" i="4"/>
  <c r="HH45" i="4"/>
  <c r="HH33" i="4"/>
  <c r="HH20" i="4"/>
  <c r="HH33" i="6"/>
  <c r="HH20" i="6"/>
  <c r="HH71" i="1"/>
  <c r="HH58" i="1"/>
  <c r="HH45" i="1"/>
  <c r="HH32" i="1"/>
  <c r="HH19" i="1"/>
  <c r="HH85" i="2"/>
  <c r="HH72" i="2"/>
  <c r="HH59" i="2"/>
  <c r="HH46" i="2"/>
  <c r="HH33" i="2"/>
  <c r="HH20" i="2"/>
  <c r="HG69" i="4"/>
  <c r="HG57" i="4"/>
  <c r="HG45" i="4"/>
  <c r="HG33" i="4"/>
  <c r="HG20" i="4"/>
  <c r="HG85" i="2"/>
  <c r="HG72" i="2"/>
  <c r="HG59" i="2"/>
  <c r="HG46" i="2"/>
  <c r="HG33" i="2"/>
  <c r="HG20" i="2"/>
  <c r="HG33" i="6"/>
  <c r="HG20" i="6"/>
  <c r="HG71" i="1"/>
  <c r="HG58" i="1"/>
  <c r="HG45" i="1"/>
  <c r="HG32" i="1"/>
  <c r="HG19" i="1"/>
  <c r="HU71" i="2"/>
  <c r="HU74" i="2"/>
  <c r="HU86" i="2"/>
  <c r="HF85" i="2"/>
  <c r="HE85" i="2"/>
  <c r="HD85" i="2"/>
  <c r="HC85" i="2"/>
  <c r="HB85" i="2"/>
  <c r="HA85" i="2"/>
  <c r="GZ85" i="2"/>
  <c r="GY85" i="2"/>
  <c r="GX85" i="2"/>
  <c r="GW85" i="2"/>
  <c r="GV85" i="2"/>
  <c r="GU85" i="2"/>
  <c r="GT85" i="2"/>
  <c r="GS85" i="2"/>
  <c r="GR85" i="2"/>
  <c r="GQ85" i="2"/>
  <c r="GP85" i="2"/>
  <c r="GO85" i="2"/>
  <c r="GN85" i="2"/>
  <c r="GM85" i="2"/>
  <c r="GL85" i="2"/>
  <c r="GK85" i="2"/>
  <c r="GJ85" i="2"/>
  <c r="GI85" i="2"/>
  <c r="GH85" i="2"/>
  <c r="GG85" i="2"/>
  <c r="GF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L85" i="2"/>
  <c r="K85" i="2"/>
  <c r="J85" i="2"/>
  <c r="I85" i="2"/>
  <c r="H85" i="2"/>
  <c r="G85" i="2"/>
  <c r="F85" i="2"/>
  <c r="E85" i="2"/>
  <c r="HU84" i="2"/>
  <c r="M84" i="2"/>
  <c r="HU83" i="2"/>
  <c r="M83" i="2"/>
  <c r="HU82" i="2"/>
  <c r="M82" i="2"/>
  <c r="HU81" i="2"/>
  <c r="M81" i="2"/>
  <c r="HU80" i="2"/>
  <c r="M80" i="2"/>
  <c r="HU79" i="2"/>
  <c r="M79" i="2"/>
  <c r="HU78" i="2"/>
  <c r="M78" i="2"/>
  <c r="HU77" i="2"/>
  <c r="M77" i="2"/>
  <c r="HU76" i="2"/>
  <c r="M76" i="2"/>
  <c r="HU75" i="2"/>
  <c r="M75" i="2"/>
  <c r="M74" i="2"/>
  <c r="HF69" i="4"/>
  <c r="HF57" i="4"/>
  <c r="HF45" i="4"/>
  <c r="HF33" i="4"/>
  <c r="HF20" i="4"/>
  <c r="HF72" i="2"/>
  <c r="HF59" i="2"/>
  <c r="HF46" i="2"/>
  <c r="HF33" i="2"/>
  <c r="HF20" i="2"/>
  <c r="HF33" i="6"/>
  <c r="HF20" i="6"/>
  <c r="HF71" i="1"/>
  <c r="HF58" i="1"/>
  <c r="HF45" i="1"/>
  <c r="HF32" i="1"/>
  <c r="HF19" i="1"/>
  <c r="GU29" i="8"/>
  <c r="GV29" i="8"/>
  <c r="GW29" i="8"/>
  <c r="GX29" i="8"/>
  <c r="GY29" i="8"/>
  <c r="GU30" i="8"/>
  <c r="GV30" i="8"/>
  <c r="GW30" i="8"/>
  <c r="GX30" i="8"/>
  <c r="GY30" i="8"/>
  <c r="GU31" i="8"/>
  <c r="GV31" i="8"/>
  <c r="GW31" i="8"/>
  <c r="GX31" i="8"/>
  <c r="GY31" i="8"/>
  <c r="GU34" i="8"/>
  <c r="GV34" i="8"/>
  <c r="GW34" i="8"/>
  <c r="GX34" i="8"/>
  <c r="GY34" i="8"/>
  <c r="GU36" i="8"/>
  <c r="GV36" i="8"/>
  <c r="GW36" i="8"/>
  <c r="GX36" i="8"/>
  <c r="GY36" i="8"/>
  <c r="HE69" i="4"/>
  <c r="HD69" i="4"/>
  <c r="HC69" i="4"/>
  <c r="HE57" i="4"/>
  <c r="HD57" i="4"/>
  <c r="HC57" i="4"/>
  <c r="HE45" i="4"/>
  <c r="HD45" i="4"/>
  <c r="HC45" i="4"/>
  <c r="HE33" i="4"/>
  <c r="HD33" i="4"/>
  <c r="HC33" i="4"/>
  <c r="HE20" i="4"/>
  <c r="HD20" i="4"/>
  <c r="HC20" i="4"/>
  <c r="HE72" i="2"/>
  <c r="HD72" i="2"/>
  <c r="HC72" i="2"/>
  <c r="HE59" i="2"/>
  <c r="HD59" i="2"/>
  <c r="HC59" i="2"/>
  <c r="HE46" i="2"/>
  <c r="HD46" i="2"/>
  <c r="HC46" i="2"/>
  <c r="HE33" i="2"/>
  <c r="HD33" i="2"/>
  <c r="HC33" i="2"/>
  <c r="HE20" i="2"/>
  <c r="HD20" i="2"/>
  <c r="HC20" i="2"/>
  <c r="HE33" i="6"/>
  <c r="HD33" i="6"/>
  <c r="HE20" i="6"/>
  <c r="HD20" i="6"/>
  <c r="HE71" i="1"/>
  <c r="HE58" i="1"/>
  <c r="HE45" i="1"/>
  <c r="HE32" i="1"/>
  <c r="HE19" i="1"/>
  <c r="HD71" i="1"/>
  <c r="HC71" i="1"/>
  <c r="HD58" i="1"/>
  <c r="HC58" i="1"/>
  <c r="HD45" i="1"/>
  <c r="HC45" i="1"/>
  <c r="HD32" i="1"/>
  <c r="HC32" i="1"/>
  <c r="HD19" i="1"/>
  <c r="HC19" i="1"/>
  <c r="HC33" i="6"/>
  <c r="HC20" i="6"/>
  <c r="HB69" i="4"/>
  <c r="HB57" i="4"/>
  <c r="HB45" i="4"/>
  <c r="HB33" i="4"/>
  <c r="HB20" i="4"/>
  <c r="HB72" i="2"/>
  <c r="HB59" i="2"/>
  <c r="HB46" i="2"/>
  <c r="HB33" i="2"/>
  <c r="HB20" i="2"/>
  <c r="HB33" i="6"/>
  <c r="HB20" i="6"/>
  <c r="HB71" i="1"/>
  <c r="HB58" i="1"/>
  <c r="HB45" i="1"/>
  <c r="HB32" i="1"/>
  <c r="HB19" i="1"/>
  <c r="HB81" i="1"/>
  <c r="GR64" i="8" s="1"/>
  <c r="HU18" i="1"/>
  <c r="HA71" i="1"/>
  <c r="GZ71" i="1"/>
  <c r="GY71" i="1"/>
  <c r="GX71" i="1"/>
  <c r="GW71" i="1"/>
  <c r="GV71" i="1"/>
  <c r="GU71" i="1"/>
  <c r="GT71" i="1"/>
  <c r="GS71" i="1"/>
  <c r="GR71" i="1"/>
  <c r="HU70" i="1" s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S71" i="1"/>
  <c r="CR71" i="1"/>
  <c r="CQ71" i="1"/>
  <c r="CP71" i="1"/>
  <c r="CO71" i="1"/>
  <c r="CN71" i="1"/>
  <c r="CM71" i="1"/>
  <c r="CL71" i="1"/>
  <c r="CK71" i="1"/>
  <c r="CI71" i="1"/>
  <c r="CG71" i="1"/>
  <c r="CF71" i="1"/>
  <c r="CD71" i="1"/>
  <c r="CB71" i="1"/>
  <c r="CA71" i="1"/>
  <c r="BZ71" i="1"/>
  <c r="BY71" i="1"/>
  <c r="BX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L71" i="1"/>
  <c r="K71" i="1"/>
  <c r="J71" i="1"/>
  <c r="I71" i="1"/>
  <c r="H71" i="1"/>
  <c r="G71" i="1"/>
  <c r="F71" i="1"/>
  <c r="E71" i="1"/>
  <c r="M70" i="1"/>
  <c r="HU69" i="1"/>
  <c r="M69" i="1"/>
  <c r="HU68" i="1"/>
  <c r="M68" i="1"/>
  <c r="HU67" i="1"/>
  <c r="M67" i="1"/>
  <c r="HU66" i="1"/>
  <c r="M66" i="1"/>
  <c r="HU65" i="1"/>
  <c r="M65" i="1"/>
  <c r="HU64" i="1"/>
  <c r="M64" i="1"/>
  <c r="HU63" i="1"/>
  <c r="M63" i="1"/>
  <c r="HU62" i="1"/>
  <c r="M62" i="1"/>
  <c r="HU61" i="1"/>
  <c r="M61" i="1"/>
  <c r="HU60" i="1"/>
  <c r="M60" i="1"/>
  <c r="HA69" i="4"/>
  <c r="HA57" i="4"/>
  <c r="HA45" i="4"/>
  <c r="HA33" i="4"/>
  <c r="HA20" i="4"/>
  <c r="HA72" i="2"/>
  <c r="HA59" i="2"/>
  <c r="HA46" i="2"/>
  <c r="HA33" i="2"/>
  <c r="HA20" i="2"/>
  <c r="HA33" i="6"/>
  <c r="HA20" i="6"/>
  <c r="HA58" i="1"/>
  <c r="HA45" i="1"/>
  <c r="HA32" i="1"/>
  <c r="HA19" i="1"/>
  <c r="GZ19" i="1"/>
  <c r="GZ69" i="4"/>
  <c r="GZ57" i="4"/>
  <c r="GZ45" i="4"/>
  <c r="GZ33" i="4"/>
  <c r="GZ20" i="4"/>
  <c r="GZ58" i="1"/>
  <c r="GZ45" i="1"/>
  <c r="GZ32" i="1"/>
  <c r="GZ33" i="6"/>
  <c r="GZ20" i="6"/>
  <c r="GZ72" i="2"/>
  <c r="GZ59" i="2"/>
  <c r="GZ46" i="2"/>
  <c r="GZ33" i="2"/>
  <c r="GZ20" i="2"/>
  <c r="GY69" i="4"/>
  <c r="GY57" i="4"/>
  <c r="GY45" i="4"/>
  <c r="GY33" i="4"/>
  <c r="GY20" i="4"/>
  <c r="GY72" i="2"/>
  <c r="GY59" i="2"/>
  <c r="GY46" i="2"/>
  <c r="GY33" i="2"/>
  <c r="GY20" i="2"/>
  <c r="GY33" i="6"/>
  <c r="GY20" i="6"/>
  <c r="GY58" i="1"/>
  <c r="GY45" i="1"/>
  <c r="GY32" i="1"/>
  <c r="GY19" i="1"/>
  <c r="GX69" i="4"/>
  <c r="GX57" i="4"/>
  <c r="GX45" i="4"/>
  <c r="GX33" i="4"/>
  <c r="GX20" i="4"/>
  <c r="GX72" i="2"/>
  <c r="GX59" i="2"/>
  <c r="GX46" i="2"/>
  <c r="GX33" i="2"/>
  <c r="GX20" i="2"/>
  <c r="GX58" i="1"/>
  <c r="GX45" i="1"/>
  <c r="GX32" i="1"/>
  <c r="GX19" i="1"/>
  <c r="GX33" i="6"/>
  <c r="GX20" i="6"/>
  <c r="GF104" i="2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EQ90" i="4"/>
  <c r="ER90" i="4"/>
  <c r="ES90" i="4"/>
  <c r="ET90" i="4"/>
  <c r="EU90" i="4"/>
  <c r="EV90" i="4"/>
  <c r="EW90" i="4"/>
  <c r="EX90" i="4"/>
  <c r="EY90" i="4"/>
  <c r="EZ90" i="4"/>
  <c r="FA90" i="4"/>
  <c r="FB90" i="4"/>
  <c r="FC90" i="4"/>
  <c r="FD90" i="4"/>
  <c r="FE90" i="4"/>
  <c r="FF90" i="4"/>
  <c r="FG90" i="4"/>
  <c r="FH90" i="4"/>
  <c r="FI90" i="4"/>
  <c r="FJ90" i="4"/>
  <c r="FK90" i="4"/>
  <c r="FL90" i="4"/>
  <c r="FM90" i="4"/>
  <c r="FN90" i="4"/>
  <c r="FO90" i="4"/>
  <c r="FP90" i="4"/>
  <c r="FQ90" i="4"/>
  <c r="FR90" i="4"/>
  <c r="FS90" i="4"/>
  <c r="FT90" i="4"/>
  <c r="FU90" i="4"/>
  <c r="FV90" i="4"/>
  <c r="FW90" i="4"/>
  <c r="FX90" i="4"/>
  <c r="FY90" i="4"/>
  <c r="FZ90" i="4"/>
  <c r="GA90" i="4"/>
  <c r="GB90" i="4"/>
  <c r="GC90" i="4"/>
  <c r="GD90" i="4"/>
  <c r="GE90" i="4"/>
  <c r="GF90" i="4"/>
  <c r="GG90" i="4"/>
  <c r="GH90" i="4"/>
  <c r="GI90" i="4"/>
  <c r="GJ90" i="4"/>
  <c r="GK90" i="4"/>
  <c r="GL90" i="4"/>
  <c r="GM90" i="4"/>
  <c r="GN90" i="4"/>
  <c r="GO90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HH90" i="4"/>
  <c r="HI90" i="4"/>
  <c r="HJ90" i="4"/>
  <c r="HK90" i="4"/>
  <c r="HL90" i="4"/>
  <c r="HM90" i="4"/>
  <c r="HN90" i="4"/>
  <c r="HO90" i="4"/>
  <c r="HP90" i="4"/>
  <c r="HQ90" i="4"/>
  <c r="HR90" i="4"/>
  <c r="HS90" i="4"/>
  <c r="HT90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EP91" i="4"/>
  <c r="EQ91" i="4"/>
  <c r="ER91" i="4"/>
  <c r="ES91" i="4"/>
  <c r="ET91" i="4"/>
  <c r="EU91" i="4"/>
  <c r="EV91" i="4"/>
  <c r="EW91" i="4"/>
  <c r="EX91" i="4"/>
  <c r="EY91" i="4"/>
  <c r="EZ91" i="4"/>
  <c r="FA91" i="4"/>
  <c r="FB91" i="4"/>
  <c r="FC91" i="4"/>
  <c r="FD91" i="4"/>
  <c r="FE91" i="4"/>
  <c r="FF91" i="4"/>
  <c r="FG91" i="4"/>
  <c r="FH91" i="4"/>
  <c r="FI91" i="4"/>
  <c r="FJ91" i="4"/>
  <c r="FK91" i="4"/>
  <c r="FL91" i="4"/>
  <c r="FM91" i="4"/>
  <c r="FN91" i="4"/>
  <c r="FO91" i="4"/>
  <c r="FP91" i="4"/>
  <c r="FQ91" i="4"/>
  <c r="FR91" i="4"/>
  <c r="FS91" i="4"/>
  <c r="FT91" i="4"/>
  <c r="FU91" i="4"/>
  <c r="FV91" i="4"/>
  <c r="FW91" i="4"/>
  <c r="FX91" i="4"/>
  <c r="FY91" i="4"/>
  <c r="FZ91" i="4"/>
  <c r="GA91" i="4"/>
  <c r="GB91" i="4"/>
  <c r="GC91" i="4"/>
  <c r="GD91" i="4"/>
  <c r="GE91" i="4"/>
  <c r="GF91" i="4"/>
  <c r="GG91" i="4"/>
  <c r="GH91" i="4"/>
  <c r="GI91" i="4"/>
  <c r="GJ91" i="4"/>
  <c r="GK91" i="4"/>
  <c r="GL91" i="4"/>
  <c r="GM91" i="4"/>
  <c r="GN91" i="4"/>
  <c r="GO91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HH91" i="4"/>
  <c r="HI91" i="4"/>
  <c r="HJ91" i="4"/>
  <c r="HK91" i="4"/>
  <c r="HL91" i="4"/>
  <c r="HM91" i="4"/>
  <c r="HN91" i="4"/>
  <c r="HO91" i="4"/>
  <c r="HP91" i="4"/>
  <c r="HQ91" i="4"/>
  <c r="HR91" i="4"/>
  <c r="HS91" i="4"/>
  <c r="HT91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EQ92" i="4"/>
  <c r="ER92" i="4"/>
  <c r="ES92" i="4"/>
  <c r="ET92" i="4"/>
  <c r="EU92" i="4"/>
  <c r="EV92" i="4"/>
  <c r="EW92" i="4"/>
  <c r="EX92" i="4"/>
  <c r="EY92" i="4"/>
  <c r="EZ92" i="4"/>
  <c r="FA92" i="4"/>
  <c r="FB92" i="4"/>
  <c r="FC92" i="4"/>
  <c r="FD92" i="4"/>
  <c r="FE92" i="4"/>
  <c r="FF92" i="4"/>
  <c r="FG92" i="4"/>
  <c r="FH92" i="4"/>
  <c r="FI92" i="4"/>
  <c r="FJ92" i="4"/>
  <c r="FK92" i="4"/>
  <c r="FL92" i="4"/>
  <c r="FM92" i="4"/>
  <c r="FN92" i="4"/>
  <c r="FO92" i="4"/>
  <c r="FP92" i="4"/>
  <c r="FQ92" i="4"/>
  <c r="FR92" i="4"/>
  <c r="FS92" i="4"/>
  <c r="FT92" i="4"/>
  <c r="FU92" i="4"/>
  <c r="FV92" i="4"/>
  <c r="FW92" i="4"/>
  <c r="FX92" i="4"/>
  <c r="FY92" i="4"/>
  <c r="FZ92" i="4"/>
  <c r="GA92" i="4"/>
  <c r="GB92" i="4"/>
  <c r="GC92" i="4"/>
  <c r="GD92" i="4"/>
  <c r="GE92" i="4"/>
  <c r="GF92" i="4"/>
  <c r="GG92" i="4"/>
  <c r="GH92" i="4"/>
  <c r="GI92" i="4"/>
  <c r="GJ92" i="4"/>
  <c r="GK92" i="4"/>
  <c r="GL92" i="4"/>
  <c r="GM92" i="4"/>
  <c r="GN92" i="4"/>
  <c r="GO92" i="4"/>
  <c r="GP92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I92" i="4"/>
  <c r="HJ92" i="4"/>
  <c r="HK92" i="4"/>
  <c r="HL92" i="4"/>
  <c r="HM92" i="4"/>
  <c r="HN92" i="4"/>
  <c r="HO92" i="4"/>
  <c r="HP92" i="4"/>
  <c r="HQ92" i="4"/>
  <c r="HR92" i="4"/>
  <c r="HS92" i="4"/>
  <c r="HT92" i="4"/>
  <c r="O92" i="4"/>
  <c r="O91" i="4"/>
  <c r="O90" i="4"/>
  <c r="N92" i="4"/>
  <c r="L92" i="4"/>
  <c r="K92" i="4"/>
  <c r="J92" i="4"/>
  <c r="I92" i="4"/>
  <c r="H92" i="4"/>
  <c r="G92" i="4"/>
  <c r="F92" i="4"/>
  <c r="E92" i="4"/>
  <c r="N91" i="4"/>
  <c r="L91" i="4"/>
  <c r="K91" i="4"/>
  <c r="J91" i="4"/>
  <c r="I91" i="4"/>
  <c r="H91" i="4"/>
  <c r="G91" i="4"/>
  <c r="F91" i="4"/>
  <c r="E91" i="4"/>
  <c r="N90" i="4"/>
  <c r="L90" i="4"/>
  <c r="K90" i="4"/>
  <c r="J90" i="4"/>
  <c r="I90" i="4"/>
  <c r="H90" i="4"/>
  <c r="G90" i="4"/>
  <c r="F90" i="4"/>
  <c r="E90" i="4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HF100" i="2"/>
  <c r="HG100" i="2"/>
  <c r="HH100" i="2"/>
  <c r="HI100" i="2"/>
  <c r="HJ100" i="2"/>
  <c r="HK100" i="2"/>
  <c r="HL100" i="2"/>
  <c r="HM100" i="2"/>
  <c r="HN100" i="2"/>
  <c r="HO100" i="2"/>
  <c r="HP100" i="2"/>
  <c r="HQ100" i="2"/>
  <c r="HR100" i="2"/>
  <c r="HS100" i="2"/>
  <c r="HT100" i="2"/>
  <c r="GW69" i="4"/>
  <c r="GV69" i="4"/>
  <c r="GU69" i="4"/>
  <c r="GT69" i="4"/>
  <c r="GS69" i="4"/>
  <c r="GR69" i="4"/>
  <c r="GQ69" i="4"/>
  <c r="GP69" i="4"/>
  <c r="GO69" i="4"/>
  <c r="GN69" i="4"/>
  <c r="GM69" i="4"/>
  <c r="GL69" i="4"/>
  <c r="GK69" i="4"/>
  <c r="GJ69" i="4"/>
  <c r="GI69" i="4"/>
  <c r="GH69" i="4"/>
  <c r="GG69" i="4"/>
  <c r="GF69" i="4"/>
  <c r="GE69" i="4"/>
  <c r="GD69" i="4"/>
  <c r="GC69" i="4"/>
  <c r="GB69" i="4"/>
  <c r="GA69" i="4"/>
  <c r="FZ69" i="4"/>
  <c r="FY69" i="4"/>
  <c r="FX69" i="4"/>
  <c r="FW69" i="4"/>
  <c r="FV69" i="4"/>
  <c r="FU69" i="4"/>
  <c r="FT69" i="4"/>
  <c r="FS69" i="4"/>
  <c r="FR69" i="4"/>
  <c r="FQ69" i="4"/>
  <c r="FP69" i="4"/>
  <c r="FO69" i="4"/>
  <c r="FN69" i="4"/>
  <c r="FM69" i="4"/>
  <c r="FL69" i="4"/>
  <c r="FK69" i="4"/>
  <c r="FJ69" i="4"/>
  <c r="FI69" i="4"/>
  <c r="FH69" i="4"/>
  <c r="FG69" i="4"/>
  <c r="FF69" i="4"/>
  <c r="FE69" i="4"/>
  <c r="FD69" i="4"/>
  <c r="FC69" i="4"/>
  <c r="FB69" i="4"/>
  <c r="FA69" i="4"/>
  <c r="EZ69" i="4"/>
  <c r="EY69" i="4"/>
  <c r="EX69" i="4"/>
  <c r="EW69" i="4"/>
  <c r="EV69" i="4"/>
  <c r="EU69" i="4"/>
  <c r="HU68" i="4"/>
  <c r="M68" i="4"/>
  <c r="HU67" i="4"/>
  <c r="M67" i="4"/>
  <c r="HU66" i="4"/>
  <c r="M66" i="4"/>
  <c r="HU65" i="4"/>
  <c r="M65" i="4"/>
  <c r="HU64" i="4"/>
  <c r="M64" i="4"/>
  <c r="HU63" i="4"/>
  <c r="M63" i="4"/>
  <c r="HU62" i="4"/>
  <c r="M62" i="4"/>
  <c r="HU61" i="4"/>
  <c r="M61" i="4"/>
  <c r="HU60" i="4"/>
  <c r="M60" i="4"/>
  <c r="HU59" i="4"/>
  <c r="M59" i="4"/>
  <c r="HU58" i="4"/>
  <c r="M58" i="4"/>
  <c r="GW57" i="4"/>
  <c r="GV57" i="4"/>
  <c r="GW45" i="4"/>
  <c r="GV45" i="4"/>
  <c r="GW33" i="4"/>
  <c r="GV33" i="4"/>
  <c r="GW20" i="4"/>
  <c r="GV20" i="4"/>
  <c r="GW72" i="2"/>
  <c r="GV72" i="2"/>
  <c r="GW59" i="2"/>
  <c r="GV59" i="2"/>
  <c r="GW46" i="2"/>
  <c r="GV46" i="2"/>
  <c r="GW33" i="2"/>
  <c r="GV33" i="2"/>
  <c r="GW20" i="2"/>
  <c r="GV20" i="2"/>
  <c r="GW33" i="6"/>
  <c r="GV33" i="6"/>
  <c r="GW20" i="6"/>
  <c r="GV20" i="6"/>
  <c r="GW58" i="1"/>
  <c r="GV58" i="1"/>
  <c r="GW45" i="1"/>
  <c r="GV45" i="1"/>
  <c r="GW32" i="1"/>
  <c r="GV32" i="1"/>
  <c r="GW19" i="1"/>
  <c r="GV19" i="1"/>
  <c r="GU57" i="4"/>
  <c r="GU45" i="4"/>
  <c r="GU33" i="4"/>
  <c r="GU20" i="4"/>
  <c r="GU72" i="2"/>
  <c r="GU59" i="2"/>
  <c r="GU46" i="2"/>
  <c r="GU33" i="2"/>
  <c r="GU20" i="2"/>
  <c r="GU33" i="6"/>
  <c r="GU20" i="6"/>
  <c r="GU58" i="1"/>
  <c r="GU45" i="1"/>
  <c r="GU32" i="1"/>
  <c r="GU19" i="1"/>
  <c r="GT57" i="4"/>
  <c r="GT45" i="4"/>
  <c r="GT33" i="4"/>
  <c r="GT20" i="4"/>
  <c r="GT72" i="2"/>
  <c r="GT59" i="2"/>
  <c r="GT46" i="2"/>
  <c r="GT33" i="2"/>
  <c r="GT20" i="2"/>
  <c r="GT33" i="6"/>
  <c r="GT20" i="6"/>
  <c r="GT58" i="1"/>
  <c r="GT45" i="1"/>
  <c r="GT32" i="1"/>
  <c r="GT19" i="1"/>
  <c r="GS57" i="4"/>
  <c r="GS45" i="4"/>
  <c r="GS33" i="4"/>
  <c r="GS20" i="4"/>
  <c r="GS72" i="2"/>
  <c r="GS59" i="2"/>
  <c r="GS46" i="2"/>
  <c r="GS33" i="2"/>
  <c r="GS20" i="2"/>
  <c r="GS33" i="6"/>
  <c r="GS20" i="6"/>
  <c r="GS58" i="1"/>
  <c r="GS45" i="1"/>
  <c r="GS32" i="1"/>
  <c r="GS19" i="1"/>
  <c r="GF29" i="8"/>
  <c r="GG29" i="8"/>
  <c r="GH29" i="8"/>
  <c r="GI29" i="8"/>
  <c r="GJ29" i="8"/>
  <c r="GK29" i="8"/>
  <c r="GL29" i="8"/>
  <c r="GM29" i="8"/>
  <c r="GN29" i="8"/>
  <c r="GO29" i="8"/>
  <c r="GP29" i="8"/>
  <c r="GQ29" i="8"/>
  <c r="GR29" i="8"/>
  <c r="GS29" i="8"/>
  <c r="GT29" i="8"/>
  <c r="GF30" i="8"/>
  <c r="GG30" i="8"/>
  <c r="GH30" i="8"/>
  <c r="GI30" i="8"/>
  <c r="GJ30" i="8"/>
  <c r="GK30" i="8"/>
  <c r="GL30" i="8"/>
  <c r="GM30" i="8"/>
  <c r="GN30" i="8"/>
  <c r="GO30" i="8"/>
  <c r="GP30" i="8"/>
  <c r="GQ30" i="8"/>
  <c r="GR30" i="8"/>
  <c r="GS30" i="8"/>
  <c r="GT30" i="8"/>
  <c r="GF31" i="8"/>
  <c r="GG31" i="8"/>
  <c r="GH31" i="8"/>
  <c r="GI31" i="8"/>
  <c r="GJ31" i="8"/>
  <c r="GK31" i="8"/>
  <c r="GL31" i="8"/>
  <c r="GM31" i="8"/>
  <c r="GN31" i="8"/>
  <c r="GO31" i="8"/>
  <c r="GP31" i="8"/>
  <c r="GQ31" i="8"/>
  <c r="GR31" i="8"/>
  <c r="GS31" i="8"/>
  <c r="GT31" i="8"/>
  <c r="GD34" i="8"/>
  <c r="GE34" i="8"/>
  <c r="GF34" i="8"/>
  <c r="GG34" i="8"/>
  <c r="GH34" i="8"/>
  <c r="GI34" i="8"/>
  <c r="GJ34" i="8"/>
  <c r="GK34" i="8"/>
  <c r="GL34" i="8"/>
  <c r="GM34" i="8"/>
  <c r="GN34" i="8"/>
  <c r="GO34" i="8"/>
  <c r="GP34" i="8"/>
  <c r="GQ34" i="8"/>
  <c r="GR34" i="8"/>
  <c r="GS34" i="8"/>
  <c r="GT34" i="8"/>
  <c r="GD36" i="8"/>
  <c r="GE36" i="8"/>
  <c r="GF36" i="8"/>
  <c r="GG36" i="8"/>
  <c r="GH36" i="8"/>
  <c r="GI36" i="8"/>
  <c r="GJ36" i="8"/>
  <c r="GK36" i="8"/>
  <c r="GL36" i="8"/>
  <c r="GM36" i="8"/>
  <c r="GN36" i="8"/>
  <c r="GO36" i="8"/>
  <c r="GP36" i="8"/>
  <c r="GQ36" i="8"/>
  <c r="GR36" i="8"/>
  <c r="GS36" i="8"/>
  <c r="GT36" i="8"/>
  <c r="GP20" i="2"/>
  <c r="GQ20" i="2"/>
  <c r="GO30" i="5"/>
  <c r="GO60" i="5"/>
  <c r="GO89" i="5"/>
  <c r="GR57" i="4"/>
  <c r="GR45" i="4"/>
  <c r="GR33" i="4"/>
  <c r="GR20" i="4"/>
  <c r="GR72" i="2"/>
  <c r="GR59" i="2"/>
  <c r="GR46" i="2"/>
  <c r="GR33" i="2"/>
  <c r="GR20" i="2"/>
  <c r="GR33" i="6"/>
  <c r="GR20" i="6"/>
  <c r="GR58" i="1"/>
  <c r="GR45" i="1"/>
  <c r="GR32" i="1"/>
  <c r="GR19" i="1"/>
  <c r="GN89" i="5"/>
  <c r="GM89" i="5"/>
  <c r="GL89" i="5"/>
  <c r="GK89" i="5"/>
  <c r="GJ89" i="5"/>
  <c r="GI89" i="5"/>
  <c r="GH89" i="5"/>
  <c r="GG89" i="5"/>
  <c r="GN60" i="5"/>
  <c r="GM60" i="5"/>
  <c r="GL60" i="5"/>
  <c r="GK60" i="5"/>
  <c r="GJ60" i="5"/>
  <c r="GI60" i="5"/>
  <c r="GH60" i="5"/>
  <c r="GG60" i="5"/>
  <c r="GN30" i="5"/>
  <c r="GM30" i="5"/>
  <c r="GL30" i="5"/>
  <c r="GK30" i="5"/>
  <c r="GJ30" i="5"/>
  <c r="GI30" i="5"/>
  <c r="GH30" i="5"/>
  <c r="GG30" i="5"/>
  <c r="GZ88" i="2"/>
  <c r="HA88" i="2"/>
  <c r="GQ57" i="4"/>
  <c r="GQ45" i="4"/>
  <c r="GQ33" i="4"/>
  <c r="GQ20" i="4"/>
  <c r="GQ72" i="2"/>
  <c r="GQ59" i="2"/>
  <c r="GQ46" i="2"/>
  <c r="GQ33" i="2"/>
  <c r="GQ33" i="6"/>
  <c r="GQ20" i="6"/>
  <c r="GQ58" i="1"/>
  <c r="GQ45" i="1"/>
  <c r="GQ32" i="1"/>
  <c r="GQ19" i="1"/>
  <c r="GP57" i="4"/>
  <c r="GP45" i="4"/>
  <c r="GP33" i="4"/>
  <c r="GP20" i="4"/>
  <c r="GO57" i="4"/>
  <c r="GO45" i="4"/>
  <c r="GO33" i="4"/>
  <c r="GO20" i="4"/>
  <c r="GP74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I74" i="4"/>
  <c r="HJ74" i="4"/>
  <c r="HK74" i="4"/>
  <c r="HL74" i="4"/>
  <c r="HM74" i="4"/>
  <c r="HN74" i="4"/>
  <c r="HO74" i="4"/>
  <c r="HP74" i="4"/>
  <c r="HQ74" i="4"/>
  <c r="HR74" i="4"/>
  <c r="HS74" i="4"/>
  <c r="HT74" i="4"/>
  <c r="GP75" i="4"/>
  <c r="GF37" i="8" s="1"/>
  <c r="GQ75" i="4"/>
  <c r="GG37" i="8" s="1"/>
  <c r="GR75" i="4"/>
  <c r="GH37" i="8" s="1"/>
  <c r="GS75" i="4"/>
  <c r="GI37" i="8" s="1"/>
  <c r="GT75" i="4"/>
  <c r="GJ37" i="8" s="1"/>
  <c r="GU75" i="4"/>
  <c r="GK37" i="8" s="1"/>
  <c r="GV75" i="4"/>
  <c r="GL37" i="8" s="1"/>
  <c r="GW75" i="4"/>
  <c r="GM37" i="8" s="1"/>
  <c r="GX75" i="4"/>
  <c r="GN37" i="8" s="1"/>
  <c r="GY75" i="4"/>
  <c r="GO37" i="8" s="1"/>
  <c r="GZ75" i="4"/>
  <c r="GP37" i="8" s="1"/>
  <c r="HA75" i="4"/>
  <c r="GQ37" i="8" s="1"/>
  <c r="HB75" i="4"/>
  <c r="GR37" i="8" s="1"/>
  <c r="HC75" i="4"/>
  <c r="GS37" i="8" s="1"/>
  <c r="HD75" i="4"/>
  <c r="GT37" i="8" s="1"/>
  <c r="HE75" i="4"/>
  <c r="GU37" i="8" s="1"/>
  <c r="HF75" i="4"/>
  <c r="GV37" i="8" s="1"/>
  <c r="HG75" i="4"/>
  <c r="GW37" i="8" s="1"/>
  <c r="HH75" i="4"/>
  <c r="GX37" i="8" s="1"/>
  <c r="HI75" i="4"/>
  <c r="GY37" i="8" s="1"/>
  <c r="HJ75" i="4"/>
  <c r="HK75" i="4"/>
  <c r="HL75" i="4"/>
  <c r="HM75" i="4"/>
  <c r="HN75" i="4"/>
  <c r="HO75" i="4"/>
  <c r="HP75" i="4"/>
  <c r="HQ75" i="4"/>
  <c r="HR75" i="4"/>
  <c r="HS75" i="4"/>
  <c r="HT75" i="4"/>
  <c r="GP76" i="4"/>
  <c r="GF62" i="8" s="1"/>
  <c r="GQ76" i="4"/>
  <c r="GG62" i="8" s="1"/>
  <c r="GR76" i="4"/>
  <c r="GH62" i="8" s="1"/>
  <c r="GS76" i="4"/>
  <c r="GI62" i="8" s="1"/>
  <c r="GT76" i="4"/>
  <c r="GJ62" i="8" s="1"/>
  <c r="GU76" i="4"/>
  <c r="GK62" i="8" s="1"/>
  <c r="GV76" i="4"/>
  <c r="GL62" i="8" s="1"/>
  <c r="GW76" i="4"/>
  <c r="GM62" i="8" s="1"/>
  <c r="GX76" i="4"/>
  <c r="GN62" i="8" s="1"/>
  <c r="GY76" i="4"/>
  <c r="GO62" i="8" s="1"/>
  <c r="GZ76" i="4"/>
  <c r="GP62" i="8" s="1"/>
  <c r="HA76" i="4"/>
  <c r="GQ62" i="8" s="1"/>
  <c r="HB76" i="4"/>
  <c r="GR62" i="8" s="1"/>
  <c r="HC76" i="4"/>
  <c r="GS62" i="8" s="1"/>
  <c r="HD76" i="4"/>
  <c r="GT62" i="8" s="1"/>
  <c r="HE76" i="4"/>
  <c r="GU62" i="8" s="1"/>
  <c r="HF76" i="4"/>
  <c r="GV62" i="8" s="1"/>
  <c r="HG76" i="4"/>
  <c r="GW62" i="8" s="1"/>
  <c r="HH76" i="4"/>
  <c r="GX62" i="8" s="1"/>
  <c r="HI76" i="4"/>
  <c r="GY62" i="8" s="1"/>
  <c r="HJ76" i="4"/>
  <c r="HK76" i="4"/>
  <c r="HL76" i="4"/>
  <c r="HM76" i="4"/>
  <c r="HN76" i="4"/>
  <c r="HO76" i="4"/>
  <c r="HP76" i="4"/>
  <c r="HQ76" i="4"/>
  <c r="HR76" i="4"/>
  <c r="HS76" i="4"/>
  <c r="HT76" i="4"/>
  <c r="GP78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I78" i="4"/>
  <c r="HJ78" i="4"/>
  <c r="HK78" i="4"/>
  <c r="HL78" i="4"/>
  <c r="HM78" i="4"/>
  <c r="HN78" i="4"/>
  <c r="HO78" i="4"/>
  <c r="HP78" i="4"/>
  <c r="HQ78" i="4"/>
  <c r="HR78" i="4"/>
  <c r="HS78" i="4"/>
  <c r="HT78" i="4"/>
  <c r="GP79" i="4"/>
  <c r="GF42" i="8" s="1"/>
  <c r="GQ79" i="4"/>
  <c r="GG42" i="8" s="1"/>
  <c r="GR79" i="4"/>
  <c r="GH42" i="8" s="1"/>
  <c r="GS79" i="4"/>
  <c r="GI42" i="8" s="1"/>
  <c r="GT79" i="4"/>
  <c r="GJ42" i="8" s="1"/>
  <c r="GU79" i="4"/>
  <c r="GK42" i="8" s="1"/>
  <c r="GV79" i="4"/>
  <c r="GL42" i="8" s="1"/>
  <c r="GW79" i="4"/>
  <c r="GM42" i="8" s="1"/>
  <c r="GX79" i="4"/>
  <c r="GN42" i="8" s="1"/>
  <c r="GY79" i="4"/>
  <c r="GO42" i="8" s="1"/>
  <c r="GZ79" i="4"/>
  <c r="GP42" i="8" s="1"/>
  <c r="HA79" i="4"/>
  <c r="GQ42" i="8" s="1"/>
  <c r="HB79" i="4"/>
  <c r="GR42" i="8" s="1"/>
  <c r="HC79" i="4"/>
  <c r="GS42" i="8" s="1"/>
  <c r="HD79" i="4"/>
  <c r="GT42" i="8" s="1"/>
  <c r="HE79" i="4"/>
  <c r="GU42" i="8" s="1"/>
  <c r="HF79" i="4"/>
  <c r="GV42" i="8" s="1"/>
  <c r="HG79" i="4"/>
  <c r="GW42" i="8" s="1"/>
  <c r="HH79" i="4"/>
  <c r="GX42" i="8" s="1"/>
  <c r="HI79" i="4"/>
  <c r="GY42" i="8" s="1"/>
  <c r="HJ79" i="4"/>
  <c r="HK79" i="4"/>
  <c r="HL79" i="4"/>
  <c r="HM79" i="4"/>
  <c r="HN79" i="4"/>
  <c r="HO79" i="4"/>
  <c r="HP79" i="4"/>
  <c r="HQ79" i="4"/>
  <c r="HR79" i="4"/>
  <c r="HS79" i="4"/>
  <c r="HT79" i="4"/>
  <c r="GP80" i="4"/>
  <c r="GF67" i="8" s="1"/>
  <c r="GQ80" i="4"/>
  <c r="GG67" i="8" s="1"/>
  <c r="GR80" i="4"/>
  <c r="GH67" i="8" s="1"/>
  <c r="GS80" i="4"/>
  <c r="GI67" i="8" s="1"/>
  <c r="GT80" i="4"/>
  <c r="GJ67" i="8" s="1"/>
  <c r="GU80" i="4"/>
  <c r="GK67" i="8" s="1"/>
  <c r="GV80" i="4"/>
  <c r="GL67" i="8" s="1"/>
  <c r="GW80" i="4"/>
  <c r="GM67" i="8" s="1"/>
  <c r="GX80" i="4"/>
  <c r="GN67" i="8" s="1"/>
  <c r="GY80" i="4"/>
  <c r="GO67" i="8" s="1"/>
  <c r="GZ80" i="4"/>
  <c r="GP67" i="8" s="1"/>
  <c r="HA80" i="4"/>
  <c r="GQ67" i="8" s="1"/>
  <c r="HB80" i="4"/>
  <c r="GR67" i="8" s="1"/>
  <c r="HC80" i="4"/>
  <c r="GS67" i="8" s="1"/>
  <c r="HD80" i="4"/>
  <c r="GT67" i="8" s="1"/>
  <c r="HE80" i="4"/>
  <c r="GU67" i="8" s="1"/>
  <c r="HF80" i="4"/>
  <c r="GV67" i="8" s="1"/>
  <c r="HG80" i="4"/>
  <c r="GW67" i="8" s="1"/>
  <c r="HH80" i="4"/>
  <c r="GX67" i="8" s="1"/>
  <c r="HI80" i="4"/>
  <c r="GY67" i="8" s="1"/>
  <c r="HJ80" i="4"/>
  <c r="HK80" i="4"/>
  <c r="HL80" i="4"/>
  <c r="HM80" i="4"/>
  <c r="HN80" i="4"/>
  <c r="HO80" i="4"/>
  <c r="HP80" i="4"/>
  <c r="HQ80" i="4"/>
  <c r="HR80" i="4"/>
  <c r="HS80" i="4"/>
  <c r="HT80" i="4"/>
  <c r="GP82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I82" i="4"/>
  <c r="HJ82" i="4"/>
  <c r="HK82" i="4"/>
  <c r="HL82" i="4"/>
  <c r="HM82" i="4"/>
  <c r="HN82" i="4"/>
  <c r="HO82" i="4"/>
  <c r="HP82" i="4"/>
  <c r="HQ82" i="4"/>
  <c r="HR82" i="4"/>
  <c r="HS82" i="4"/>
  <c r="HT82" i="4"/>
  <c r="GP83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I83" i="4"/>
  <c r="HJ83" i="4"/>
  <c r="HK83" i="4"/>
  <c r="HL83" i="4"/>
  <c r="HM83" i="4"/>
  <c r="HN83" i="4"/>
  <c r="HO83" i="4"/>
  <c r="HP83" i="4"/>
  <c r="HQ83" i="4"/>
  <c r="HR83" i="4"/>
  <c r="HS83" i="4"/>
  <c r="HT83" i="4"/>
  <c r="GP84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I84" i="4"/>
  <c r="HJ84" i="4"/>
  <c r="HK84" i="4"/>
  <c r="HL84" i="4"/>
  <c r="HM84" i="4"/>
  <c r="HN84" i="4"/>
  <c r="HO84" i="4"/>
  <c r="HP84" i="4"/>
  <c r="HQ84" i="4"/>
  <c r="HR84" i="4"/>
  <c r="HS84" i="4"/>
  <c r="HT84" i="4"/>
  <c r="GP86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I86" i="4"/>
  <c r="HJ86" i="4"/>
  <c r="HK86" i="4"/>
  <c r="HL86" i="4"/>
  <c r="HM86" i="4"/>
  <c r="HN86" i="4"/>
  <c r="HO86" i="4"/>
  <c r="HP86" i="4"/>
  <c r="HQ86" i="4"/>
  <c r="HR86" i="4"/>
  <c r="HS86" i="4"/>
  <c r="HT86" i="4"/>
  <c r="GP87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I87" i="4"/>
  <c r="HJ87" i="4"/>
  <c r="HK87" i="4"/>
  <c r="HL87" i="4"/>
  <c r="HM87" i="4"/>
  <c r="HN87" i="4"/>
  <c r="HO87" i="4"/>
  <c r="HP87" i="4"/>
  <c r="HQ87" i="4"/>
  <c r="HR87" i="4"/>
  <c r="HS87" i="4"/>
  <c r="HT87" i="4"/>
  <c r="GP88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I88" i="4"/>
  <c r="HJ88" i="4"/>
  <c r="HK88" i="4"/>
  <c r="HL88" i="4"/>
  <c r="HM88" i="4"/>
  <c r="HN88" i="4"/>
  <c r="HO88" i="4"/>
  <c r="HP88" i="4"/>
  <c r="HQ88" i="4"/>
  <c r="HR88" i="4"/>
  <c r="HS88" i="4"/>
  <c r="HT88" i="4"/>
  <c r="HU70" i="4"/>
  <c r="HU47" i="4"/>
  <c r="HU48" i="4"/>
  <c r="HU49" i="4"/>
  <c r="HU50" i="4"/>
  <c r="HU51" i="4"/>
  <c r="HU52" i="4"/>
  <c r="HU53" i="4"/>
  <c r="HU54" i="4"/>
  <c r="HU55" i="4"/>
  <c r="HU56" i="4"/>
  <c r="HU46" i="4"/>
  <c r="HU36" i="4"/>
  <c r="HU37" i="4"/>
  <c r="HU38" i="4"/>
  <c r="HU39" i="4"/>
  <c r="HU40" i="4"/>
  <c r="HU41" i="4"/>
  <c r="HU42" i="4"/>
  <c r="HU43" i="4"/>
  <c r="HU44" i="4"/>
  <c r="HU35" i="4"/>
  <c r="HU34" i="4"/>
  <c r="HU23" i="4"/>
  <c r="HU24" i="4"/>
  <c r="HU25" i="4"/>
  <c r="HU26" i="4"/>
  <c r="HU27" i="4"/>
  <c r="HU28" i="4"/>
  <c r="HU29" i="4"/>
  <c r="HU30" i="4"/>
  <c r="HU31" i="4"/>
  <c r="HU32" i="4"/>
  <c r="HU22" i="4"/>
  <c r="HU19" i="4"/>
  <c r="HU10" i="4"/>
  <c r="HU11" i="4"/>
  <c r="HU12" i="4"/>
  <c r="HU13" i="4"/>
  <c r="HU14" i="4"/>
  <c r="HU15" i="4"/>
  <c r="HU16" i="4"/>
  <c r="HU17" i="4"/>
  <c r="HU18" i="4"/>
  <c r="HU9" i="4"/>
  <c r="GO88" i="2"/>
  <c r="GP88" i="2"/>
  <c r="GQ88" i="2"/>
  <c r="GR88" i="2"/>
  <c r="GS88" i="2"/>
  <c r="GT88" i="2"/>
  <c r="GU88" i="2"/>
  <c r="GV88" i="2"/>
  <c r="GW88" i="2"/>
  <c r="GX88" i="2"/>
  <c r="GY88" i="2"/>
  <c r="HB88" i="2"/>
  <c r="HC88" i="2"/>
  <c r="HD88" i="2"/>
  <c r="HE88" i="2"/>
  <c r="HF88" i="2"/>
  <c r="HG88" i="2"/>
  <c r="HH88" i="2"/>
  <c r="HI88" i="2"/>
  <c r="HJ88" i="2"/>
  <c r="HK88" i="2"/>
  <c r="HL88" i="2"/>
  <c r="HM88" i="2"/>
  <c r="HN88" i="2"/>
  <c r="HO88" i="2"/>
  <c r="HP88" i="2"/>
  <c r="HQ88" i="2"/>
  <c r="HR88" i="2"/>
  <c r="HS88" i="2"/>
  <c r="HT88" i="2"/>
  <c r="GO89" i="2"/>
  <c r="GE35" i="8" s="1"/>
  <c r="GP89" i="2"/>
  <c r="GF35" i="8" s="1"/>
  <c r="GQ89" i="2"/>
  <c r="GG35" i="8" s="1"/>
  <c r="GR89" i="2"/>
  <c r="GH35" i="8" s="1"/>
  <c r="GS89" i="2"/>
  <c r="GI35" i="8" s="1"/>
  <c r="GT89" i="2"/>
  <c r="GJ35" i="8" s="1"/>
  <c r="GU89" i="2"/>
  <c r="GK35" i="8" s="1"/>
  <c r="GV89" i="2"/>
  <c r="GL35" i="8" s="1"/>
  <c r="GW89" i="2"/>
  <c r="GM35" i="8" s="1"/>
  <c r="GX89" i="2"/>
  <c r="GN35" i="8" s="1"/>
  <c r="GY89" i="2"/>
  <c r="GO35" i="8" s="1"/>
  <c r="GZ89" i="2"/>
  <c r="GP35" i="8" s="1"/>
  <c r="HA89" i="2"/>
  <c r="GQ35" i="8" s="1"/>
  <c r="HB89" i="2"/>
  <c r="GR35" i="8" s="1"/>
  <c r="HC89" i="2"/>
  <c r="GS35" i="8" s="1"/>
  <c r="HD89" i="2"/>
  <c r="GT35" i="8" s="1"/>
  <c r="HE89" i="2"/>
  <c r="GU35" i="8" s="1"/>
  <c r="HF89" i="2"/>
  <c r="GV35" i="8" s="1"/>
  <c r="HG89" i="2"/>
  <c r="GW35" i="8" s="1"/>
  <c r="HH89" i="2"/>
  <c r="GX35" i="8" s="1"/>
  <c r="HI89" i="2"/>
  <c r="GY35" i="8" s="1"/>
  <c r="HJ89" i="2"/>
  <c r="HK89" i="2"/>
  <c r="HL89" i="2"/>
  <c r="HM89" i="2"/>
  <c r="HN89" i="2"/>
  <c r="HO89" i="2"/>
  <c r="HP89" i="2"/>
  <c r="HQ89" i="2"/>
  <c r="HR89" i="2"/>
  <c r="HS89" i="2"/>
  <c r="HT89" i="2"/>
  <c r="GO90" i="2"/>
  <c r="GE60" i="8" s="1"/>
  <c r="GP90" i="2"/>
  <c r="GF60" i="8" s="1"/>
  <c r="GQ90" i="2"/>
  <c r="GG60" i="8" s="1"/>
  <c r="GR90" i="2"/>
  <c r="GH60" i="8" s="1"/>
  <c r="GS90" i="2"/>
  <c r="GI60" i="8" s="1"/>
  <c r="GT90" i="2"/>
  <c r="GJ60" i="8" s="1"/>
  <c r="GU90" i="2"/>
  <c r="GK60" i="8" s="1"/>
  <c r="GV90" i="2"/>
  <c r="GL60" i="8" s="1"/>
  <c r="GW90" i="2"/>
  <c r="GM60" i="8" s="1"/>
  <c r="GX90" i="2"/>
  <c r="GN60" i="8" s="1"/>
  <c r="GY90" i="2"/>
  <c r="GO60" i="8" s="1"/>
  <c r="GZ90" i="2"/>
  <c r="GP60" i="8" s="1"/>
  <c r="HA90" i="2"/>
  <c r="GQ60" i="8" s="1"/>
  <c r="HB90" i="2"/>
  <c r="GR60" i="8" s="1"/>
  <c r="HC90" i="2"/>
  <c r="GS60" i="8" s="1"/>
  <c r="HD90" i="2"/>
  <c r="GT60" i="8" s="1"/>
  <c r="HE90" i="2"/>
  <c r="GU60" i="8" s="1"/>
  <c r="HF90" i="2"/>
  <c r="GV60" i="8" s="1"/>
  <c r="HG90" i="2"/>
  <c r="GW60" i="8" s="1"/>
  <c r="HH90" i="2"/>
  <c r="GX60" i="8" s="1"/>
  <c r="HI90" i="2"/>
  <c r="GY60" i="8" s="1"/>
  <c r="HJ90" i="2"/>
  <c r="HK90" i="2"/>
  <c r="HL90" i="2"/>
  <c r="HM90" i="2"/>
  <c r="HN90" i="2"/>
  <c r="HO90" i="2"/>
  <c r="HP90" i="2"/>
  <c r="HQ90" i="2"/>
  <c r="HR90" i="2"/>
  <c r="HS90" i="2"/>
  <c r="HT90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Q92" i="2"/>
  <c r="HR92" i="2"/>
  <c r="HS92" i="2"/>
  <c r="HT92" i="2"/>
  <c r="GO93" i="2"/>
  <c r="GE40" i="8" s="1"/>
  <c r="GP93" i="2"/>
  <c r="GF40" i="8" s="1"/>
  <c r="GQ93" i="2"/>
  <c r="GG40" i="8" s="1"/>
  <c r="GR93" i="2"/>
  <c r="GH40" i="8" s="1"/>
  <c r="GS93" i="2"/>
  <c r="GI40" i="8" s="1"/>
  <c r="GT93" i="2"/>
  <c r="GJ40" i="8" s="1"/>
  <c r="GU93" i="2"/>
  <c r="GK40" i="8" s="1"/>
  <c r="GV93" i="2"/>
  <c r="GL40" i="8" s="1"/>
  <c r="GW93" i="2"/>
  <c r="GM40" i="8" s="1"/>
  <c r="GX93" i="2"/>
  <c r="GN40" i="8" s="1"/>
  <c r="GY93" i="2"/>
  <c r="GO40" i="8" s="1"/>
  <c r="GZ93" i="2"/>
  <c r="GP40" i="8" s="1"/>
  <c r="HA93" i="2"/>
  <c r="GQ40" i="8" s="1"/>
  <c r="HB93" i="2"/>
  <c r="GR40" i="8" s="1"/>
  <c r="HC93" i="2"/>
  <c r="GS40" i="8" s="1"/>
  <c r="HD93" i="2"/>
  <c r="GT40" i="8" s="1"/>
  <c r="HE93" i="2"/>
  <c r="GU40" i="8" s="1"/>
  <c r="HF93" i="2"/>
  <c r="GV40" i="8" s="1"/>
  <c r="HG93" i="2"/>
  <c r="GW40" i="8" s="1"/>
  <c r="HH93" i="2"/>
  <c r="GX40" i="8" s="1"/>
  <c r="HI93" i="2"/>
  <c r="GY40" i="8" s="1"/>
  <c r="HJ93" i="2"/>
  <c r="HK93" i="2"/>
  <c r="HL93" i="2"/>
  <c r="HM93" i="2"/>
  <c r="HN93" i="2"/>
  <c r="HO93" i="2"/>
  <c r="HP93" i="2"/>
  <c r="HQ93" i="2"/>
  <c r="HR93" i="2"/>
  <c r="HS93" i="2"/>
  <c r="HT93" i="2"/>
  <c r="GO94" i="2"/>
  <c r="GE65" i="8" s="1"/>
  <c r="GP94" i="2"/>
  <c r="GF65" i="8" s="1"/>
  <c r="GQ94" i="2"/>
  <c r="GG65" i="8" s="1"/>
  <c r="GR94" i="2"/>
  <c r="GH65" i="8" s="1"/>
  <c r="GS94" i="2"/>
  <c r="GI65" i="8" s="1"/>
  <c r="GT94" i="2"/>
  <c r="GJ65" i="8" s="1"/>
  <c r="GU94" i="2"/>
  <c r="GK65" i="8" s="1"/>
  <c r="GV94" i="2"/>
  <c r="GL65" i="8" s="1"/>
  <c r="GW94" i="2"/>
  <c r="GM65" i="8" s="1"/>
  <c r="GX94" i="2"/>
  <c r="GN65" i="8" s="1"/>
  <c r="GY94" i="2"/>
  <c r="GO65" i="8" s="1"/>
  <c r="GZ94" i="2"/>
  <c r="GP65" i="8" s="1"/>
  <c r="HA94" i="2"/>
  <c r="GQ65" i="8" s="1"/>
  <c r="HB94" i="2"/>
  <c r="GR65" i="8" s="1"/>
  <c r="HC94" i="2"/>
  <c r="GS65" i="8" s="1"/>
  <c r="HD94" i="2"/>
  <c r="GT65" i="8" s="1"/>
  <c r="HE94" i="2"/>
  <c r="GU65" i="8" s="1"/>
  <c r="HF94" i="2"/>
  <c r="GV65" i="8" s="1"/>
  <c r="HG94" i="2"/>
  <c r="GW65" i="8" s="1"/>
  <c r="HH94" i="2"/>
  <c r="GX65" i="8" s="1"/>
  <c r="HI94" i="2"/>
  <c r="GY65" i="8" s="1"/>
  <c r="HJ94" i="2"/>
  <c r="HK94" i="2"/>
  <c r="HL94" i="2"/>
  <c r="HM94" i="2"/>
  <c r="HN94" i="2"/>
  <c r="HO94" i="2"/>
  <c r="HP94" i="2"/>
  <c r="HQ94" i="2"/>
  <c r="HR94" i="2"/>
  <c r="HS94" i="2"/>
  <c r="HT94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Q96" i="2"/>
  <c r="HR96" i="2"/>
  <c r="HS96" i="2"/>
  <c r="HT96" i="2"/>
  <c r="GO97" i="2"/>
  <c r="GE45" i="8" s="1"/>
  <c r="GP97" i="2"/>
  <c r="GF45" i="8" s="1"/>
  <c r="GQ97" i="2"/>
  <c r="GG45" i="8" s="1"/>
  <c r="GR97" i="2"/>
  <c r="GH45" i="8" s="1"/>
  <c r="GS97" i="2"/>
  <c r="GI45" i="8" s="1"/>
  <c r="GT97" i="2"/>
  <c r="GJ45" i="8" s="1"/>
  <c r="GU97" i="2"/>
  <c r="GK45" i="8" s="1"/>
  <c r="GV97" i="2"/>
  <c r="GL45" i="8" s="1"/>
  <c r="GW97" i="2"/>
  <c r="GM45" i="8" s="1"/>
  <c r="GX97" i="2"/>
  <c r="GN45" i="8" s="1"/>
  <c r="GY97" i="2"/>
  <c r="GO45" i="8" s="1"/>
  <c r="GZ97" i="2"/>
  <c r="GP45" i="8" s="1"/>
  <c r="HA97" i="2"/>
  <c r="GQ45" i="8" s="1"/>
  <c r="HB97" i="2"/>
  <c r="GR45" i="8" s="1"/>
  <c r="HC97" i="2"/>
  <c r="GS45" i="8" s="1"/>
  <c r="HD97" i="2"/>
  <c r="GT45" i="8" s="1"/>
  <c r="HE97" i="2"/>
  <c r="GU45" i="8" s="1"/>
  <c r="HF97" i="2"/>
  <c r="GV45" i="8" s="1"/>
  <c r="HG97" i="2"/>
  <c r="GW45" i="8" s="1"/>
  <c r="HH97" i="2"/>
  <c r="GX45" i="8" s="1"/>
  <c r="HI97" i="2"/>
  <c r="GY45" i="8" s="1"/>
  <c r="HJ97" i="2"/>
  <c r="HK97" i="2"/>
  <c r="HL97" i="2"/>
  <c r="HM97" i="2"/>
  <c r="HN97" i="2"/>
  <c r="HO97" i="2"/>
  <c r="HP97" i="2"/>
  <c r="HQ97" i="2"/>
  <c r="HR97" i="2"/>
  <c r="HS97" i="2"/>
  <c r="HT97" i="2"/>
  <c r="GO98" i="2"/>
  <c r="GE70" i="8" s="1"/>
  <c r="GP98" i="2"/>
  <c r="GF70" i="8" s="1"/>
  <c r="GQ98" i="2"/>
  <c r="GG70" i="8" s="1"/>
  <c r="GR98" i="2"/>
  <c r="GH70" i="8" s="1"/>
  <c r="GS98" i="2"/>
  <c r="GI70" i="8" s="1"/>
  <c r="GT98" i="2"/>
  <c r="GJ70" i="8" s="1"/>
  <c r="GU98" i="2"/>
  <c r="GK70" i="8" s="1"/>
  <c r="GV98" i="2"/>
  <c r="GL70" i="8" s="1"/>
  <c r="GW98" i="2"/>
  <c r="GM70" i="8" s="1"/>
  <c r="GX98" i="2"/>
  <c r="GN70" i="8" s="1"/>
  <c r="GY98" i="2"/>
  <c r="GO70" i="8" s="1"/>
  <c r="GZ98" i="2"/>
  <c r="GP70" i="8" s="1"/>
  <c r="HA98" i="2"/>
  <c r="GQ70" i="8" s="1"/>
  <c r="HB98" i="2"/>
  <c r="GR70" i="8" s="1"/>
  <c r="HC98" i="2"/>
  <c r="GS70" i="8" s="1"/>
  <c r="HD98" i="2"/>
  <c r="GT70" i="8" s="1"/>
  <c r="HE98" i="2"/>
  <c r="GU70" i="8" s="1"/>
  <c r="HF98" i="2"/>
  <c r="GV70" i="8" s="1"/>
  <c r="HG98" i="2"/>
  <c r="GW70" i="8" s="1"/>
  <c r="HH98" i="2"/>
  <c r="GX70" i="8" s="1"/>
  <c r="HI98" i="2"/>
  <c r="GY70" i="8" s="1"/>
  <c r="HJ98" i="2"/>
  <c r="HK98" i="2"/>
  <c r="HL98" i="2"/>
  <c r="HM98" i="2"/>
  <c r="HN98" i="2"/>
  <c r="HO98" i="2"/>
  <c r="HP98" i="2"/>
  <c r="HQ98" i="2"/>
  <c r="HR98" i="2"/>
  <c r="HS98" i="2"/>
  <c r="HT98" i="2"/>
  <c r="GO101" i="2"/>
  <c r="GE50" i="8" s="1"/>
  <c r="GP101" i="2"/>
  <c r="GF50" i="8" s="1"/>
  <c r="GQ101" i="2"/>
  <c r="GG50" i="8" s="1"/>
  <c r="GR101" i="2"/>
  <c r="GH50" i="8" s="1"/>
  <c r="GS101" i="2"/>
  <c r="GI50" i="8" s="1"/>
  <c r="GT101" i="2"/>
  <c r="GJ50" i="8" s="1"/>
  <c r="GU101" i="2"/>
  <c r="GK50" i="8" s="1"/>
  <c r="GV101" i="2"/>
  <c r="GL50" i="8" s="1"/>
  <c r="GW101" i="2"/>
  <c r="GM50" i="8" s="1"/>
  <c r="GX101" i="2"/>
  <c r="GN50" i="8" s="1"/>
  <c r="GY101" i="2"/>
  <c r="GO50" i="8" s="1"/>
  <c r="GZ101" i="2"/>
  <c r="GP50" i="8" s="1"/>
  <c r="HA101" i="2"/>
  <c r="GQ50" i="8" s="1"/>
  <c r="HB101" i="2"/>
  <c r="GR50" i="8" s="1"/>
  <c r="HC101" i="2"/>
  <c r="GS50" i="8" s="1"/>
  <c r="HD101" i="2"/>
  <c r="GT50" i="8" s="1"/>
  <c r="HE101" i="2"/>
  <c r="GU50" i="8" s="1"/>
  <c r="HF101" i="2"/>
  <c r="GV50" i="8" s="1"/>
  <c r="HG101" i="2"/>
  <c r="GW50" i="8" s="1"/>
  <c r="HH101" i="2"/>
  <c r="GX50" i="8" s="1"/>
  <c r="HI101" i="2"/>
  <c r="GY50" i="8" s="1"/>
  <c r="HJ101" i="2"/>
  <c r="HK101" i="2"/>
  <c r="HL101" i="2"/>
  <c r="HM101" i="2"/>
  <c r="HN101" i="2"/>
  <c r="HO101" i="2"/>
  <c r="HP101" i="2"/>
  <c r="HQ101" i="2"/>
  <c r="HR101" i="2"/>
  <c r="HS101" i="2"/>
  <c r="HT101" i="2"/>
  <c r="GO102" i="2"/>
  <c r="GE75" i="8" s="1"/>
  <c r="GP102" i="2"/>
  <c r="GF75" i="8" s="1"/>
  <c r="GQ102" i="2"/>
  <c r="GG75" i="8" s="1"/>
  <c r="GR102" i="2"/>
  <c r="GH75" i="8" s="1"/>
  <c r="GS102" i="2"/>
  <c r="GI75" i="8" s="1"/>
  <c r="GT102" i="2"/>
  <c r="GJ75" i="8" s="1"/>
  <c r="GU102" i="2"/>
  <c r="GK75" i="8" s="1"/>
  <c r="GV102" i="2"/>
  <c r="GL75" i="8" s="1"/>
  <c r="GW102" i="2"/>
  <c r="GM75" i="8" s="1"/>
  <c r="GX102" i="2"/>
  <c r="GN75" i="8" s="1"/>
  <c r="GY102" i="2"/>
  <c r="GO75" i="8" s="1"/>
  <c r="GZ102" i="2"/>
  <c r="GP75" i="8" s="1"/>
  <c r="HA102" i="2"/>
  <c r="GQ75" i="8" s="1"/>
  <c r="HB102" i="2"/>
  <c r="GR75" i="8" s="1"/>
  <c r="HC102" i="2"/>
  <c r="GS75" i="8" s="1"/>
  <c r="HD102" i="2"/>
  <c r="GT75" i="8" s="1"/>
  <c r="HE102" i="2"/>
  <c r="GU75" i="8" s="1"/>
  <c r="HF102" i="2"/>
  <c r="GV75" i="8" s="1"/>
  <c r="HG102" i="2"/>
  <c r="GW75" i="8" s="1"/>
  <c r="HH102" i="2"/>
  <c r="GX75" i="8" s="1"/>
  <c r="HI102" i="2"/>
  <c r="GY75" i="8" s="1"/>
  <c r="HJ102" i="2"/>
  <c r="HK102" i="2"/>
  <c r="HL102" i="2"/>
  <c r="HM102" i="2"/>
  <c r="HN102" i="2"/>
  <c r="HO102" i="2"/>
  <c r="HP102" i="2"/>
  <c r="HQ102" i="2"/>
  <c r="HR102" i="2"/>
  <c r="HS102" i="2"/>
  <c r="HT102" i="2"/>
  <c r="GO104" i="2"/>
  <c r="GP104" i="2"/>
  <c r="GQ104" i="2"/>
  <c r="GR104" i="2"/>
  <c r="GS104" i="2"/>
  <c r="GT104" i="2"/>
  <c r="GU104" i="2"/>
  <c r="GV104" i="2"/>
  <c r="GW104" i="2"/>
  <c r="GX104" i="2"/>
  <c r="GY104" i="2"/>
  <c r="GZ104" i="2"/>
  <c r="HA104" i="2"/>
  <c r="HB104" i="2"/>
  <c r="HC104" i="2"/>
  <c r="HD104" i="2"/>
  <c r="HE104" i="2"/>
  <c r="HF104" i="2"/>
  <c r="HG104" i="2"/>
  <c r="HH104" i="2"/>
  <c r="HI104" i="2"/>
  <c r="HJ104" i="2"/>
  <c r="HK104" i="2"/>
  <c r="HL104" i="2"/>
  <c r="HM104" i="2"/>
  <c r="HN104" i="2"/>
  <c r="HO104" i="2"/>
  <c r="HP104" i="2"/>
  <c r="HQ104" i="2"/>
  <c r="HR104" i="2"/>
  <c r="HS104" i="2"/>
  <c r="HT104" i="2"/>
  <c r="GO105" i="2"/>
  <c r="GP105" i="2"/>
  <c r="GQ105" i="2"/>
  <c r="GR105" i="2"/>
  <c r="GS105" i="2"/>
  <c r="GT105" i="2"/>
  <c r="GU105" i="2"/>
  <c r="GV105" i="2"/>
  <c r="GW105" i="2"/>
  <c r="GX105" i="2"/>
  <c r="GY105" i="2"/>
  <c r="GZ105" i="2"/>
  <c r="HA105" i="2"/>
  <c r="HB105" i="2"/>
  <c r="HC105" i="2"/>
  <c r="HD105" i="2"/>
  <c r="HE105" i="2"/>
  <c r="HF105" i="2"/>
  <c r="HG105" i="2"/>
  <c r="HH105" i="2"/>
  <c r="HI105" i="2"/>
  <c r="HJ105" i="2"/>
  <c r="HK105" i="2"/>
  <c r="HL105" i="2"/>
  <c r="HM105" i="2"/>
  <c r="HN105" i="2"/>
  <c r="HO105" i="2"/>
  <c r="HP105" i="2"/>
  <c r="HQ105" i="2"/>
  <c r="HR105" i="2"/>
  <c r="HS105" i="2"/>
  <c r="HT105" i="2"/>
  <c r="GO106" i="2"/>
  <c r="GP106" i="2"/>
  <c r="GQ106" i="2"/>
  <c r="GR106" i="2"/>
  <c r="GS106" i="2"/>
  <c r="GT106" i="2"/>
  <c r="GU106" i="2"/>
  <c r="GV106" i="2"/>
  <c r="GW106" i="2"/>
  <c r="GX106" i="2"/>
  <c r="GY106" i="2"/>
  <c r="GZ106" i="2"/>
  <c r="HA106" i="2"/>
  <c r="HB106" i="2"/>
  <c r="HC106" i="2"/>
  <c r="HD106" i="2"/>
  <c r="HE106" i="2"/>
  <c r="HF106" i="2"/>
  <c r="HG106" i="2"/>
  <c r="HH106" i="2"/>
  <c r="HI106" i="2"/>
  <c r="HJ106" i="2"/>
  <c r="HK106" i="2"/>
  <c r="HL106" i="2"/>
  <c r="HM106" i="2"/>
  <c r="HN106" i="2"/>
  <c r="HO106" i="2"/>
  <c r="HP106" i="2"/>
  <c r="HQ106" i="2"/>
  <c r="HR106" i="2"/>
  <c r="HS106" i="2"/>
  <c r="HT106" i="2"/>
  <c r="HU62" i="2"/>
  <c r="HU63" i="2"/>
  <c r="HU64" i="2"/>
  <c r="HU65" i="2"/>
  <c r="HU66" i="2"/>
  <c r="HU67" i="2"/>
  <c r="HU68" i="2"/>
  <c r="HU69" i="2"/>
  <c r="HU70" i="2"/>
  <c r="HU61" i="2"/>
  <c r="HU49" i="2"/>
  <c r="HU50" i="2"/>
  <c r="HU51" i="2"/>
  <c r="HU52" i="2"/>
  <c r="HU53" i="2"/>
  <c r="HU54" i="2"/>
  <c r="HU55" i="2"/>
  <c r="HU56" i="2"/>
  <c r="HU57" i="2"/>
  <c r="HU58" i="2"/>
  <c r="HU48" i="2"/>
  <c r="HU36" i="2"/>
  <c r="HU37" i="2"/>
  <c r="HU38" i="2"/>
  <c r="HU39" i="2"/>
  <c r="HU40" i="2"/>
  <c r="HU41" i="2"/>
  <c r="HU42" i="2"/>
  <c r="HU43" i="2"/>
  <c r="HU44" i="2"/>
  <c r="HU45" i="2"/>
  <c r="HU35" i="2"/>
  <c r="HU24" i="2"/>
  <c r="HU25" i="2"/>
  <c r="HU26" i="2"/>
  <c r="HU27" i="2"/>
  <c r="HU28" i="2"/>
  <c r="HU29" i="2"/>
  <c r="HU30" i="2"/>
  <c r="HU31" i="2"/>
  <c r="HU32" i="2"/>
  <c r="HU23" i="2"/>
  <c r="HU22" i="2"/>
  <c r="HU10" i="2"/>
  <c r="HU11" i="2"/>
  <c r="HU12" i="2"/>
  <c r="HU13" i="2"/>
  <c r="HU14" i="2"/>
  <c r="HU15" i="2"/>
  <c r="HU16" i="2"/>
  <c r="HU17" i="2"/>
  <c r="HU18" i="2"/>
  <c r="HU19" i="2"/>
  <c r="GP72" i="2"/>
  <c r="GO72" i="2"/>
  <c r="GP59" i="2"/>
  <c r="GO59" i="2"/>
  <c r="GP46" i="2"/>
  <c r="GO46" i="2"/>
  <c r="GP33" i="2"/>
  <c r="GO33" i="2"/>
  <c r="GO20" i="2"/>
  <c r="HU34" i="1"/>
  <c r="HU21" i="1"/>
  <c r="HU8" i="1"/>
  <c r="GP38" i="6"/>
  <c r="GQ38" i="6"/>
  <c r="GR38" i="6"/>
  <c r="GS38" i="6"/>
  <c r="GT38" i="6"/>
  <c r="GU38" i="6"/>
  <c r="GV38" i="6"/>
  <c r="GW38" i="6"/>
  <c r="GX38" i="6"/>
  <c r="GY38" i="6"/>
  <c r="GZ38" i="6"/>
  <c r="HA38" i="6"/>
  <c r="HB38" i="6"/>
  <c r="HC38" i="6"/>
  <c r="HD38" i="6"/>
  <c r="HE38" i="6"/>
  <c r="HF38" i="6"/>
  <c r="HG38" i="6"/>
  <c r="HH38" i="6"/>
  <c r="HI38" i="6"/>
  <c r="HJ38" i="6"/>
  <c r="HK38" i="6"/>
  <c r="HL38" i="6"/>
  <c r="HM38" i="6"/>
  <c r="HN38" i="6"/>
  <c r="HO38" i="6"/>
  <c r="HP38" i="6"/>
  <c r="HQ38" i="6"/>
  <c r="HR38" i="6"/>
  <c r="HS38" i="6"/>
  <c r="HT38" i="6"/>
  <c r="GP39" i="6"/>
  <c r="GQ39" i="6"/>
  <c r="GR39" i="6"/>
  <c r="GS39" i="6"/>
  <c r="GT39" i="6"/>
  <c r="GU39" i="6"/>
  <c r="GV39" i="6"/>
  <c r="GW39" i="6"/>
  <c r="GX39" i="6"/>
  <c r="GY39" i="6"/>
  <c r="GZ39" i="6"/>
  <c r="HA39" i="6"/>
  <c r="HB39" i="6"/>
  <c r="HC39" i="6"/>
  <c r="HD39" i="6"/>
  <c r="HE39" i="6"/>
  <c r="HF39" i="6"/>
  <c r="HG39" i="6"/>
  <c r="HH39" i="6"/>
  <c r="HI39" i="6"/>
  <c r="HJ39" i="6"/>
  <c r="HK39" i="6"/>
  <c r="HL39" i="6"/>
  <c r="HM39" i="6"/>
  <c r="HN39" i="6"/>
  <c r="HO39" i="6"/>
  <c r="HP39" i="6"/>
  <c r="HQ39" i="6"/>
  <c r="HR39" i="6"/>
  <c r="HS39" i="6"/>
  <c r="HT39" i="6"/>
  <c r="GP40" i="6"/>
  <c r="GF61" i="8" s="1"/>
  <c r="GQ40" i="6"/>
  <c r="GG61" i="8" s="1"/>
  <c r="GR40" i="6"/>
  <c r="GH61" i="8" s="1"/>
  <c r="GS40" i="6"/>
  <c r="GI61" i="8" s="1"/>
  <c r="GT40" i="6"/>
  <c r="GJ61" i="8" s="1"/>
  <c r="GU40" i="6"/>
  <c r="GK61" i="8" s="1"/>
  <c r="GV40" i="6"/>
  <c r="GL61" i="8" s="1"/>
  <c r="GW40" i="6"/>
  <c r="GM61" i="8" s="1"/>
  <c r="GX40" i="6"/>
  <c r="GN61" i="8" s="1"/>
  <c r="GY40" i="6"/>
  <c r="GO61" i="8" s="1"/>
  <c r="GZ40" i="6"/>
  <c r="GP61" i="8" s="1"/>
  <c r="HA40" i="6"/>
  <c r="GQ61" i="8" s="1"/>
  <c r="HB40" i="6"/>
  <c r="GR61" i="8" s="1"/>
  <c r="HC40" i="6"/>
  <c r="GS61" i="8" s="1"/>
  <c r="HD40" i="6"/>
  <c r="GT61" i="8" s="1"/>
  <c r="HE40" i="6"/>
  <c r="GU61" i="8" s="1"/>
  <c r="HF40" i="6"/>
  <c r="GV61" i="8" s="1"/>
  <c r="HG40" i="6"/>
  <c r="GW61" i="8" s="1"/>
  <c r="HH40" i="6"/>
  <c r="GX61" i="8" s="1"/>
  <c r="HI40" i="6"/>
  <c r="GY61" i="8" s="1"/>
  <c r="HJ40" i="6"/>
  <c r="HK40" i="6"/>
  <c r="HL40" i="6"/>
  <c r="HM40" i="6"/>
  <c r="HN40" i="6"/>
  <c r="HO40" i="6"/>
  <c r="HP40" i="6"/>
  <c r="HQ40" i="6"/>
  <c r="HR40" i="6"/>
  <c r="HS40" i="6"/>
  <c r="HT40" i="6"/>
  <c r="GP42" i="6"/>
  <c r="GQ42" i="6"/>
  <c r="GR42" i="6"/>
  <c r="GS42" i="6"/>
  <c r="GT42" i="6"/>
  <c r="GU42" i="6"/>
  <c r="GV42" i="6"/>
  <c r="GW42" i="6"/>
  <c r="GX42" i="6"/>
  <c r="GY42" i="6"/>
  <c r="GZ42" i="6"/>
  <c r="HA42" i="6"/>
  <c r="HB42" i="6"/>
  <c r="HC42" i="6"/>
  <c r="HD42" i="6"/>
  <c r="HE42" i="6"/>
  <c r="HF42" i="6"/>
  <c r="HG42" i="6"/>
  <c r="HH42" i="6"/>
  <c r="HI42" i="6"/>
  <c r="HJ42" i="6"/>
  <c r="HK42" i="6"/>
  <c r="HL42" i="6"/>
  <c r="HM42" i="6"/>
  <c r="HN42" i="6"/>
  <c r="HO42" i="6"/>
  <c r="HP42" i="6"/>
  <c r="HQ42" i="6"/>
  <c r="HR42" i="6"/>
  <c r="HS42" i="6"/>
  <c r="HT42" i="6"/>
  <c r="GP43" i="6"/>
  <c r="GF41" i="8" s="1"/>
  <c r="GQ43" i="6"/>
  <c r="GG41" i="8" s="1"/>
  <c r="GR43" i="6"/>
  <c r="GH41" i="8" s="1"/>
  <c r="GS43" i="6"/>
  <c r="GI41" i="8" s="1"/>
  <c r="GT43" i="6"/>
  <c r="GJ41" i="8" s="1"/>
  <c r="GU43" i="6"/>
  <c r="GK41" i="8" s="1"/>
  <c r="GV43" i="6"/>
  <c r="GL41" i="8" s="1"/>
  <c r="GW43" i="6"/>
  <c r="GM41" i="8" s="1"/>
  <c r="GX43" i="6"/>
  <c r="GN41" i="8" s="1"/>
  <c r="GY43" i="6"/>
  <c r="GO41" i="8" s="1"/>
  <c r="GZ43" i="6"/>
  <c r="GP41" i="8" s="1"/>
  <c r="HA43" i="6"/>
  <c r="GQ41" i="8" s="1"/>
  <c r="HB43" i="6"/>
  <c r="GR41" i="8" s="1"/>
  <c r="HC43" i="6"/>
  <c r="GS41" i="8" s="1"/>
  <c r="HD43" i="6"/>
  <c r="GT41" i="8" s="1"/>
  <c r="HE43" i="6"/>
  <c r="GU41" i="8" s="1"/>
  <c r="HF43" i="6"/>
  <c r="GV41" i="8" s="1"/>
  <c r="HG43" i="6"/>
  <c r="GW41" i="8" s="1"/>
  <c r="HH43" i="6"/>
  <c r="GX41" i="8" s="1"/>
  <c r="HI43" i="6"/>
  <c r="GY41" i="8" s="1"/>
  <c r="HJ43" i="6"/>
  <c r="HK43" i="6"/>
  <c r="HL43" i="6"/>
  <c r="HM43" i="6"/>
  <c r="HN43" i="6"/>
  <c r="HO43" i="6"/>
  <c r="HP43" i="6"/>
  <c r="HQ43" i="6"/>
  <c r="HR43" i="6"/>
  <c r="HS43" i="6"/>
  <c r="HT43" i="6"/>
  <c r="GP44" i="6"/>
  <c r="GF66" i="8" s="1"/>
  <c r="GQ44" i="6"/>
  <c r="GG66" i="8" s="1"/>
  <c r="GR44" i="6"/>
  <c r="GH66" i="8" s="1"/>
  <c r="GS44" i="6"/>
  <c r="GI66" i="8" s="1"/>
  <c r="GT44" i="6"/>
  <c r="GJ66" i="8" s="1"/>
  <c r="GU44" i="6"/>
  <c r="GK66" i="8" s="1"/>
  <c r="GV44" i="6"/>
  <c r="GL66" i="8" s="1"/>
  <c r="GW44" i="6"/>
  <c r="GM66" i="8" s="1"/>
  <c r="GX44" i="6"/>
  <c r="GN66" i="8" s="1"/>
  <c r="GY44" i="6"/>
  <c r="GO66" i="8" s="1"/>
  <c r="GZ44" i="6"/>
  <c r="GP66" i="8" s="1"/>
  <c r="HA44" i="6"/>
  <c r="GQ66" i="8" s="1"/>
  <c r="HB44" i="6"/>
  <c r="GR66" i="8" s="1"/>
  <c r="HC44" i="6"/>
  <c r="GS66" i="8" s="1"/>
  <c r="HD44" i="6"/>
  <c r="GT66" i="8" s="1"/>
  <c r="HE44" i="6"/>
  <c r="GU66" i="8" s="1"/>
  <c r="HF44" i="6"/>
  <c r="GV66" i="8" s="1"/>
  <c r="HG44" i="6"/>
  <c r="GW66" i="8" s="1"/>
  <c r="HH44" i="6"/>
  <c r="GX66" i="8" s="1"/>
  <c r="HI44" i="6"/>
  <c r="GY66" i="8" s="1"/>
  <c r="HJ44" i="6"/>
  <c r="HK44" i="6"/>
  <c r="HL44" i="6"/>
  <c r="HM44" i="6"/>
  <c r="HN44" i="6"/>
  <c r="HO44" i="6"/>
  <c r="HP44" i="6"/>
  <c r="HQ44" i="6"/>
  <c r="HR44" i="6"/>
  <c r="HS44" i="6"/>
  <c r="HT44" i="6"/>
  <c r="HU34" i="6"/>
  <c r="HU23" i="6"/>
  <c r="HU24" i="6"/>
  <c r="HU25" i="6"/>
  <c r="HU26" i="6"/>
  <c r="HU27" i="6"/>
  <c r="HU28" i="6"/>
  <c r="HU29" i="6"/>
  <c r="HU30" i="6"/>
  <c r="HU31" i="6"/>
  <c r="HU32" i="6"/>
  <c r="HU22" i="6"/>
  <c r="HU10" i="6"/>
  <c r="HU11" i="6"/>
  <c r="HU12" i="6"/>
  <c r="HU13" i="6"/>
  <c r="HU14" i="6"/>
  <c r="HU15" i="6"/>
  <c r="HU16" i="6"/>
  <c r="HU17" i="6"/>
  <c r="HU18" i="6"/>
  <c r="HU19" i="6"/>
  <c r="HU9" i="6"/>
  <c r="GP33" i="6"/>
  <c r="GO33" i="6"/>
  <c r="GP20" i="6"/>
  <c r="GO20" i="6"/>
  <c r="HU72" i="1"/>
  <c r="HU48" i="1"/>
  <c r="HU49" i="1"/>
  <c r="HU50" i="1"/>
  <c r="HU51" i="1"/>
  <c r="HU52" i="1"/>
  <c r="HU53" i="1"/>
  <c r="HU54" i="1"/>
  <c r="HU55" i="1"/>
  <c r="HU56" i="1"/>
  <c r="HU57" i="1"/>
  <c r="HU47" i="1"/>
  <c r="HU35" i="1"/>
  <c r="HU36" i="1"/>
  <c r="HU37" i="1"/>
  <c r="HU38" i="1"/>
  <c r="HU39" i="1"/>
  <c r="HU40" i="1"/>
  <c r="HU41" i="1"/>
  <c r="HU42" i="1"/>
  <c r="HU43" i="1"/>
  <c r="HU44" i="1"/>
  <c r="HU22" i="1"/>
  <c r="HU23" i="1"/>
  <c r="HU24" i="1"/>
  <c r="HU25" i="1"/>
  <c r="HU26" i="1"/>
  <c r="HU27" i="1"/>
  <c r="HU28" i="1"/>
  <c r="HU29" i="1"/>
  <c r="HU30" i="1"/>
  <c r="HU31" i="1"/>
  <c r="HU9" i="1"/>
  <c r="HU10" i="1"/>
  <c r="HU11" i="1"/>
  <c r="HU12" i="1"/>
  <c r="HU13" i="1"/>
  <c r="HU14" i="1"/>
  <c r="HU15" i="1"/>
  <c r="HU16" i="1"/>
  <c r="HU17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GP76" i="1"/>
  <c r="GQ76" i="1"/>
  <c r="GR76" i="1"/>
  <c r="GS76" i="1"/>
  <c r="GT76" i="1"/>
  <c r="GU76" i="1"/>
  <c r="GV76" i="1"/>
  <c r="GW76" i="1"/>
  <c r="GX76" i="1"/>
  <c r="GY76" i="1"/>
  <c r="GZ76" i="1"/>
  <c r="HA76" i="1"/>
  <c r="HB76" i="1"/>
  <c r="HC76" i="1"/>
  <c r="HD76" i="1"/>
  <c r="HE76" i="1"/>
  <c r="HF76" i="1"/>
  <c r="HG76" i="1"/>
  <c r="HH76" i="1"/>
  <c r="HI76" i="1"/>
  <c r="HJ76" i="1"/>
  <c r="HK76" i="1"/>
  <c r="HL76" i="1"/>
  <c r="HM76" i="1"/>
  <c r="HN76" i="1"/>
  <c r="HO76" i="1"/>
  <c r="HP76" i="1"/>
  <c r="HQ76" i="1"/>
  <c r="HR76" i="1"/>
  <c r="HS76" i="1"/>
  <c r="HT76" i="1"/>
  <c r="GP77" i="1"/>
  <c r="GF59" i="8" s="1"/>
  <c r="GQ77" i="1"/>
  <c r="GG59" i="8" s="1"/>
  <c r="GR77" i="1"/>
  <c r="GH59" i="8" s="1"/>
  <c r="GS77" i="1"/>
  <c r="GI59" i="8" s="1"/>
  <c r="GT77" i="1"/>
  <c r="GJ59" i="8" s="1"/>
  <c r="GU77" i="1"/>
  <c r="GK59" i="8" s="1"/>
  <c r="GV77" i="1"/>
  <c r="GL59" i="8" s="1"/>
  <c r="GW77" i="1"/>
  <c r="GM59" i="8" s="1"/>
  <c r="GX77" i="1"/>
  <c r="GN59" i="8" s="1"/>
  <c r="GY77" i="1"/>
  <c r="GO59" i="8" s="1"/>
  <c r="GZ77" i="1"/>
  <c r="GP59" i="8" s="1"/>
  <c r="HA77" i="1"/>
  <c r="GQ59" i="8" s="1"/>
  <c r="HB77" i="1"/>
  <c r="GR59" i="8" s="1"/>
  <c r="HC77" i="1"/>
  <c r="GS59" i="8" s="1"/>
  <c r="HD77" i="1"/>
  <c r="GT59" i="8" s="1"/>
  <c r="HE77" i="1"/>
  <c r="GU59" i="8" s="1"/>
  <c r="HF77" i="1"/>
  <c r="GV59" i="8" s="1"/>
  <c r="HG77" i="1"/>
  <c r="GW59" i="8" s="1"/>
  <c r="HH77" i="1"/>
  <c r="GX59" i="8" s="1"/>
  <c r="HI77" i="1"/>
  <c r="GY59" i="8" s="1"/>
  <c r="HJ77" i="1"/>
  <c r="HK77" i="1"/>
  <c r="HL77" i="1"/>
  <c r="HM77" i="1"/>
  <c r="HN77" i="1"/>
  <c r="HO77" i="1"/>
  <c r="HP77" i="1"/>
  <c r="HQ77" i="1"/>
  <c r="HR77" i="1"/>
  <c r="HS77" i="1"/>
  <c r="HT77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GP80" i="1"/>
  <c r="GF39" i="8" s="1"/>
  <c r="GQ80" i="1"/>
  <c r="GG39" i="8" s="1"/>
  <c r="GR80" i="1"/>
  <c r="GH39" i="8" s="1"/>
  <c r="GS80" i="1"/>
  <c r="GI39" i="8" s="1"/>
  <c r="GT80" i="1"/>
  <c r="GJ39" i="8" s="1"/>
  <c r="GU80" i="1"/>
  <c r="GK39" i="8" s="1"/>
  <c r="GV80" i="1"/>
  <c r="GL39" i="8" s="1"/>
  <c r="GW80" i="1"/>
  <c r="GM39" i="8" s="1"/>
  <c r="GX80" i="1"/>
  <c r="GN39" i="8" s="1"/>
  <c r="GY80" i="1"/>
  <c r="GO39" i="8" s="1"/>
  <c r="GZ80" i="1"/>
  <c r="GP39" i="8" s="1"/>
  <c r="HA80" i="1"/>
  <c r="GQ39" i="8" s="1"/>
  <c r="HB80" i="1"/>
  <c r="GR39" i="8" s="1"/>
  <c r="HC80" i="1"/>
  <c r="GS39" i="8" s="1"/>
  <c r="HD80" i="1"/>
  <c r="GT39" i="8" s="1"/>
  <c r="HE80" i="1"/>
  <c r="GU39" i="8" s="1"/>
  <c r="HF80" i="1"/>
  <c r="GV39" i="8" s="1"/>
  <c r="HG80" i="1"/>
  <c r="GW39" i="8" s="1"/>
  <c r="HH80" i="1"/>
  <c r="GX39" i="8" s="1"/>
  <c r="HI80" i="1"/>
  <c r="GY39" i="8" s="1"/>
  <c r="HJ80" i="1"/>
  <c r="HK80" i="1"/>
  <c r="HL80" i="1"/>
  <c r="HM80" i="1"/>
  <c r="HN80" i="1"/>
  <c r="HO80" i="1"/>
  <c r="HP80" i="1"/>
  <c r="HQ80" i="1"/>
  <c r="HR80" i="1"/>
  <c r="HS80" i="1"/>
  <c r="HT80" i="1"/>
  <c r="GP81" i="1"/>
  <c r="GF64" i="8" s="1"/>
  <c r="GQ81" i="1"/>
  <c r="GG64" i="8" s="1"/>
  <c r="GR81" i="1"/>
  <c r="GH64" i="8" s="1"/>
  <c r="GS81" i="1"/>
  <c r="GI64" i="8" s="1"/>
  <c r="GT81" i="1"/>
  <c r="GJ64" i="8" s="1"/>
  <c r="GU81" i="1"/>
  <c r="GK64" i="8" s="1"/>
  <c r="GV81" i="1"/>
  <c r="GL64" i="8" s="1"/>
  <c r="GW81" i="1"/>
  <c r="GM64" i="8" s="1"/>
  <c r="GX81" i="1"/>
  <c r="GN64" i="8" s="1"/>
  <c r="GY81" i="1"/>
  <c r="GO64" i="8" s="1"/>
  <c r="GZ81" i="1"/>
  <c r="GP64" i="8" s="1"/>
  <c r="HA81" i="1"/>
  <c r="GQ64" i="8" s="1"/>
  <c r="HC81" i="1"/>
  <c r="GS64" i="8" s="1"/>
  <c r="HD81" i="1"/>
  <c r="GT64" i="8" s="1"/>
  <c r="HE81" i="1"/>
  <c r="GU64" i="8" s="1"/>
  <c r="HF81" i="1"/>
  <c r="GV64" i="8" s="1"/>
  <c r="HG81" i="1"/>
  <c r="GW64" i="8" s="1"/>
  <c r="HH81" i="1"/>
  <c r="GX64" i="8" s="1"/>
  <c r="HI81" i="1"/>
  <c r="GY64" i="8" s="1"/>
  <c r="HJ81" i="1"/>
  <c r="HK81" i="1"/>
  <c r="HL81" i="1"/>
  <c r="HM81" i="1"/>
  <c r="HN81" i="1"/>
  <c r="HO81" i="1"/>
  <c r="HP81" i="1"/>
  <c r="HQ81" i="1"/>
  <c r="HR81" i="1"/>
  <c r="HS81" i="1"/>
  <c r="HT81" i="1"/>
  <c r="GP58" i="1"/>
  <c r="GP45" i="1"/>
  <c r="GP32" i="1"/>
  <c r="GP19" i="1"/>
  <c r="GO58" i="1"/>
  <c r="GO45" i="1"/>
  <c r="GO32" i="1"/>
  <c r="GO19" i="1"/>
  <c r="GN57" i="4"/>
  <c r="GN45" i="4"/>
  <c r="GN33" i="4"/>
  <c r="GN20" i="4"/>
  <c r="GN72" i="2"/>
  <c r="GN59" i="2"/>
  <c r="GN46" i="2"/>
  <c r="GN33" i="2"/>
  <c r="GN20" i="2"/>
  <c r="GN33" i="6"/>
  <c r="GN20" i="6"/>
  <c r="GN58" i="1"/>
  <c r="GN45" i="1"/>
  <c r="GN32" i="1"/>
  <c r="GN19" i="1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M57" i="4"/>
  <c r="GM45" i="4"/>
  <c r="GM33" i="4"/>
  <c r="GM20" i="4"/>
  <c r="GM33" i="6"/>
  <c r="GM20" i="6"/>
  <c r="GM58" i="1"/>
  <c r="GM45" i="1"/>
  <c r="GM32" i="1"/>
  <c r="GM19" i="1"/>
  <c r="GM72" i="2"/>
  <c r="GM59" i="2"/>
  <c r="GM46" i="2"/>
  <c r="GM33" i="2"/>
  <c r="GL57" i="4"/>
  <c r="GL45" i="4"/>
  <c r="GL33" i="4"/>
  <c r="GL20" i="4"/>
  <c r="GL72" i="2"/>
  <c r="GL59" i="2"/>
  <c r="GL46" i="2"/>
  <c r="GL33" i="2"/>
  <c r="GL33" i="6"/>
  <c r="GL20" i="6"/>
  <c r="GL58" i="1"/>
  <c r="GL45" i="1"/>
  <c r="GL32" i="1"/>
  <c r="GL19" i="1"/>
  <c r="GK57" i="4"/>
  <c r="GK45" i="4"/>
  <c r="GK33" i="4"/>
  <c r="GK20" i="4"/>
  <c r="GK72" i="2"/>
  <c r="GK59" i="2"/>
  <c r="GK46" i="2"/>
  <c r="GK33" i="2"/>
  <c r="GK33" i="6"/>
  <c r="GK20" i="6"/>
  <c r="GK58" i="1"/>
  <c r="GK45" i="1"/>
  <c r="GK32" i="1"/>
  <c r="GK19" i="1"/>
  <c r="GJ57" i="4"/>
  <c r="GJ45" i="4"/>
  <c r="GJ33" i="4"/>
  <c r="GJ20" i="4"/>
  <c r="GJ72" i="2"/>
  <c r="GJ59" i="2"/>
  <c r="GJ46" i="2"/>
  <c r="GJ33" i="2"/>
  <c r="GJ33" i="6"/>
  <c r="GJ20" i="6"/>
  <c r="GJ58" i="1"/>
  <c r="GJ45" i="1"/>
  <c r="GJ32" i="1"/>
  <c r="GJ19" i="1"/>
  <c r="GF30" i="5"/>
  <c r="GF60" i="5"/>
  <c r="GF89" i="5"/>
  <c r="GI57" i="4"/>
  <c r="GI45" i="4"/>
  <c r="GI33" i="4"/>
  <c r="GI20" i="4"/>
  <c r="GI72" i="2"/>
  <c r="GI59" i="2"/>
  <c r="GI46" i="2"/>
  <c r="GI33" i="2"/>
  <c r="GI33" i="6"/>
  <c r="GI20" i="6"/>
  <c r="GI58" i="1"/>
  <c r="GI45" i="1"/>
  <c r="GI32" i="1"/>
  <c r="GI19" i="1"/>
  <c r="GE89" i="5"/>
  <c r="GD89" i="5"/>
  <c r="GE60" i="5"/>
  <c r="GD60" i="5"/>
  <c r="GE30" i="5"/>
  <c r="GD30" i="5"/>
  <c r="GH57" i="4"/>
  <c r="GG57" i="4"/>
  <c r="GH45" i="4"/>
  <c r="GG45" i="4"/>
  <c r="GH33" i="4"/>
  <c r="GG33" i="4"/>
  <c r="GH20" i="4"/>
  <c r="GG20" i="4"/>
  <c r="GG72" i="2"/>
  <c r="GH72" i="2"/>
  <c r="GH59" i="2"/>
  <c r="GG59" i="2"/>
  <c r="GH46" i="2"/>
  <c r="GG46" i="2"/>
  <c r="GH33" i="2"/>
  <c r="GG33" i="2"/>
  <c r="GH33" i="6"/>
  <c r="GG33" i="6"/>
  <c r="GH20" i="6"/>
  <c r="GG20" i="6"/>
  <c r="GH58" i="1"/>
  <c r="GG58" i="1"/>
  <c r="GH45" i="1"/>
  <c r="GG45" i="1"/>
  <c r="GH32" i="1"/>
  <c r="GG32" i="1"/>
  <c r="GH19" i="1"/>
  <c r="GG19" i="1"/>
  <c r="GG104" i="2"/>
  <c r="GH104" i="2"/>
  <c r="GI104" i="2"/>
  <c r="GJ104" i="2"/>
  <c r="GK104" i="2"/>
  <c r="GL104" i="2"/>
  <c r="GM104" i="2"/>
  <c r="GN104" i="2"/>
  <c r="GG105" i="2"/>
  <c r="GH105" i="2"/>
  <c r="GI105" i="2"/>
  <c r="GJ105" i="2"/>
  <c r="GK105" i="2"/>
  <c r="GL105" i="2"/>
  <c r="GM105" i="2"/>
  <c r="GN105" i="2"/>
  <c r="GG106" i="2"/>
  <c r="GH106" i="2"/>
  <c r="GI106" i="2"/>
  <c r="GJ106" i="2"/>
  <c r="GK106" i="2"/>
  <c r="GL106" i="2"/>
  <c r="GM106" i="2"/>
  <c r="GN106" i="2"/>
  <c r="GF106" i="2"/>
  <c r="GF105" i="2"/>
  <c r="N106" i="2"/>
  <c r="L106" i="2"/>
  <c r="K106" i="2"/>
  <c r="J106" i="2"/>
  <c r="I106" i="2"/>
  <c r="H106" i="2"/>
  <c r="G106" i="2"/>
  <c r="F106" i="2"/>
  <c r="E106" i="2"/>
  <c r="N105" i="2"/>
  <c r="N104" i="2"/>
  <c r="L104" i="2"/>
  <c r="K104" i="2"/>
  <c r="J104" i="2"/>
  <c r="I104" i="2"/>
  <c r="H104" i="2"/>
  <c r="G104" i="2"/>
  <c r="F104" i="2"/>
  <c r="E104" i="2"/>
  <c r="GF72" i="2"/>
  <c r="DW72" i="2"/>
  <c r="DV72" i="2"/>
  <c r="DU72" i="2"/>
  <c r="DT72" i="2"/>
  <c r="DS72" i="2"/>
  <c r="DR72" i="2"/>
  <c r="DQ72" i="2"/>
  <c r="DP72" i="2"/>
  <c r="DO72" i="2"/>
  <c r="DN72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L72" i="2"/>
  <c r="K72" i="2"/>
  <c r="J72" i="2"/>
  <c r="I72" i="2"/>
  <c r="H72" i="2"/>
  <c r="G72" i="2"/>
  <c r="F72" i="2"/>
  <c r="E72" i="2"/>
  <c r="M71" i="2"/>
  <c r="M70" i="2"/>
  <c r="M69" i="2"/>
  <c r="M68" i="2"/>
  <c r="M67" i="2"/>
  <c r="M66" i="2"/>
  <c r="M65" i="2"/>
  <c r="M64" i="2"/>
  <c r="M63" i="2"/>
  <c r="M62" i="2"/>
  <c r="M61" i="2"/>
  <c r="HU72" i="2" l="1"/>
  <c r="HU85" i="2"/>
  <c r="M85" i="2"/>
  <c r="GX54" i="8"/>
  <c r="GY79" i="8"/>
  <c r="GX55" i="8"/>
  <c r="GU54" i="8"/>
  <c r="GY56" i="8"/>
  <c r="GX56" i="8"/>
  <c r="GX79" i="8"/>
  <c r="GV54" i="8"/>
  <c r="GU79" i="8"/>
  <c r="GW54" i="8"/>
  <c r="GY54" i="8"/>
  <c r="GV55" i="8"/>
  <c r="GW55" i="8"/>
  <c r="GW80" i="8"/>
  <c r="GU55" i="8"/>
  <c r="GX80" i="8"/>
  <c r="GW81" i="8"/>
  <c r="GV81" i="8"/>
  <c r="GI56" i="8"/>
  <c r="GX81" i="8"/>
  <c r="GW79" i="8"/>
  <c r="GY81" i="8"/>
  <c r="GV80" i="8"/>
  <c r="GW56" i="8"/>
  <c r="GV56" i="8"/>
  <c r="GU56" i="8"/>
  <c r="GY80" i="8"/>
  <c r="GU80" i="8"/>
  <c r="GV79" i="8"/>
  <c r="GU81" i="8"/>
  <c r="GY55" i="8"/>
  <c r="GJ56" i="8"/>
  <c r="GK56" i="8"/>
  <c r="GQ81" i="8"/>
  <c r="GS56" i="8"/>
  <c r="GI54" i="8"/>
  <c r="GH54" i="8"/>
  <c r="GF81" i="8"/>
  <c r="GH56" i="8"/>
  <c r="GG56" i="8"/>
  <c r="GO79" i="8"/>
  <c r="GK79" i="8"/>
  <c r="GS81" i="8"/>
  <c r="GJ79" i="8"/>
  <c r="GR81" i="8"/>
  <c r="GH81" i="8"/>
  <c r="GG81" i="8"/>
  <c r="GS54" i="8"/>
  <c r="GT54" i="8"/>
  <c r="GQ56" i="8"/>
  <c r="GR56" i="8"/>
  <c r="GM56" i="8"/>
  <c r="GG54" i="8"/>
  <c r="GL56" i="8"/>
  <c r="GT81" i="8"/>
  <c r="GT56" i="8"/>
  <c r="GS80" i="8"/>
  <c r="GP54" i="8"/>
  <c r="GK54" i="8"/>
  <c r="M71" i="1"/>
  <c r="GH79" i="8"/>
  <c r="GG79" i="8"/>
  <c r="GT79" i="8"/>
  <c r="GR54" i="8"/>
  <c r="HU71" i="1"/>
  <c r="GR79" i="8"/>
  <c r="GS79" i="8"/>
  <c r="GL79" i="8"/>
  <c r="GF79" i="8"/>
  <c r="GN54" i="8"/>
  <c r="GF54" i="8"/>
  <c r="GO54" i="8"/>
  <c r="GQ79" i="8"/>
  <c r="GQ54" i="8"/>
  <c r="GM79" i="8"/>
  <c r="GN79" i="8"/>
  <c r="GM54" i="8"/>
  <c r="GL54" i="8"/>
  <c r="GP79" i="8"/>
  <c r="GP56" i="8"/>
  <c r="GP80" i="8"/>
  <c r="GO56" i="8"/>
  <c r="GO80" i="8"/>
  <c r="GT80" i="8"/>
  <c r="GG80" i="8"/>
  <c r="GO55" i="8"/>
  <c r="GF80" i="8"/>
  <c r="GN55" i="8"/>
  <c r="GQ80" i="8"/>
  <c r="GR80" i="8"/>
  <c r="GR55" i="8"/>
  <c r="GS55" i="8"/>
  <c r="GG55" i="8"/>
  <c r="GT55" i="8"/>
  <c r="GH55" i="8"/>
  <c r="GQ55" i="8"/>
  <c r="GP55" i="8"/>
  <c r="GF55" i="8"/>
  <c r="GN80" i="8"/>
  <c r="GH80" i="8"/>
  <c r="HU69" i="4"/>
  <c r="GO81" i="8"/>
  <c r="GP81" i="8"/>
  <c r="GF56" i="8"/>
  <c r="GN81" i="8"/>
  <c r="GN56" i="8"/>
  <c r="GK81" i="8"/>
  <c r="GM81" i="8"/>
  <c r="GL81" i="8"/>
  <c r="GM55" i="8"/>
  <c r="GL55" i="8"/>
  <c r="GM80" i="8"/>
  <c r="GL80" i="8"/>
  <c r="GK55" i="8"/>
  <c r="GK80" i="8"/>
  <c r="GJ81" i="8"/>
  <c r="GJ80" i="8"/>
  <c r="GJ55" i="8"/>
  <c r="GJ54" i="8"/>
  <c r="GI81" i="8"/>
  <c r="GI80" i="8"/>
  <c r="GI55" i="8"/>
  <c r="GI79" i="8"/>
  <c r="HU33" i="6"/>
  <c r="HU33" i="2"/>
  <c r="HU20" i="4"/>
  <c r="M72" i="2"/>
  <c r="GC30" i="5"/>
  <c r="GC60" i="5"/>
  <c r="GC89" i="5"/>
  <c r="GF57" i="4"/>
  <c r="GF45" i="4"/>
  <c r="GF33" i="4"/>
  <c r="GF20" i="4"/>
  <c r="GF59" i="2"/>
  <c r="GF46" i="2"/>
  <c r="GF33" i="2"/>
  <c r="GF33" i="6"/>
  <c r="GF20" i="6"/>
  <c r="GF58" i="1"/>
  <c r="GF45" i="1"/>
  <c r="GF32" i="1"/>
  <c r="GF19" i="1"/>
  <c r="GU10" i="5"/>
  <c r="GU11" i="5"/>
  <c r="GU12" i="5"/>
  <c r="GU13" i="5"/>
  <c r="GU14" i="5"/>
  <c r="GU15" i="5"/>
  <c r="GU16" i="5"/>
  <c r="GU17" i="5"/>
  <c r="GU18" i="5"/>
  <c r="GU19" i="5"/>
  <c r="GU20" i="5"/>
  <c r="GU21" i="5"/>
  <c r="GU22" i="5"/>
  <c r="GU23" i="5"/>
  <c r="GU24" i="5"/>
  <c r="GU25" i="5"/>
  <c r="GU26" i="5"/>
  <c r="GU27" i="5"/>
  <c r="GU28" i="5"/>
  <c r="GU29" i="5"/>
  <c r="GU9" i="5"/>
  <c r="GU31" i="5"/>
  <c r="GU40" i="5"/>
  <c r="GU41" i="5"/>
  <c r="GU42" i="5"/>
  <c r="GU43" i="5"/>
  <c r="GU44" i="5"/>
  <c r="GU45" i="5"/>
  <c r="GU46" i="5"/>
  <c r="GU47" i="5"/>
  <c r="GU48" i="5"/>
  <c r="GU49" i="5"/>
  <c r="GU50" i="5"/>
  <c r="GU51" i="5"/>
  <c r="GU52" i="5"/>
  <c r="GU53" i="5"/>
  <c r="GU54" i="5"/>
  <c r="GU55" i="5"/>
  <c r="GU56" i="5"/>
  <c r="GU57" i="5"/>
  <c r="GU58" i="5"/>
  <c r="GU59" i="5"/>
  <c r="GU39" i="5"/>
  <c r="GU69" i="5"/>
  <c r="GU70" i="5"/>
  <c r="GU71" i="5"/>
  <c r="GU72" i="5"/>
  <c r="GU73" i="5"/>
  <c r="GU74" i="5"/>
  <c r="GU75" i="5"/>
  <c r="GU76" i="5"/>
  <c r="GU77" i="5"/>
  <c r="GU78" i="5"/>
  <c r="GU79" i="5"/>
  <c r="GU80" i="5"/>
  <c r="GU81" i="5"/>
  <c r="GU82" i="5"/>
  <c r="GU83" i="5"/>
  <c r="GU84" i="5"/>
  <c r="GU85" i="5"/>
  <c r="GU86" i="5"/>
  <c r="GU87" i="5"/>
  <c r="GU88" i="5"/>
  <c r="GU68" i="5"/>
  <c r="GU90" i="5"/>
  <c r="GB30" i="5"/>
  <c r="GB60" i="5"/>
  <c r="GB89" i="5"/>
  <c r="GE57" i="4"/>
  <c r="GE45" i="4"/>
  <c r="GE33" i="4"/>
  <c r="GE20" i="4"/>
  <c r="GE59" i="2"/>
  <c r="GE46" i="2"/>
  <c r="GE33" i="2"/>
  <c r="GE33" i="6"/>
  <c r="GE20" i="6"/>
  <c r="GE58" i="1"/>
  <c r="GE45" i="1"/>
  <c r="GE32" i="1"/>
  <c r="GE19" i="1"/>
  <c r="GA89" i="5"/>
  <c r="FZ89" i="5"/>
  <c r="FY89" i="5"/>
  <c r="FX89" i="5"/>
  <c r="FW89" i="5"/>
  <c r="FV89" i="5"/>
  <c r="FU89" i="5"/>
  <c r="GA60" i="5"/>
  <c r="FZ60" i="5"/>
  <c r="FY60" i="5"/>
  <c r="FX60" i="5"/>
  <c r="FW60" i="5"/>
  <c r="FV60" i="5"/>
  <c r="FU60" i="5"/>
  <c r="GA30" i="5"/>
  <c r="FZ30" i="5"/>
  <c r="FY30" i="5"/>
  <c r="FX30" i="5"/>
  <c r="FW30" i="5"/>
  <c r="FV30" i="5"/>
  <c r="FU30" i="5"/>
  <c r="GD57" i="4"/>
  <c r="GD45" i="4"/>
  <c r="GD33" i="4"/>
  <c r="GD20" i="4"/>
  <c r="GD59" i="2"/>
  <c r="GD46" i="2"/>
  <c r="GD33" i="2"/>
  <c r="GD33" i="6"/>
  <c r="GD20" i="6"/>
  <c r="GC33" i="6"/>
  <c r="GC20" i="6"/>
  <c r="GD58" i="1"/>
  <c r="GD45" i="1"/>
  <c r="GD32" i="1"/>
  <c r="GD19" i="1"/>
  <c r="GC58" i="1"/>
  <c r="GC45" i="1"/>
  <c r="GC32" i="1"/>
  <c r="GC19" i="1"/>
  <c r="GC57" i="4"/>
  <c r="GC45" i="4"/>
  <c r="GC33" i="4"/>
  <c r="GC20" i="4"/>
  <c r="GC59" i="2"/>
  <c r="GC46" i="2"/>
  <c r="GC33" i="2"/>
  <c r="GB58" i="1"/>
  <c r="GB45" i="1"/>
  <c r="GB32" i="1"/>
  <c r="GB19" i="1"/>
  <c r="GB33" i="6"/>
  <c r="GB20" i="6"/>
  <c r="GB59" i="2"/>
  <c r="GB46" i="2"/>
  <c r="GB33" i="2"/>
  <c r="GB57" i="4"/>
  <c r="GB45" i="4"/>
  <c r="GB33" i="4"/>
  <c r="GB20" i="4"/>
  <c r="FZ57" i="4"/>
  <c r="GE10" i="8"/>
  <c r="GE15" i="8"/>
  <c r="GE20" i="8"/>
  <c r="GE25" i="8"/>
  <c r="FM34" i="8"/>
  <c r="FN34" i="8"/>
  <c r="FO34" i="8"/>
  <c r="FP34" i="8"/>
  <c r="FQ34" i="8"/>
  <c r="FR34" i="8"/>
  <c r="FS34" i="8"/>
  <c r="FT34" i="8"/>
  <c r="FU34" i="8"/>
  <c r="FV34" i="8"/>
  <c r="FW34" i="8"/>
  <c r="FX34" i="8"/>
  <c r="FY34" i="8"/>
  <c r="FZ34" i="8"/>
  <c r="GA34" i="8"/>
  <c r="GB34" i="8"/>
  <c r="GC34" i="8"/>
  <c r="FM36" i="8"/>
  <c r="FN36" i="8"/>
  <c r="FO36" i="8"/>
  <c r="FP36" i="8"/>
  <c r="FQ36" i="8"/>
  <c r="FR36" i="8"/>
  <c r="FS36" i="8"/>
  <c r="FT36" i="8"/>
  <c r="FU36" i="8"/>
  <c r="FV36" i="8"/>
  <c r="FW36" i="8"/>
  <c r="FX36" i="8"/>
  <c r="FY36" i="8"/>
  <c r="FZ36" i="8"/>
  <c r="GA36" i="8"/>
  <c r="GB36" i="8"/>
  <c r="GC36" i="8"/>
  <c r="GO74" i="4"/>
  <c r="GE12" i="8" s="1"/>
  <c r="GO75" i="4"/>
  <c r="GE37" i="8" s="1"/>
  <c r="GO76" i="4"/>
  <c r="GE62" i="8" s="1"/>
  <c r="GO78" i="4"/>
  <c r="GE17" i="8" s="1"/>
  <c r="GO79" i="4"/>
  <c r="GE42" i="8" s="1"/>
  <c r="GO80" i="4"/>
  <c r="GE67" i="8" s="1"/>
  <c r="GO82" i="4"/>
  <c r="GO83" i="4"/>
  <c r="GO84" i="4"/>
  <c r="GO86" i="4"/>
  <c r="GO87" i="4"/>
  <c r="GO88" i="4"/>
  <c r="FZ75" i="1"/>
  <c r="FP9" i="8" s="1"/>
  <c r="GA75" i="1"/>
  <c r="FQ9" i="8" s="1"/>
  <c r="GB75" i="1"/>
  <c r="FR9" i="8" s="1"/>
  <c r="GC75" i="1"/>
  <c r="FS9" i="8" s="1"/>
  <c r="GD75" i="1"/>
  <c r="FT9" i="8" s="1"/>
  <c r="GE75" i="1"/>
  <c r="FU9" i="8" s="1"/>
  <c r="GF75" i="1"/>
  <c r="FV9" i="8" s="1"/>
  <c r="GG75" i="1"/>
  <c r="FW9" i="8" s="1"/>
  <c r="GH75" i="1"/>
  <c r="FX9" i="8" s="1"/>
  <c r="GI75" i="1"/>
  <c r="FY9" i="8" s="1"/>
  <c r="GJ75" i="1"/>
  <c r="FZ9" i="8" s="1"/>
  <c r="GK75" i="1"/>
  <c r="GA9" i="8" s="1"/>
  <c r="GL75" i="1"/>
  <c r="GB9" i="8" s="1"/>
  <c r="GM75" i="1"/>
  <c r="GC9" i="8" s="1"/>
  <c r="GN75" i="1"/>
  <c r="GD9" i="8" s="1"/>
  <c r="GO75" i="1"/>
  <c r="GE9" i="8" s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FZ77" i="1"/>
  <c r="FP59" i="8" s="1"/>
  <c r="GA77" i="1"/>
  <c r="FQ59" i="8" s="1"/>
  <c r="GB77" i="1"/>
  <c r="FR59" i="8" s="1"/>
  <c r="GC77" i="1"/>
  <c r="FS59" i="8" s="1"/>
  <c r="GD77" i="1"/>
  <c r="FT59" i="8" s="1"/>
  <c r="GE77" i="1"/>
  <c r="FU59" i="8" s="1"/>
  <c r="GF77" i="1"/>
  <c r="FV59" i="8" s="1"/>
  <c r="GG77" i="1"/>
  <c r="FW59" i="8" s="1"/>
  <c r="GH77" i="1"/>
  <c r="FX59" i="8" s="1"/>
  <c r="GI77" i="1"/>
  <c r="FY59" i="8" s="1"/>
  <c r="GJ77" i="1"/>
  <c r="FZ59" i="8" s="1"/>
  <c r="GK77" i="1"/>
  <c r="GA59" i="8" s="1"/>
  <c r="GL77" i="1"/>
  <c r="GB59" i="8" s="1"/>
  <c r="GM77" i="1"/>
  <c r="GC59" i="8" s="1"/>
  <c r="GN77" i="1"/>
  <c r="GD59" i="8" s="1"/>
  <c r="GO77" i="1"/>
  <c r="GE59" i="8" s="1"/>
  <c r="FZ79" i="1"/>
  <c r="FP14" i="8" s="1"/>
  <c r="GA79" i="1"/>
  <c r="FQ14" i="8" s="1"/>
  <c r="GB79" i="1"/>
  <c r="FR14" i="8" s="1"/>
  <c r="GC79" i="1"/>
  <c r="FS14" i="8" s="1"/>
  <c r="GD79" i="1"/>
  <c r="FT14" i="8" s="1"/>
  <c r="GE79" i="1"/>
  <c r="FU14" i="8" s="1"/>
  <c r="GF79" i="1"/>
  <c r="FV14" i="8" s="1"/>
  <c r="GG79" i="1"/>
  <c r="FW14" i="8" s="1"/>
  <c r="GH79" i="1"/>
  <c r="FX14" i="8" s="1"/>
  <c r="GI79" i="1"/>
  <c r="FY14" i="8" s="1"/>
  <c r="GJ79" i="1"/>
  <c r="FZ14" i="8" s="1"/>
  <c r="GK79" i="1"/>
  <c r="GA14" i="8" s="1"/>
  <c r="GL79" i="1"/>
  <c r="GB14" i="8" s="1"/>
  <c r="GM79" i="1"/>
  <c r="GC14" i="8" s="1"/>
  <c r="GN79" i="1"/>
  <c r="GD14" i="8" s="1"/>
  <c r="GO79" i="1"/>
  <c r="GE14" i="8" s="1"/>
  <c r="FZ80" i="1"/>
  <c r="FP39" i="8" s="1"/>
  <c r="GA80" i="1"/>
  <c r="FQ39" i="8" s="1"/>
  <c r="GB80" i="1"/>
  <c r="FR39" i="8" s="1"/>
  <c r="GC80" i="1"/>
  <c r="FS39" i="8" s="1"/>
  <c r="GD80" i="1"/>
  <c r="FT39" i="8" s="1"/>
  <c r="GE80" i="1"/>
  <c r="FU39" i="8" s="1"/>
  <c r="GF80" i="1"/>
  <c r="FV39" i="8" s="1"/>
  <c r="GG80" i="1"/>
  <c r="FW39" i="8" s="1"/>
  <c r="GH80" i="1"/>
  <c r="FX39" i="8" s="1"/>
  <c r="GI80" i="1"/>
  <c r="FY39" i="8" s="1"/>
  <c r="GJ80" i="1"/>
  <c r="FZ39" i="8" s="1"/>
  <c r="GK80" i="1"/>
  <c r="GA39" i="8" s="1"/>
  <c r="GL80" i="1"/>
  <c r="GB39" i="8" s="1"/>
  <c r="GM80" i="1"/>
  <c r="GC39" i="8" s="1"/>
  <c r="GN80" i="1"/>
  <c r="GD39" i="8" s="1"/>
  <c r="GD54" i="8" s="1"/>
  <c r="GO80" i="1"/>
  <c r="GE39" i="8" s="1"/>
  <c r="GE54" i="8" s="1"/>
  <c r="FZ81" i="1"/>
  <c r="FP64" i="8" s="1"/>
  <c r="GA81" i="1"/>
  <c r="FQ64" i="8" s="1"/>
  <c r="GB81" i="1"/>
  <c r="FR64" i="8" s="1"/>
  <c r="GC81" i="1"/>
  <c r="FS64" i="8" s="1"/>
  <c r="GD81" i="1"/>
  <c r="FT64" i="8" s="1"/>
  <c r="GE81" i="1"/>
  <c r="FU64" i="8" s="1"/>
  <c r="GF81" i="1"/>
  <c r="FV64" i="8" s="1"/>
  <c r="GG81" i="1"/>
  <c r="FW64" i="8" s="1"/>
  <c r="GH81" i="1"/>
  <c r="FX64" i="8" s="1"/>
  <c r="GI81" i="1"/>
  <c r="FY64" i="8" s="1"/>
  <c r="GJ81" i="1"/>
  <c r="FZ64" i="8" s="1"/>
  <c r="GK81" i="1"/>
  <c r="GA64" i="8" s="1"/>
  <c r="GL81" i="1"/>
  <c r="GB64" i="8" s="1"/>
  <c r="GM81" i="1"/>
  <c r="GC64" i="8" s="1"/>
  <c r="GN81" i="1"/>
  <c r="GD64" i="8" s="1"/>
  <c r="GO81" i="1"/>
  <c r="GE64" i="8" s="1"/>
  <c r="GA58" i="1"/>
  <c r="FZ58" i="1"/>
  <c r="GA45" i="1"/>
  <c r="FZ45" i="1"/>
  <c r="GA32" i="1"/>
  <c r="FZ32" i="1"/>
  <c r="GA19" i="1"/>
  <c r="FZ19" i="1"/>
  <c r="FZ38" i="6"/>
  <c r="FP11" i="8" s="1"/>
  <c r="GA38" i="6"/>
  <c r="FQ11" i="8" s="1"/>
  <c r="GB38" i="6"/>
  <c r="FR11" i="8" s="1"/>
  <c r="GC38" i="6"/>
  <c r="FS11" i="8" s="1"/>
  <c r="GD38" i="6"/>
  <c r="FT11" i="8" s="1"/>
  <c r="GE38" i="6"/>
  <c r="FU11" i="8" s="1"/>
  <c r="GF38" i="6"/>
  <c r="FV11" i="8" s="1"/>
  <c r="GG38" i="6"/>
  <c r="FW11" i="8" s="1"/>
  <c r="GH38" i="6"/>
  <c r="FX11" i="8" s="1"/>
  <c r="GI38" i="6"/>
  <c r="FY11" i="8" s="1"/>
  <c r="GJ38" i="6"/>
  <c r="FZ11" i="8" s="1"/>
  <c r="GK38" i="6"/>
  <c r="GA11" i="8" s="1"/>
  <c r="GL38" i="6"/>
  <c r="GB11" i="8" s="1"/>
  <c r="GM38" i="6"/>
  <c r="GC11" i="8" s="1"/>
  <c r="GN38" i="6"/>
  <c r="GD11" i="8" s="1"/>
  <c r="GO38" i="6"/>
  <c r="GE11" i="8" s="1"/>
  <c r="FZ39" i="6"/>
  <c r="GA39" i="6"/>
  <c r="GB39" i="6"/>
  <c r="GC39" i="6"/>
  <c r="GD39" i="6"/>
  <c r="GE39" i="6"/>
  <c r="GF39" i="6"/>
  <c r="GG39" i="6"/>
  <c r="GH39" i="6"/>
  <c r="GI39" i="6"/>
  <c r="GJ39" i="6"/>
  <c r="GK39" i="6"/>
  <c r="GL39" i="6"/>
  <c r="GM39" i="6"/>
  <c r="GN39" i="6"/>
  <c r="GO39" i="6"/>
  <c r="FZ40" i="6"/>
  <c r="FP61" i="8" s="1"/>
  <c r="GA40" i="6"/>
  <c r="FQ61" i="8" s="1"/>
  <c r="GB40" i="6"/>
  <c r="FR61" i="8" s="1"/>
  <c r="GC40" i="6"/>
  <c r="FS61" i="8" s="1"/>
  <c r="GD40" i="6"/>
  <c r="FT61" i="8" s="1"/>
  <c r="GE40" i="6"/>
  <c r="FU61" i="8" s="1"/>
  <c r="GF40" i="6"/>
  <c r="FV61" i="8" s="1"/>
  <c r="GG40" i="6"/>
  <c r="FW61" i="8" s="1"/>
  <c r="GH40" i="6"/>
  <c r="FX61" i="8" s="1"/>
  <c r="GI40" i="6"/>
  <c r="FY61" i="8" s="1"/>
  <c r="GJ40" i="6"/>
  <c r="FZ61" i="8" s="1"/>
  <c r="GK40" i="6"/>
  <c r="GA61" i="8" s="1"/>
  <c r="GL40" i="6"/>
  <c r="GB61" i="8" s="1"/>
  <c r="GM40" i="6"/>
  <c r="GC61" i="8" s="1"/>
  <c r="GN40" i="6"/>
  <c r="GD61" i="8" s="1"/>
  <c r="GO40" i="6"/>
  <c r="GE61" i="8" s="1"/>
  <c r="FZ42" i="6"/>
  <c r="FP16" i="8" s="1"/>
  <c r="GA42" i="6"/>
  <c r="FQ16" i="8" s="1"/>
  <c r="GB42" i="6"/>
  <c r="FR16" i="8" s="1"/>
  <c r="GC42" i="6"/>
  <c r="FS16" i="8" s="1"/>
  <c r="GD42" i="6"/>
  <c r="FT16" i="8" s="1"/>
  <c r="GE42" i="6"/>
  <c r="FU16" i="8" s="1"/>
  <c r="GF42" i="6"/>
  <c r="FV16" i="8" s="1"/>
  <c r="GG42" i="6"/>
  <c r="FW16" i="8" s="1"/>
  <c r="GH42" i="6"/>
  <c r="FX16" i="8" s="1"/>
  <c r="GI42" i="6"/>
  <c r="FY16" i="8" s="1"/>
  <c r="GJ42" i="6"/>
  <c r="FZ16" i="8" s="1"/>
  <c r="GK42" i="6"/>
  <c r="GA16" i="8" s="1"/>
  <c r="GL42" i="6"/>
  <c r="GB16" i="8" s="1"/>
  <c r="GM42" i="6"/>
  <c r="GC16" i="8" s="1"/>
  <c r="GN42" i="6"/>
  <c r="GD16" i="8" s="1"/>
  <c r="GO42" i="6"/>
  <c r="GE16" i="8" s="1"/>
  <c r="FZ43" i="6"/>
  <c r="FP41" i="8" s="1"/>
  <c r="GA43" i="6"/>
  <c r="FQ41" i="8" s="1"/>
  <c r="GB43" i="6"/>
  <c r="FR41" i="8" s="1"/>
  <c r="GC43" i="6"/>
  <c r="FS41" i="8" s="1"/>
  <c r="GD43" i="6"/>
  <c r="FT41" i="8" s="1"/>
  <c r="GE43" i="6"/>
  <c r="FU41" i="8" s="1"/>
  <c r="GF43" i="6"/>
  <c r="FV41" i="8" s="1"/>
  <c r="GG43" i="6"/>
  <c r="FW41" i="8" s="1"/>
  <c r="GH43" i="6"/>
  <c r="FX41" i="8" s="1"/>
  <c r="GI43" i="6"/>
  <c r="FY41" i="8" s="1"/>
  <c r="GJ43" i="6"/>
  <c r="FZ41" i="8" s="1"/>
  <c r="GK43" i="6"/>
  <c r="GA41" i="8" s="1"/>
  <c r="GL43" i="6"/>
  <c r="GB41" i="8" s="1"/>
  <c r="GM43" i="6"/>
  <c r="GC41" i="8" s="1"/>
  <c r="GN43" i="6"/>
  <c r="GD41" i="8" s="1"/>
  <c r="GO43" i="6"/>
  <c r="GE41" i="8" s="1"/>
  <c r="GE55" i="8" s="1"/>
  <c r="FZ44" i="6"/>
  <c r="FP66" i="8" s="1"/>
  <c r="GA44" i="6"/>
  <c r="FQ66" i="8" s="1"/>
  <c r="GB44" i="6"/>
  <c r="FR66" i="8" s="1"/>
  <c r="GC44" i="6"/>
  <c r="FS66" i="8" s="1"/>
  <c r="GD44" i="6"/>
  <c r="FT66" i="8" s="1"/>
  <c r="GE44" i="6"/>
  <c r="FU66" i="8" s="1"/>
  <c r="GF44" i="6"/>
  <c r="FV66" i="8" s="1"/>
  <c r="GG44" i="6"/>
  <c r="FW66" i="8" s="1"/>
  <c r="GH44" i="6"/>
  <c r="FX66" i="8" s="1"/>
  <c r="GI44" i="6"/>
  <c r="FY66" i="8" s="1"/>
  <c r="GJ44" i="6"/>
  <c r="FZ66" i="8" s="1"/>
  <c r="GK44" i="6"/>
  <c r="GA66" i="8" s="1"/>
  <c r="GL44" i="6"/>
  <c r="GB66" i="8" s="1"/>
  <c r="GM44" i="6"/>
  <c r="GC66" i="8" s="1"/>
  <c r="GN44" i="6"/>
  <c r="GD66" i="8" s="1"/>
  <c r="GO44" i="6"/>
  <c r="GE66" i="8" s="1"/>
  <c r="GA33" i="6"/>
  <c r="FZ33" i="6"/>
  <c r="GA20" i="6"/>
  <c r="FZ20" i="6"/>
  <c r="FZ88" i="2"/>
  <c r="FP10" i="8" s="1"/>
  <c r="GA88" i="2"/>
  <c r="FQ10" i="8" s="1"/>
  <c r="GB88" i="2"/>
  <c r="FR10" i="8" s="1"/>
  <c r="GC88" i="2"/>
  <c r="FS10" i="8" s="1"/>
  <c r="GD88" i="2"/>
  <c r="FT10" i="8" s="1"/>
  <c r="GE88" i="2"/>
  <c r="FU10" i="8" s="1"/>
  <c r="GF88" i="2"/>
  <c r="FV10" i="8" s="1"/>
  <c r="GG88" i="2"/>
  <c r="FW10" i="8" s="1"/>
  <c r="GH88" i="2"/>
  <c r="FX10" i="8" s="1"/>
  <c r="GI88" i="2"/>
  <c r="FY10" i="8" s="1"/>
  <c r="GJ88" i="2"/>
  <c r="FZ10" i="8" s="1"/>
  <c r="GK88" i="2"/>
  <c r="GA10" i="8" s="1"/>
  <c r="GL88" i="2"/>
  <c r="GB10" i="8" s="1"/>
  <c r="GM88" i="2"/>
  <c r="GC10" i="8" s="1"/>
  <c r="GN88" i="2"/>
  <c r="GD10" i="8" s="1"/>
  <c r="FZ89" i="2"/>
  <c r="FP35" i="8" s="1"/>
  <c r="GA89" i="2"/>
  <c r="FQ35" i="8" s="1"/>
  <c r="GB89" i="2"/>
  <c r="FR35" i="8" s="1"/>
  <c r="GC89" i="2"/>
  <c r="FS35" i="8" s="1"/>
  <c r="GD89" i="2"/>
  <c r="FT35" i="8" s="1"/>
  <c r="GE89" i="2"/>
  <c r="FU35" i="8" s="1"/>
  <c r="GF89" i="2"/>
  <c r="FV35" i="8" s="1"/>
  <c r="GG89" i="2"/>
  <c r="FW35" i="8" s="1"/>
  <c r="GH89" i="2"/>
  <c r="FX35" i="8" s="1"/>
  <c r="GI89" i="2"/>
  <c r="FY35" i="8" s="1"/>
  <c r="GJ89" i="2"/>
  <c r="FZ35" i="8" s="1"/>
  <c r="GK89" i="2"/>
  <c r="GA35" i="8" s="1"/>
  <c r="GL89" i="2"/>
  <c r="GB35" i="8" s="1"/>
  <c r="GM89" i="2"/>
  <c r="GC35" i="8" s="1"/>
  <c r="GN89" i="2"/>
  <c r="GD35" i="8" s="1"/>
  <c r="FZ90" i="2"/>
  <c r="FP60" i="8" s="1"/>
  <c r="GA90" i="2"/>
  <c r="FQ60" i="8" s="1"/>
  <c r="GB90" i="2"/>
  <c r="FR60" i="8" s="1"/>
  <c r="GC90" i="2"/>
  <c r="FS60" i="8" s="1"/>
  <c r="GD90" i="2"/>
  <c r="FT60" i="8" s="1"/>
  <c r="GE90" i="2"/>
  <c r="FU60" i="8" s="1"/>
  <c r="GF90" i="2"/>
  <c r="FV60" i="8" s="1"/>
  <c r="GG90" i="2"/>
  <c r="FW60" i="8" s="1"/>
  <c r="GH90" i="2"/>
  <c r="FX60" i="8" s="1"/>
  <c r="GI90" i="2"/>
  <c r="FY60" i="8" s="1"/>
  <c r="GJ90" i="2"/>
  <c r="FZ60" i="8" s="1"/>
  <c r="GK90" i="2"/>
  <c r="GA60" i="8" s="1"/>
  <c r="GL90" i="2"/>
  <c r="GB60" i="8" s="1"/>
  <c r="GM90" i="2"/>
  <c r="GC60" i="8" s="1"/>
  <c r="GN90" i="2"/>
  <c r="GD60" i="8" s="1"/>
  <c r="FZ92" i="2"/>
  <c r="FP15" i="8" s="1"/>
  <c r="GA92" i="2"/>
  <c r="FQ15" i="8" s="1"/>
  <c r="GB92" i="2"/>
  <c r="FR15" i="8" s="1"/>
  <c r="GC92" i="2"/>
  <c r="FS15" i="8" s="1"/>
  <c r="GD92" i="2"/>
  <c r="FT15" i="8" s="1"/>
  <c r="GE92" i="2"/>
  <c r="FU15" i="8" s="1"/>
  <c r="GF92" i="2"/>
  <c r="FV15" i="8" s="1"/>
  <c r="GG92" i="2"/>
  <c r="FW15" i="8" s="1"/>
  <c r="GH92" i="2"/>
  <c r="FX15" i="8" s="1"/>
  <c r="GI92" i="2"/>
  <c r="FY15" i="8" s="1"/>
  <c r="GJ92" i="2"/>
  <c r="FZ15" i="8" s="1"/>
  <c r="GK92" i="2"/>
  <c r="GA15" i="8" s="1"/>
  <c r="GL92" i="2"/>
  <c r="GB15" i="8" s="1"/>
  <c r="GM92" i="2"/>
  <c r="GC15" i="8" s="1"/>
  <c r="GN92" i="2"/>
  <c r="GD15" i="8" s="1"/>
  <c r="FZ93" i="2"/>
  <c r="FP40" i="8" s="1"/>
  <c r="GA93" i="2"/>
  <c r="FQ40" i="8" s="1"/>
  <c r="GB93" i="2"/>
  <c r="FR40" i="8" s="1"/>
  <c r="GC93" i="2"/>
  <c r="FS40" i="8" s="1"/>
  <c r="GD93" i="2"/>
  <c r="FT40" i="8" s="1"/>
  <c r="GE93" i="2"/>
  <c r="FU40" i="8" s="1"/>
  <c r="GF93" i="2"/>
  <c r="FV40" i="8" s="1"/>
  <c r="GG93" i="2"/>
  <c r="FW40" i="8" s="1"/>
  <c r="GH93" i="2"/>
  <c r="FX40" i="8" s="1"/>
  <c r="GI93" i="2"/>
  <c r="FY40" i="8" s="1"/>
  <c r="GJ93" i="2"/>
  <c r="FZ40" i="8" s="1"/>
  <c r="GK93" i="2"/>
  <c r="GA40" i="8" s="1"/>
  <c r="GL93" i="2"/>
  <c r="GB40" i="8" s="1"/>
  <c r="GM93" i="2"/>
  <c r="GC40" i="8" s="1"/>
  <c r="GN93" i="2"/>
  <c r="GD40" i="8" s="1"/>
  <c r="FZ94" i="2"/>
  <c r="FP65" i="8" s="1"/>
  <c r="GA94" i="2"/>
  <c r="FQ65" i="8" s="1"/>
  <c r="GB94" i="2"/>
  <c r="FR65" i="8" s="1"/>
  <c r="GC94" i="2"/>
  <c r="FS65" i="8" s="1"/>
  <c r="GD94" i="2"/>
  <c r="FT65" i="8" s="1"/>
  <c r="GE94" i="2"/>
  <c r="FU65" i="8" s="1"/>
  <c r="GF94" i="2"/>
  <c r="FV65" i="8" s="1"/>
  <c r="GG94" i="2"/>
  <c r="FW65" i="8" s="1"/>
  <c r="GH94" i="2"/>
  <c r="FX65" i="8" s="1"/>
  <c r="GI94" i="2"/>
  <c r="FY65" i="8" s="1"/>
  <c r="GJ94" i="2"/>
  <c r="FZ65" i="8" s="1"/>
  <c r="GK94" i="2"/>
  <c r="GA65" i="8" s="1"/>
  <c r="GL94" i="2"/>
  <c r="GB65" i="8" s="1"/>
  <c r="GM94" i="2"/>
  <c r="GC65" i="8" s="1"/>
  <c r="GN94" i="2"/>
  <c r="GD65" i="8" s="1"/>
  <c r="FZ96" i="2"/>
  <c r="FP20" i="8" s="1"/>
  <c r="GA96" i="2"/>
  <c r="FQ20" i="8" s="1"/>
  <c r="GB96" i="2"/>
  <c r="FR20" i="8" s="1"/>
  <c r="GC96" i="2"/>
  <c r="FS20" i="8" s="1"/>
  <c r="GD96" i="2"/>
  <c r="FT20" i="8" s="1"/>
  <c r="GE96" i="2"/>
  <c r="FU20" i="8" s="1"/>
  <c r="GF96" i="2"/>
  <c r="FV20" i="8" s="1"/>
  <c r="GG96" i="2"/>
  <c r="FW20" i="8" s="1"/>
  <c r="GH96" i="2"/>
  <c r="FX20" i="8" s="1"/>
  <c r="GI96" i="2"/>
  <c r="FY20" i="8" s="1"/>
  <c r="GJ96" i="2"/>
  <c r="FZ20" i="8" s="1"/>
  <c r="GK96" i="2"/>
  <c r="GA20" i="8" s="1"/>
  <c r="GL96" i="2"/>
  <c r="GB20" i="8" s="1"/>
  <c r="GM96" i="2"/>
  <c r="GC20" i="8" s="1"/>
  <c r="GN96" i="2"/>
  <c r="GD20" i="8" s="1"/>
  <c r="FZ97" i="2"/>
  <c r="FP45" i="8" s="1"/>
  <c r="GA97" i="2"/>
  <c r="FQ45" i="8" s="1"/>
  <c r="GB97" i="2"/>
  <c r="FR45" i="8" s="1"/>
  <c r="GC97" i="2"/>
  <c r="FS45" i="8" s="1"/>
  <c r="GD97" i="2"/>
  <c r="FT45" i="8" s="1"/>
  <c r="GE97" i="2"/>
  <c r="FU45" i="8" s="1"/>
  <c r="GF97" i="2"/>
  <c r="FV45" i="8" s="1"/>
  <c r="GG97" i="2"/>
  <c r="FW45" i="8" s="1"/>
  <c r="GH97" i="2"/>
  <c r="FX45" i="8" s="1"/>
  <c r="GI97" i="2"/>
  <c r="FY45" i="8" s="1"/>
  <c r="GJ97" i="2"/>
  <c r="FZ45" i="8" s="1"/>
  <c r="GK97" i="2"/>
  <c r="GA45" i="8" s="1"/>
  <c r="GL97" i="2"/>
  <c r="GB45" i="8" s="1"/>
  <c r="GM97" i="2"/>
  <c r="GC45" i="8" s="1"/>
  <c r="GN97" i="2"/>
  <c r="GD45" i="8" s="1"/>
  <c r="FZ98" i="2"/>
  <c r="FP70" i="8" s="1"/>
  <c r="GA98" i="2"/>
  <c r="FQ70" i="8" s="1"/>
  <c r="GB98" i="2"/>
  <c r="FR70" i="8" s="1"/>
  <c r="GC98" i="2"/>
  <c r="FS70" i="8" s="1"/>
  <c r="GD98" i="2"/>
  <c r="FT70" i="8" s="1"/>
  <c r="GE98" i="2"/>
  <c r="FU70" i="8" s="1"/>
  <c r="GF98" i="2"/>
  <c r="FV70" i="8" s="1"/>
  <c r="GG98" i="2"/>
  <c r="FW70" i="8" s="1"/>
  <c r="GH98" i="2"/>
  <c r="FX70" i="8" s="1"/>
  <c r="GI98" i="2"/>
  <c r="FY70" i="8" s="1"/>
  <c r="GJ98" i="2"/>
  <c r="FZ70" i="8" s="1"/>
  <c r="GK98" i="2"/>
  <c r="GA70" i="8" s="1"/>
  <c r="GL98" i="2"/>
  <c r="GB70" i="8" s="1"/>
  <c r="GM98" i="2"/>
  <c r="GC70" i="8" s="1"/>
  <c r="GN98" i="2"/>
  <c r="GD70" i="8" s="1"/>
  <c r="FP25" i="8"/>
  <c r="FQ25" i="8"/>
  <c r="FR25" i="8"/>
  <c r="FS25" i="8"/>
  <c r="FT25" i="8"/>
  <c r="FU25" i="8"/>
  <c r="FV25" i="8"/>
  <c r="FW25" i="8"/>
  <c r="FX25" i="8"/>
  <c r="FY25" i="8"/>
  <c r="FZ25" i="8"/>
  <c r="GA25" i="8"/>
  <c r="GB25" i="8"/>
  <c r="GC25" i="8"/>
  <c r="GD25" i="8"/>
  <c r="FZ101" i="2"/>
  <c r="FP50" i="8" s="1"/>
  <c r="GA101" i="2"/>
  <c r="FQ50" i="8" s="1"/>
  <c r="GB101" i="2"/>
  <c r="FR50" i="8" s="1"/>
  <c r="GC101" i="2"/>
  <c r="FS50" i="8" s="1"/>
  <c r="GD101" i="2"/>
  <c r="FT50" i="8" s="1"/>
  <c r="GE101" i="2"/>
  <c r="FU50" i="8" s="1"/>
  <c r="GF101" i="2"/>
  <c r="FV50" i="8" s="1"/>
  <c r="GG101" i="2"/>
  <c r="FW50" i="8" s="1"/>
  <c r="GH101" i="2"/>
  <c r="FX50" i="8" s="1"/>
  <c r="GI101" i="2"/>
  <c r="FY50" i="8" s="1"/>
  <c r="GJ101" i="2"/>
  <c r="FZ50" i="8" s="1"/>
  <c r="GK101" i="2"/>
  <c r="GA50" i="8" s="1"/>
  <c r="GL101" i="2"/>
  <c r="GB50" i="8" s="1"/>
  <c r="GM101" i="2"/>
  <c r="GC50" i="8" s="1"/>
  <c r="GN101" i="2"/>
  <c r="GD50" i="8" s="1"/>
  <c r="FZ102" i="2"/>
  <c r="FP75" i="8" s="1"/>
  <c r="GA102" i="2"/>
  <c r="FQ75" i="8" s="1"/>
  <c r="GB102" i="2"/>
  <c r="FR75" i="8" s="1"/>
  <c r="GC102" i="2"/>
  <c r="FS75" i="8" s="1"/>
  <c r="GD102" i="2"/>
  <c r="FT75" i="8" s="1"/>
  <c r="GE102" i="2"/>
  <c r="FU75" i="8" s="1"/>
  <c r="GF102" i="2"/>
  <c r="FV75" i="8" s="1"/>
  <c r="GG102" i="2"/>
  <c r="FW75" i="8" s="1"/>
  <c r="GH102" i="2"/>
  <c r="FX75" i="8" s="1"/>
  <c r="GI102" i="2"/>
  <c r="FY75" i="8" s="1"/>
  <c r="GJ102" i="2"/>
  <c r="FZ75" i="8" s="1"/>
  <c r="GK102" i="2"/>
  <c r="GA75" i="8" s="1"/>
  <c r="GL102" i="2"/>
  <c r="GB75" i="8" s="1"/>
  <c r="GM102" i="2"/>
  <c r="GC75" i="8" s="1"/>
  <c r="GN102" i="2"/>
  <c r="GD75" i="8" s="1"/>
  <c r="GA59" i="2"/>
  <c r="FZ59" i="2"/>
  <c r="GA46" i="2"/>
  <c r="FZ46" i="2"/>
  <c r="GA33" i="2"/>
  <c r="FZ33" i="2"/>
  <c r="FZ74" i="4"/>
  <c r="FP12" i="8" s="1"/>
  <c r="GA74" i="4"/>
  <c r="FQ12" i="8" s="1"/>
  <c r="GB74" i="4"/>
  <c r="FR12" i="8" s="1"/>
  <c r="GC74" i="4"/>
  <c r="FS12" i="8" s="1"/>
  <c r="GD74" i="4"/>
  <c r="FT12" i="8" s="1"/>
  <c r="GE74" i="4"/>
  <c r="FU12" i="8" s="1"/>
  <c r="GF74" i="4"/>
  <c r="FV12" i="8" s="1"/>
  <c r="GG74" i="4"/>
  <c r="FW12" i="8" s="1"/>
  <c r="GH74" i="4"/>
  <c r="FX12" i="8" s="1"/>
  <c r="GI74" i="4"/>
  <c r="FY12" i="8" s="1"/>
  <c r="GJ74" i="4"/>
  <c r="FZ12" i="8" s="1"/>
  <c r="GK74" i="4"/>
  <c r="GA12" i="8" s="1"/>
  <c r="GL74" i="4"/>
  <c r="GB12" i="8" s="1"/>
  <c r="GM74" i="4"/>
  <c r="GC12" i="8" s="1"/>
  <c r="GN74" i="4"/>
  <c r="GD12" i="8" s="1"/>
  <c r="FZ75" i="4"/>
  <c r="FP37" i="8" s="1"/>
  <c r="GA75" i="4"/>
  <c r="FQ37" i="8" s="1"/>
  <c r="GB75" i="4"/>
  <c r="FR37" i="8" s="1"/>
  <c r="GC75" i="4"/>
  <c r="FS37" i="8" s="1"/>
  <c r="GD75" i="4"/>
  <c r="FT37" i="8" s="1"/>
  <c r="GE75" i="4"/>
  <c r="FU37" i="8" s="1"/>
  <c r="GF75" i="4"/>
  <c r="FV37" i="8" s="1"/>
  <c r="GG75" i="4"/>
  <c r="FW37" i="8" s="1"/>
  <c r="GH75" i="4"/>
  <c r="FX37" i="8" s="1"/>
  <c r="GI75" i="4"/>
  <c r="FY37" i="8" s="1"/>
  <c r="GJ75" i="4"/>
  <c r="FZ37" i="8" s="1"/>
  <c r="GK75" i="4"/>
  <c r="GA37" i="8" s="1"/>
  <c r="GL75" i="4"/>
  <c r="GB37" i="8" s="1"/>
  <c r="GM75" i="4"/>
  <c r="GC37" i="8" s="1"/>
  <c r="GN75" i="4"/>
  <c r="GD37" i="8" s="1"/>
  <c r="FZ76" i="4"/>
  <c r="FP62" i="8" s="1"/>
  <c r="GA76" i="4"/>
  <c r="FQ62" i="8" s="1"/>
  <c r="GB76" i="4"/>
  <c r="FR62" i="8" s="1"/>
  <c r="GC76" i="4"/>
  <c r="FS62" i="8" s="1"/>
  <c r="GD76" i="4"/>
  <c r="FT62" i="8" s="1"/>
  <c r="GE76" i="4"/>
  <c r="FU62" i="8" s="1"/>
  <c r="GF76" i="4"/>
  <c r="FV62" i="8" s="1"/>
  <c r="GG76" i="4"/>
  <c r="FW62" i="8" s="1"/>
  <c r="GH76" i="4"/>
  <c r="FX62" i="8" s="1"/>
  <c r="GI76" i="4"/>
  <c r="FY62" i="8" s="1"/>
  <c r="GJ76" i="4"/>
  <c r="FZ62" i="8" s="1"/>
  <c r="GK76" i="4"/>
  <c r="GA62" i="8" s="1"/>
  <c r="GL76" i="4"/>
  <c r="GB62" i="8" s="1"/>
  <c r="GM76" i="4"/>
  <c r="GC62" i="8" s="1"/>
  <c r="GN76" i="4"/>
  <c r="GD62" i="8" s="1"/>
  <c r="FZ78" i="4"/>
  <c r="FP17" i="8" s="1"/>
  <c r="GA78" i="4"/>
  <c r="FQ17" i="8" s="1"/>
  <c r="GB78" i="4"/>
  <c r="FR17" i="8" s="1"/>
  <c r="GC78" i="4"/>
  <c r="FS17" i="8" s="1"/>
  <c r="GD78" i="4"/>
  <c r="FT17" i="8" s="1"/>
  <c r="GE78" i="4"/>
  <c r="FU17" i="8" s="1"/>
  <c r="GF78" i="4"/>
  <c r="FV17" i="8" s="1"/>
  <c r="GG78" i="4"/>
  <c r="FW17" i="8" s="1"/>
  <c r="GH78" i="4"/>
  <c r="FX17" i="8" s="1"/>
  <c r="GI78" i="4"/>
  <c r="FY17" i="8" s="1"/>
  <c r="GJ78" i="4"/>
  <c r="FZ17" i="8" s="1"/>
  <c r="GK78" i="4"/>
  <c r="GA17" i="8" s="1"/>
  <c r="GL78" i="4"/>
  <c r="GB17" i="8" s="1"/>
  <c r="GM78" i="4"/>
  <c r="GC17" i="8" s="1"/>
  <c r="GN78" i="4"/>
  <c r="GD17" i="8" s="1"/>
  <c r="FZ79" i="4"/>
  <c r="FP42" i="8" s="1"/>
  <c r="GA79" i="4"/>
  <c r="FQ42" i="8" s="1"/>
  <c r="GB79" i="4"/>
  <c r="FR42" i="8" s="1"/>
  <c r="GC79" i="4"/>
  <c r="FS42" i="8" s="1"/>
  <c r="GD79" i="4"/>
  <c r="FT42" i="8" s="1"/>
  <c r="GE79" i="4"/>
  <c r="FU42" i="8" s="1"/>
  <c r="GF79" i="4"/>
  <c r="FV42" i="8" s="1"/>
  <c r="GG79" i="4"/>
  <c r="FW42" i="8" s="1"/>
  <c r="GH79" i="4"/>
  <c r="FX42" i="8" s="1"/>
  <c r="GI79" i="4"/>
  <c r="FY42" i="8" s="1"/>
  <c r="GJ79" i="4"/>
  <c r="FZ42" i="8" s="1"/>
  <c r="GK79" i="4"/>
  <c r="GA42" i="8" s="1"/>
  <c r="GL79" i="4"/>
  <c r="GB42" i="8" s="1"/>
  <c r="GM79" i="4"/>
  <c r="GC42" i="8" s="1"/>
  <c r="GN79" i="4"/>
  <c r="GD42" i="8" s="1"/>
  <c r="FZ80" i="4"/>
  <c r="FP67" i="8" s="1"/>
  <c r="GA80" i="4"/>
  <c r="FQ67" i="8" s="1"/>
  <c r="GB80" i="4"/>
  <c r="FR67" i="8" s="1"/>
  <c r="GC80" i="4"/>
  <c r="FS67" i="8" s="1"/>
  <c r="GD80" i="4"/>
  <c r="FT67" i="8" s="1"/>
  <c r="GE80" i="4"/>
  <c r="FU67" i="8" s="1"/>
  <c r="GF80" i="4"/>
  <c r="FV67" i="8" s="1"/>
  <c r="GG80" i="4"/>
  <c r="FW67" i="8" s="1"/>
  <c r="GH80" i="4"/>
  <c r="FX67" i="8" s="1"/>
  <c r="GI80" i="4"/>
  <c r="FY67" i="8" s="1"/>
  <c r="GJ80" i="4"/>
  <c r="FZ67" i="8" s="1"/>
  <c r="GK80" i="4"/>
  <c r="GA67" i="8" s="1"/>
  <c r="GL80" i="4"/>
  <c r="GB67" i="8" s="1"/>
  <c r="GM80" i="4"/>
  <c r="GC67" i="8" s="1"/>
  <c r="GN80" i="4"/>
  <c r="GD67" i="8" s="1"/>
  <c r="FZ82" i="4"/>
  <c r="GA82" i="4"/>
  <c r="GB82" i="4"/>
  <c r="GC82" i="4"/>
  <c r="GD82" i="4"/>
  <c r="GE82" i="4"/>
  <c r="GF82" i="4"/>
  <c r="GG82" i="4"/>
  <c r="GH82" i="4"/>
  <c r="GI82" i="4"/>
  <c r="GJ82" i="4"/>
  <c r="GK82" i="4"/>
  <c r="GL82" i="4"/>
  <c r="GM82" i="4"/>
  <c r="GN82" i="4"/>
  <c r="FZ83" i="4"/>
  <c r="GA83" i="4"/>
  <c r="GB83" i="4"/>
  <c r="GC83" i="4"/>
  <c r="GD83" i="4"/>
  <c r="GE83" i="4"/>
  <c r="GF83" i="4"/>
  <c r="GG83" i="4"/>
  <c r="GH83" i="4"/>
  <c r="GI83" i="4"/>
  <c r="GJ83" i="4"/>
  <c r="GK83" i="4"/>
  <c r="GL83" i="4"/>
  <c r="GM83" i="4"/>
  <c r="GN83" i="4"/>
  <c r="FZ84" i="4"/>
  <c r="GA84" i="4"/>
  <c r="GB84" i="4"/>
  <c r="GC84" i="4"/>
  <c r="GD84" i="4"/>
  <c r="GE84" i="4"/>
  <c r="GF84" i="4"/>
  <c r="GG84" i="4"/>
  <c r="GH84" i="4"/>
  <c r="GI84" i="4"/>
  <c r="GJ84" i="4"/>
  <c r="GK84" i="4"/>
  <c r="GL84" i="4"/>
  <c r="GM84" i="4"/>
  <c r="GN84" i="4"/>
  <c r="FZ86" i="4"/>
  <c r="GA86" i="4"/>
  <c r="GB86" i="4"/>
  <c r="GC86" i="4"/>
  <c r="GD86" i="4"/>
  <c r="GE86" i="4"/>
  <c r="GF86" i="4"/>
  <c r="GG86" i="4"/>
  <c r="GH86" i="4"/>
  <c r="GI86" i="4"/>
  <c r="GJ86" i="4"/>
  <c r="GK86" i="4"/>
  <c r="GL86" i="4"/>
  <c r="GM86" i="4"/>
  <c r="GN86" i="4"/>
  <c r="FZ87" i="4"/>
  <c r="GA87" i="4"/>
  <c r="GB87" i="4"/>
  <c r="GC87" i="4"/>
  <c r="GD87" i="4"/>
  <c r="GE87" i="4"/>
  <c r="GF87" i="4"/>
  <c r="GG87" i="4"/>
  <c r="GH87" i="4"/>
  <c r="GI87" i="4"/>
  <c r="GJ87" i="4"/>
  <c r="GK87" i="4"/>
  <c r="GL87" i="4"/>
  <c r="GM87" i="4"/>
  <c r="GN87" i="4"/>
  <c r="FZ88" i="4"/>
  <c r="GA88" i="4"/>
  <c r="GB88" i="4"/>
  <c r="GC88" i="4"/>
  <c r="GD88" i="4"/>
  <c r="GE88" i="4"/>
  <c r="GF88" i="4"/>
  <c r="GG88" i="4"/>
  <c r="GH88" i="4"/>
  <c r="GI88" i="4"/>
  <c r="GJ88" i="4"/>
  <c r="GK88" i="4"/>
  <c r="GL88" i="4"/>
  <c r="GM88" i="4"/>
  <c r="GN88" i="4"/>
  <c r="GA57" i="4"/>
  <c r="GA45" i="4"/>
  <c r="FZ45" i="4"/>
  <c r="GA33" i="4"/>
  <c r="FZ33" i="4"/>
  <c r="GA20" i="4"/>
  <c r="FZ20" i="4"/>
  <c r="FY58" i="1"/>
  <c r="FY45" i="1"/>
  <c r="FY32" i="1"/>
  <c r="FY19" i="1"/>
  <c r="FY33" i="6"/>
  <c r="FY20" i="6"/>
  <c r="FY57" i="4"/>
  <c r="FY45" i="4"/>
  <c r="FY33" i="4"/>
  <c r="FY20" i="4"/>
  <c r="FY59" i="2"/>
  <c r="FY46" i="2"/>
  <c r="FY33" i="2"/>
  <c r="FX57" i="4"/>
  <c r="FX45" i="4"/>
  <c r="FX33" i="4"/>
  <c r="FX20" i="4"/>
  <c r="FX59" i="2"/>
  <c r="FX46" i="2"/>
  <c r="FX33" i="2"/>
  <c r="FX33" i="6"/>
  <c r="FX20" i="6"/>
  <c r="FX58" i="1"/>
  <c r="FX45" i="1"/>
  <c r="FX32" i="1"/>
  <c r="FX19" i="1"/>
  <c r="FT30" i="5"/>
  <c r="FS30" i="5"/>
  <c r="FT60" i="5"/>
  <c r="FS60" i="5"/>
  <c r="FT89" i="5"/>
  <c r="FS89" i="5"/>
  <c r="FW57" i="4"/>
  <c r="FV57" i="4"/>
  <c r="FW45" i="4"/>
  <c r="FV45" i="4"/>
  <c r="FW33" i="4"/>
  <c r="FV33" i="4"/>
  <c r="FW20" i="4"/>
  <c r="FV20" i="4"/>
  <c r="FW33" i="6"/>
  <c r="FV33" i="6"/>
  <c r="FW20" i="6"/>
  <c r="FV20" i="6"/>
  <c r="FW58" i="1"/>
  <c r="FV58" i="1"/>
  <c r="FW45" i="1"/>
  <c r="FV45" i="1"/>
  <c r="FW32" i="1"/>
  <c r="FV32" i="1"/>
  <c r="FW19" i="1"/>
  <c r="FV19" i="1"/>
  <c r="FW59" i="2"/>
  <c r="FV59" i="2"/>
  <c r="FW46" i="2"/>
  <c r="FV46" i="2"/>
  <c r="FW33" i="2"/>
  <c r="FV33" i="2"/>
  <c r="FR60" i="5"/>
  <c r="FQ60" i="5"/>
  <c r="FP60" i="5"/>
  <c r="FR30" i="5"/>
  <c r="FQ30" i="5"/>
  <c r="FP30" i="5"/>
  <c r="FR89" i="5"/>
  <c r="FQ89" i="5"/>
  <c r="FP89" i="5"/>
  <c r="FU57" i="4"/>
  <c r="FT57" i="4"/>
  <c r="FU45" i="4"/>
  <c r="FT45" i="4"/>
  <c r="FU33" i="4"/>
  <c r="FT33" i="4"/>
  <c r="FU20" i="4"/>
  <c r="FT20" i="4"/>
  <c r="FR20" i="4"/>
  <c r="FR33" i="4"/>
  <c r="FR45" i="4"/>
  <c r="FR57" i="4"/>
  <c r="FU59" i="2"/>
  <c r="FT59" i="2"/>
  <c r="FU46" i="2"/>
  <c r="FT46" i="2"/>
  <c r="FU33" i="2"/>
  <c r="FT33" i="2"/>
  <c r="FU33" i="6"/>
  <c r="FT33" i="6"/>
  <c r="FU20" i="6"/>
  <c r="FT20" i="6"/>
  <c r="FU58" i="1"/>
  <c r="FT58" i="1"/>
  <c r="FU45" i="1"/>
  <c r="FT45" i="1"/>
  <c r="FU32" i="1"/>
  <c r="FT32" i="1"/>
  <c r="FU19" i="1"/>
  <c r="FT19" i="1"/>
  <c r="FS57" i="4"/>
  <c r="FS45" i="4"/>
  <c r="FS33" i="4"/>
  <c r="FS20" i="4"/>
  <c r="FS59" i="2"/>
  <c r="FS46" i="2"/>
  <c r="FS33" i="2"/>
  <c r="FS33" i="6"/>
  <c r="FS20" i="6"/>
  <c r="FS58" i="1"/>
  <c r="FS45" i="1"/>
  <c r="FS32" i="1"/>
  <c r="FS19" i="1"/>
  <c r="FO60" i="5"/>
  <c r="FO30" i="5"/>
  <c r="FM30" i="5"/>
  <c r="FO89" i="5"/>
  <c r="FR59" i="2"/>
  <c r="FR46" i="2"/>
  <c r="FR33" i="2"/>
  <c r="FR33" i="6"/>
  <c r="FR20" i="6"/>
  <c r="FR58" i="1"/>
  <c r="FR45" i="1"/>
  <c r="FR32" i="1"/>
  <c r="FR19" i="1"/>
  <c r="FN89" i="5"/>
  <c r="FM89" i="5"/>
  <c r="FL89" i="5"/>
  <c r="FK89" i="5"/>
  <c r="FJ89" i="5"/>
  <c r="FI89" i="5"/>
  <c r="FH89" i="5"/>
  <c r="FN60" i="5"/>
  <c r="FM60" i="5"/>
  <c r="FL60" i="5"/>
  <c r="FK60" i="5"/>
  <c r="FJ60" i="5"/>
  <c r="FI60" i="5"/>
  <c r="FH60" i="5"/>
  <c r="FN30" i="5"/>
  <c r="FL30" i="5"/>
  <c r="FK30" i="5"/>
  <c r="FJ30" i="5"/>
  <c r="FI30" i="5"/>
  <c r="FH30" i="5"/>
  <c r="FQ57" i="4"/>
  <c r="FQ45" i="4"/>
  <c r="FQ33" i="4"/>
  <c r="FQ20" i="4"/>
  <c r="FQ59" i="2"/>
  <c r="FQ46" i="2"/>
  <c r="FQ33" i="2"/>
  <c r="FQ33" i="6"/>
  <c r="FQ20" i="6"/>
  <c r="FQ58" i="1"/>
  <c r="FQ45" i="1"/>
  <c r="FQ32" i="1"/>
  <c r="FQ19" i="1"/>
  <c r="FP57" i="4"/>
  <c r="FP45" i="4"/>
  <c r="FP33" i="4"/>
  <c r="FP20" i="4"/>
  <c r="FP59" i="2"/>
  <c r="FP46" i="2"/>
  <c r="FP33" i="2"/>
  <c r="FP33" i="6"/>
  <c r="FP20" i="6"/>
  <c r="FP58" i="1"/>
  <c r="FP45" i="1"/>
  <c r="FP32" i="1"/>
  <c r="FP19" i="1"/>
  <c r="FO57" i="4"/>
  <c r="FO45" i="4"/>
  <c r="FO33" i="4"/>
  <c r="FO20" i="4"/>
  <c r="FO59" i="2"/>
  <c r="FO46" i="2"/>
  <c r="FO33" i="2"/>
  <c r="FO33" i="6"/>
  <c r="FO20" i="6"/>
  <c r="FO58" i="1"/>
  <c r="FO45" i="1"/>
  <c r="FO32" i="1"/>
  <c r="FO19" i="1"/>
  <c r="FN57" i="4"/>
  <c r="FM57" i="4"/>
  <c r="FN45" i="4"/>
  <c r="FM45" i="4"/>
  <c r="FN33" i="4"/>
  <c r="FM33" i="4"/>
  <c r="FN20" i="4"/>
  <c r="FM20" i="4"/>
  <c r="FN59" i="2"/>
  <c r="FM59" i="2"/>
  <c r="FN46" i="2"/>
  <c r="FM46" i="2"/>
  <c r="FN33" i="2"/>
  <c r="FM33" i="2"/>
  <c r="FN33" i="6"/>
  <c r="FM33" i="6"/>
  <c r="FN20" i="6"/>
  <c r="FM20" i="6"/>
  <c r="FN58" i="1"/>
  <c r="FN45" i="1"/>
  <c r="FN32" i="1"/>
  <c r="FN19" i="1"/>
  <c r="FM58" i="1"/>
  <c r="FM45" i="1"/>
  <c r="FM32" i="1"/>
  <c r="FM19" i="1"/>
  <c r="FL57" i="4"/>
  <c r="FL45" i="4"/>
  <c r="FL33" i="4"/>
  <c r="FL20" i="4"/>
  <c r="FL59" i="2"/>
  <c r="FL46" i="2"/>
  <c r="FL33" i="2"/>
  <c r="FL33" i="6"/>
  <c r="FL20" i="6"/>
  <c r="FL58" i="1"/>
  <c r="FL45" i="1"/>
  <c r="FL32" i="1"/>
  <c r="FL19" i="1"/>
  <c r="FK74" i="4"/>
  <c r="FA12" i="8" s="1"/>
  <c r="FL74" i="4"/>
  <c r="FB12" i="8" s="1"/>
  <c r="FM74" i="4"/>
  <c r="FC12" i="8" s="1"/>
  <c r="FN74" i="4"/>
  <c r="FD12" i="8" s="1"/>
  <c r="FO74" i="4"/>
  <c r="FE12" i="8" s="1"/>
  <c r="FP74" i="4"/>
  <c r="FF12" i="8" s="1"/>
  <c r="FQ74" i="4"/>
  <c r="FG12" i="8" s="1"/>
  <c r="FR74" i="4"/>
  <c r="FH12" i="8" s="1"/>
  <c r="FS74" i="4"/>
  <c r="FI12" i="8" s="1"/>
  <c r="FT74" i="4"/>
  <c r="FJ12" i="8" s="1"/>
  <c r="FU74" i="4"/>
  <c r="FK12" i="8" s="1"/>
  <c r="FV74" i="4"/>
  <c r="FL12" i="8" s="1"/>
  <c r="FW74" i="4"/>
  <c r="FM12" i="8" s="1"/>
  <c r="FX74" i="4"/>
  <c r="FN12" i="8" s="1"/>
  <c r="FY74" i="4"/>
  <c r="FO12" i="8" s="1"/>
  <c r="FK75" i="4"/>
  <c r="FA37" i="8" s="1"/>
  <c r="FL75" i="4"/>
  <c r="FB37" i="8" s="1"/>
  <c r="FM75" i="4"/>
  <c r="FC37" i="8" s="1"/>
  <c r="FN75" i="4"/>
  <c r="FD37" i="8" s="1"/>
  <c r="FO75" i="4"/>
  <c r="FE37" i="8" s="1"/>
  <c r="FP75" i="4"/>
  <c r="FF37" i="8" s="1"/>
  <c r="FQ75" i="4"/>
  <c r="FG37" i="8" s="1"/>
  <c r="FR75" i="4"/>
  <c r="FH37" i="8" s="1"/>
  <c r="FS75" i="4"/>
  <c r="FI37" i="8" s="1"/>
  <c r="FT75" i="4"/>
  <c r="FJ37" i="8" s="1"/>
  <c r="FU75" i="4"/>
  <c r="FK37" i="8" s="1"/>
  <c r="FV75" i="4"/>
  <c r="FL37" i="8" s="1"/>
  <c r="FW75" i="4"/>
  <c r="FM37" i="8" s="1"/>
  <c r="FX75" i="4"/>
  <c r="FN37" i="8" s="1"/>
  <c r="FY75" i="4"/>
  <c r="FO37" i="8" s="1"/>
  <c r="FK76" i="4"/>
  <c r="FA62" i="8" s="1"/>
  <c r="FL76" i="4"/>
  <c r="FB62" i="8" s="1"/>
  <c r="FM76" i="4"/>
  <c r="FC62" i="8" s="1"/>
  <c r="FN76" i="4"/>
  <c r="FD62" i="8" s="1"/>
  <c r="FO76" i="4"/>
  <c r="FE62" i="8" s="1"/>
  <c r="FP76" i="4"/>
  <c r="FF62" i="8" s="1"/>
  <c r="FQ76" i="4"/>
  <c r="FG62" i="8" s="1"/>
  <c r="FR76" i="4"/>
  <c r="FH62" i="8" s="1"/>
  <c r="FS76" i="4"/>
  <c r="FI62" i="8" s="1"/>
  <c r="FT76" i="4"/>
  <c r="FJ62" i="8" s="1"/>
  <c r="FU76" i="4"/>
  <c r="FK62" i="8" s="1"/>
  <c r="FV76" i="4"/>
  <c r="FL62" i="8" s="1"/>
  <c r="FW76" i="4"/>
  <c r="FM62" i="8" s="1"/>
  <c r="FX76" i="4"/>
  <c r="FN62" i="8" s="1"/>
  <c r="FY76" i="4"/>
  <c r="FO62" i="8" s="1"/>
  <c r="FK78" i="4"/>
  <c r="FA17" i="8" s="1"/>
  <c r="FL78" i="4"/>
  <c r="FB17" i="8" s="1"/>
  <c r="FM78" i="4"/>
  <c r="FC17" i="8" s="1"/>
  <c r="FN78" i="4"/>
  <c r="FD17" i="8" s="1"/>
  <c r="FO78" i="4"/>
  <c r="FE17" i="8" s="1"/>
  <c r="FP78" i="4"/>
  <c r="FF17" i="8" s="1"/>
  <c r="FQ78" i="4"/>
  <c r="FG17" i="8" s="1"/>
  <c r="FR78" i="4"/>
  <c r="FH17" i="8" s="1"/>
  <c r="FS78" i="4"/>
  <c r="FI17" i="8" s="1"/>
  <c r="FT78" i="4"/>
  <c r="FJ17" i="8" s="1"/>
  <c r="FU78" i="4"/>
  <c r="FK17" i="8" s="1"/>
  <c r="FV78" i="4"/>
  <c r="FL17" i="8" s="1"/>
  <c r="FW78" i="4"/>
  <c r="FM17" i="8" s="1"/>
  <c r="FX78" i="4"/>
  <c r="FN17" i="8" s="1"/>
  <c r="FY78" i="4"/>
  <c r="FO17" i="8" s="1"/>
  <c r="FK79" i="4"/>
  <c r="FA42" i="8" s="1"/>
  <c r="FL79" i="4"/>
  <c r="FB42" i="8" s="1"/>
  <c r="FM79" i="4"/>
  <c r="FC42" i="8" s="1"/>
  <c r="FN79" i="4"/>
  <c r="FD42" i="8" s="1"/>
  <c r="FO79" i="4"/>
  <c r="FE42" i="8" s="1"/>
  <c r="FP79" i="4"/>
  <c r="FF42" i="8" s="1"/>
  <c r="FQ79" i="4"/>
  <c r="FG42" i="8" s="1"/>
  <c r="FR79" i="4"/>
  <c r="FH42" i="8" s="1"/>
  <c r="FS79" i="4"/>
  <c r="FI42" i="8" s="1"/>
  <c r="FT79" i="4"/>
  <c r="FJ42" i="8" s="1"/>
  <c r="FU79" i="4"/>
  <c r="FK42" i="8" s="1"/>
  <c r="FV79" i="4"/>
  <c r="FL42" i="8" s="1"/>
  <c r="FW79" i="4"/>
  <c r="FM42" i="8" s="1"/>
  <c r="FX79" i="4"/>
  <c r="FN42" i="8" s="1"/>
  <c r="FY79" i="4"/>
  <c r="FO42" i="8" s="1"/>
  <c r="FK80" i="4"/>
  <c r="FA67" i="8" s="1"/>
  <c r="FL80" i="4"/>
  <c r="FB67" i="8" s="1"/>
  <c r="FM80" i="4"/>
  <c r="FC67" i="8" s="1"/>
  <c r="FN80" i="4"/>
  <c r="FD67" i="8" s="1"/>
  <c r="FO80" i="4"/>
  <c r="FE67" i="8" s="1"/>
  <c r="FP80" i="4"/>
  <c r="FF67" i="8" s="1"/>
  <c r="FQ80" i="4"/>
  <c r="FG67" i="8" s="1"/>
  <c r="FR80" i="4"/>
  <c r="FH67" i="8" s="1"/>
  <c r="FS80" i="4"/>
  <c r="FI67" i="8" s="1"/>
  <c r="FT80" i="4"/>
  <c r="FJ67" i="8" s="1"/>
  <c r="FU80" i="4"/>
  <c r="FK67" i="8" s="1"/>
  <c r="FV80" i="4"/>
  <c r="FL67" i="8" s="1"/>
  <c r="FW80" i="4"/>
  <c r="FM67" i="8" s="1"/>
  <c r="FX80" i="4"/>
  <c r="FN67" i="8" s="1"/>
  <c r="FY80" i="4"/>
  <c r="FO67" i="8" s="1"/>
  <c r="FK82" i="4"/>
  <c r="FL82" i="4"/>
  <c r="FM82" i="4"/>
  <c r="FN82" i="4"/>
  <c r="FO82" i="4"/>
  <c r="FP82" i="4"/>
  <c r="FQ82" i="4"/>
  <c r="FR82" i="4"/>
  <c r="FS82" i="4"/>
  <c r="FT82" i="4"/>
  <c r="FU82" i="4"/>
  <c r="FV82" i="4"/>
  <c r="FW82" i="4"/>
  <c r="FX82" i="4"/>
  <c r="FY82" i="4"/>
  <c r="FK83" i="4"/>
  <c r="FL83" i="4"/>
  <c r="FM83" i="4"/>
  <c r="FN83" i="4"/>
  <c r="FO83" i="4"/>
  <c r="FP83" i="4"/>
  <c r="FQ83" i="4"/>
  <c r="FR83" i="4"/>
  <c r="FS83" i="4"/>
  <c r="FT83" i="4"/>
  <c r="FU83" i="4"/>
  <c r="FV83" i="4"/>
  <c r="FW83" i="4"/>
  <c r="FX83" i="4"/>
  <c r="FY83" i="4"/>
  <c r="FK84" i="4"/>
  <c r="FL84" i="4"/>
  <c r="FM84" i="4"/>
  <c r="FN84" i="4"/>
  <c r="FO84" i="4"/>
  <c r="FP84" i="4"/>
  <c r="FQ84" i="4"/>
  <c r="FR84" i="4"/>
  <c r="FS84" i="4"/>
  <c r="FT84" i="4"/>
  <c r="FU84" i="4"/>
  <c r="FV84" i="4"/>
  <c r="FW84" i="4"/>
  <c r="FX84" i="4"/>
  <c r="FY84" i="4"/>
  <c r="FK86" i="4"/>
  <c r="FL86" i="4"/>
  <c r="FM86" i="4"/>
  <c r="FN86" i="4"/>
  <c r="FO86" i="4"/>
  <c r="FP86" i="4"/>
  <c r="FQ86" i="4"/>
  <c r="FR86" i="4"/>
  <c r="FS86" i="4"/>
  <c r="FT86" i="4"/>
  <c r="FU86" i="4"/>
  <c r="FV86" i="4"/>
  <c r="FW86" i="4"/>
  <c r="FX86" i="4"/>
  <c r="FY86" i="4"/>
  <c r="FK87" i="4"/>
  <c r="FL87" i="4"/>
  <c r="FM87" i="4"/>
  <c r="FN87" i="4"/>
  <c r="FO87" i="4"/>
  <c r="FP87" i="4"/>
  <c r="FQ87" i="4"/>
  <c r="FR87" i="4"/>
  <c r="FS87" i="4"/>
  <c r="FT87" i="4"/>
  <c r="FU87" i="4"/>
  <c r="FV87" i="4"/>
  <c r="FW87" i="4"/>
  <c r="FX87" i="4"/>
  <c r="FY87" i="4"/>
  <c r="FK88" i="4"/>
  <c r="FL88" i="4"/>
  <c r="FM88" i="4"/>
  <c r="FN88" i="4"/>
  <c r="FO88" i="4"/>
  <c r="FP88" i="4"/>
  <c r="FQ88" i="4"/>
  <c r="FR88" i="4"/>
  <c r="FS88" i="4"/>
  <c r="FT88" i="4"/>
  <c r="FU88" i="4"/>
  <c r="FV88" i="4"/>
  <c r="FW88" i="4"/>
  <c r="FX88" i="4"/>
  <c r="FY88" i="4"/>
  <c r="FA34" i="8"/>
  <c r="FB34" i="8"/>
  <c r="FC34" i="8"/>
  <c r="FD34" i="8"/>
  <c r="FE34" i="8"/>
  <c r="FF34" i="8"/>
  <c r="FG34" i="8"/>
  <c r="FH34" i="8"/>
  <c r="FI34" i="8"/>
  <c r="FJ34" i="8"/>
  <c r="FK34" i="8"/>
  <c r="FL34" i="8"/>
  <c r="FA36" i="8"/>
  <c r="FB36" i="8"/>
  <c r="FC36" i="8"/>
  <c r="FD36" i="8"/>
  <c r="FE36" i="8"/>
  <c r="FF36" i="8"/>
  <c r="FG36" i="8"/>
  <c r="FH36" i="8"/>
  <c r="FI36" i="8"/>
  <c r="FJ36" i="8"/>
  <c r="FK36" i="8"/>
  <c r="FL36" i="8"/>
  <c r="FK57" i="4"/>
  <c r="FK45" i="4"/>
  <c r="FK33" i="4"/>
  <c r="FK20" i="4"/>
  <c r="FK75" i="1"/>
  <c r="FA9" i="8" s="1"/>
  <c r="FL75" i="1"/>
  <c r="FB9" i="8" s="1"/>
  <c r="FM75" i="1"/>
  <c r="FC9" i="8" s="1"/>
  <c r="FN75" i="1"/>
  <c r="FD9" i="8" s="1"/>
  <c r="FO75" i="1"/>
  <c r="FE9" i="8" s="1"/>
  <c r="FP75" i="1"/>
  <c r="FF9" i="8" s="1"/>
  <c r="FQ75" i="1"/>
  <c r="FG9" i="8" s="1"/>
  <c r="FR75" i="1"/>
  <c r="FH9" i="8" s="1"/>
  <c r="FS75" i="1"/>
  <c r="FI9" i="8" s="1"/>
  <c r="FT75" i="1"/>
  <c r="FJ9" i="8" s="1"/>
  <c r="FU75" i="1"/>
  <c r="FK9" i="8" s="1"/>
  <c r="FV75" i="1"/>
  <c r="FL9" i="8" s="1"/>
  <c r="FW75" i="1"/>
  <c r="FM9" i="8" s="1"/>
  <c r="FX75" i="1"/>
  <c r="FN9" i="8" s="1"/>
  <c r="FY75" i="1"/>
  <c r="FO9" i="8" s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K77" i="1"/>
  <c r="FA59" i="8" s="1"/>
  <c r="FL77" i="1"/>
  <c r="FB59" i="8" s="1"/>
  <c r="FM77" i="1"/>
  <c r="FC59" i="8" s="1"/>
  <c r="FN77" i="1"/>
  <c r="FD59" i="8" s="1"/>
  <c r="FO77" i="1"/>
  <c r="FE59" i="8" s="1"/>
  <c r="FP77" i="1"/>
  <c r="FF59" i="8" s="1"/>
  <c r="FQ77" i="1"/>
  <c r="FG59" i="8" s="1"/>
  <c r="FR77" i="1"/>
  <c r="FH59" i="8" s="1"/>
  <c r="FS77" i="1"/>
  <c r="FI59" i="8" s="1"/>
  <c r="FT77" i="1"/>
  <c r="FJ59" i="8" s="1"/>
  <c r="FU77" i="1"/>
  <c r="FK59" i="8" s="1"/>
  <c r="FV77" i="1"/>
  <c r="FL59" i="8" s="1"/>
  <c r="FW77" i="1"/>
  <c r="FM59" i="8" s="1"/>
  <c r="FX77" i="1"/>
  <c r="FN59" i="8" s="1"/>
  <c r="FY77" i="1"/>
  <c r="FO59" i="8" s="1"/>
  <c r="FK79" i="1"/>
  <c r="FA14" i="8" s="1"/>
  <c r="FL79" i="1"/>
  <c r="FB14" i="8" s="1"/>
  <c r="FM79" i="1"/>
  <c r="FC14" i="8" s="1"/>
  <c r="FN79" i="1"/>
  <c r="FD14" i="8" s="1"/>
  <c r="FO79" i="1"/>
  <c r="FE14" i="8" s="1"/>
  <c r="FP79" i="1"/>
  <c r="FF14" i="8" s="1"/>
  <c r="FQ79" i="1"/>
  <c r="FG14" i="8" s="1"/>
  <c r="FR79" i="1"/>
  <c r="FH14" i="8" s="1"/>
  <c r="FS79" i="1"/>
  <c r="FI14" i="8" s="1"/>
  <c r="FT79" i="1"/>
  <c r="FJ14" i="8" s="1"/>
  <c r="FU79" i="1"/>
  <c r="FK14" i="8" s="1"/>
  <c r="FV79" i="1"/>
  <c r="FL14" i="8" s="1"/>
  <c r="FW79" i="1"/>
  <c r="FM14" i="8" s="1"/>
  <c r="FX79" i="1"/>
  <c r="FN14" i="8" s="1"/>
  <c r="FY79" i="1"/>
  <c r="FO14" i="8" s="1"/>
  <c r="FK80" i="1"/>
  <c r="FA39" i="8" s="1"/>
  <c r="FL80" i="1"/>
  <c r="FB39" i="8" s="1"/>
  <c r="FM80" i="1"/>
  <c r="FC39" i="8" s="1"/>
  <c r="FN80" i="1"/>
  <c r="FD39" i="8" s="1"/>
  <c r="FO80" i="1"/>
  <c r="FE39" i="8" s="1"/>
  <c r="FP80" i="1"/>
  <c r="FF39" i="8" s="1"/>
  <c r="FQ80" i="1"/>
  <c r="FG39" i="8" s="1"/>
  <c r="FR80" i="1"/>
  <c r="FH39" i="8" s="1"/>
  <c r="FS80" i="1"/>
  <c r="FI39" i="8" s="1"/>
  <c r="FT80" i="1"/>
  <c r="FJ39" i="8" s="1"/>
  <c r="FU80" i="1"/>
  <c r="FK39" i="8" s="1"/>
  <c r="FV80" i="1"/>
  <c r="FL39" i="8" s="1"/>
  <c r="FW80" i="1"/>
  <c r="FM39" i="8" s="1"/>
  <c r="FX80" i="1"/>
  <c r="FN39" i="8" s="1"/>
  <c r="FY80" i="1"/>
  <c r="FO39" i="8" s="1"/>
  <c r="FK81" i="1"/>
  <c r="FA64" i="8" s="1"/>
  <c r="FL81" i="1"/>
  <c r="FB64" i="8" s="1"/>
  <c r="FM81" i="1"/>
  <c r="FC64" i="8" s="1"/>
  <c r="FN81" i="1"/>
  <c r="FD64" i="8" s="1"/>
  <c r="FO81" i="1"/>
  <c r="FE64" i="8" s="1"/>
  <c r="FP81" i="1"/>
  <c r="FF64" i="8" s="1"/>
  <c r="FQ81" i="1"/>
  <c r="FG64" i="8" s="1"/>
  <c r="FR81" i="1"/>
  <c r="FH64" i="8" s="1"/>
  <c r="FS81" i="1"/>
  <c r="FI64" i="8" s="1"/>
  <c r="FT81" i="1"/>
  <c r="FJ64" i="8" s="1"/>
  <c r="FU81" i="1"/>
  <c r="FK64" i="8" s="1"/>
  <c r="FV81" i="1"/>
  <c r="FL64" i="8" s="1"/>
  <c r="FW81" i="1"/>
  <c r="FM64" i="8" s="1"/>
  <c r="FX81" i="1"/>
  <c r="FN64" i="8" s="1"/>
  <c r="FY81" i="1"/>
  <c r="FO64" i="8" s="1"/>
  <c r="FK38" i="6"/>
  <c r="FA11" i="8" s="1"/>
  <c r="FL38" i="6"/>
  <c r="FB11" i="8" s="1"/>
  <c r="FM38" i="6"/>
  <c r="FC11" i="8" s="1"/>
  <c r="FN38" i="6"/>
  <c r="FD11" i="8" s="1"/>
  <c r="FO38" i="6"/>
  <c r="FE11" i="8" s="1"/>
  <c r="FP38" i="6"/>
  <c r="FF11" i="8" s="1"/>
  <c r="FQ38" i="6"/>
  <c r="FG11" i="8" s="1"/>
  <c r="FR38" i="6"/>
  <c r="FH11" i="8" s="1"/>
  <c r="FS38" i="6"/>
  <c r="FI11" i="8" s="1"/>
  <c r="FT38" i="6"/>
  <c r="FJ11" i="8" s="1"/>
  <c r="FU38" i="6"/>
  <c r="FK11" i="8" s="1"/>
  <c r="FV38" i="6"/>
  <c r="FL11" i="8" s="1"/>
  <c r="FW38" i="6"/>
  <c r="FM11" i="8" s="1"/>
  <c r="FX38" i="6"/>
  <c r="FN11" i="8" s="1"/>
  <c r="FY38" i="6"/>
  <c r="FO11" i="8" s="1"/>
  <c r="FK39" i="6"/>
  <c r="FL39" i="6"/>
  <c r="FM39" i="6"/>
  <c r="FN39" i="6"/>
  <c r="FO39" i="6"/>
  <c r="FP39" i="6"/>
  <c r="FQ39" i="6"/>
  <c r="FR39" i="6"/>
  <c r="FS39" i="6"/>
  <c r="FT39" i="6"/>
  <c r="FU39" i="6"/>
  <c r="FV39" i="6"/>
  <c r="FW39" i="6"/>
  <c r="FX39" i="6"/>
  <c r="FY39" i="6"/>
  <c r="FK40" i="6"/>
  <c r="FA61" i="8" s="1"/>
  <c r="FL40" i="6"/>
  <c r="FB61" i="8" s="1"/>
  <c r="FM40" i="6"/>
  <c r="FC61" i="8" s="1"/>
  <c r="FN40" i="6"/>
  <c r="FD61" i="8" s="1"/>
  <c r="FO40" i="6"/>
  <c r="FE61" i="8" s="1"/>
  <c r="FP40" i="6"/>
  <c r="FF61" i="8" s="1"/>
  <c r="FQ40" i="6"/>
  <c r="FG61" i="8" s="1"/>
  <c r="FR40" i="6"/>
  <c r="FH61" i="8" s="1"/>
  <c r="FS40" i="6"/>
  <c r="FI61" i="8" s="1"/>
  <c r="FT40" i="6"/>
  <c r="FJ61" i="8" s="1"/>
  <c r="FU40" i="6"/>
  <c r="FK61" i="8" s="1"/>
  <c r="FV40" i="6"/>
  <c r="FL61" i="8" s="1"/>
  <c r="FW40" i="6"/>
  <c r="FM61" i="8" s="1"/>
  <c r="FX40" i="6"/>
  <c r="FN61" i="8" s="1"/>
  <c r="FY40" i="6"/>
  <c r="FO61" i="8" s="1"/>
  <c r="FK42" i="6"/>
  <c r="FA16" i="8" s="1"/>
  <c r="FL42" i="6"/>
  <c r="FB16" i="8" s="1"/>
  <c r="FM42" i="6"/>
  <c r="FC16" i="8" s="1"/>
  <c r="FN42" i="6"/>
  <c r="FD16" i="8" s="1"/>
  <c r="FO42" i="6"/>
  <c r="FE16" i="8" s="1"/>
  <c r="FP42" i="6"/>
  <c r="FF16" i="8" s="1"/>
  <c r="FQ42" i="6"/>
  <c r="FG16" i="8" s="1"/>
  <c r="FR42" i="6"/>
  <c r="FH16" i="8" s="1"/>
  <c r="FS42" i="6"/>
  <c r="FI16" i="8" s="1"/>
  <c r="FT42" i="6"/>
  <c r="FJ16" i="8" s="1"/>
  <c r="FU42" i="6"/>
  <c r="FK16" i="8" s="1"/>
  <c r="FV42" i="6"/>
  <c r="FL16" i="8" s="1"/>
  <c r="FW42" i="6"/>
  <c r="FM16" i="8" s="1"/>
  <c r="FX42" i="6"/>
  <c r="FN16" i="8" s="1"/>
  <c r="FY42" i="6"/>
  <c r="FO16" i="8" s="1"/>
  <c r="FK43" i="6"/>
  <c r="FA41" i="8" s="1"/>
  <c r="FL43" i="6"/>
  <c r="FB41" i="8" s="1"/>
  <c r="FM43" i="6"/>
  <c r="FC41" i="8" s="1"/>
  <c r="FN43" i="6"/>
  <c r="FD41" i="8" s="1"/>
  <c r="FO43" i="6"/>
  <c r="FE41" i="8" s="1"/>
  <c r="FP43" i="6"/>
  <c r="FF41" i="8" s="1"/>
  <c r="FQ43" i="6"/>
  <c r="FG41" i="8" s="1"/>
  <c r="FR43" i="6"/>
  <c r="FH41" i="8" s="1"/>
  <c r="FS43" i="6"/>
  <c r="FI41" i="8" s="1"/>
  <c r="FT43" i="6"/>
  <c r="FJ41" i="8" s="1"/>
  <c r="FU43" i="6"/>
  <c r="FK41" i="8" s="1"/>
  <c r="FV43" i="6"/>
  <c r="FL41" i="8" s="1"/>
  <c r="FW43" i="6"/>
  <c r="FM41" i="8" s="1"/>
  <c r="FX43" i="6"/>
  <c r="FN41" i="8" s="1"/>
  <c r="FY43" i="6"/>
  <c r="FO41" i="8" s="1"/>
  <c r="FK44" i="6"/>
  <c r="FA66" i="8" s="1"/>
  <c r="FL44" i="6"/>
  <c r="FB66" i="8" s="1"/>
  <c r="FM44" i="6"/>
  <c r="FC66" i="8" s="1"/>
  <c r="FN44" i="6"/>
  <c r="FD66" i="8" s="1"/>
  <c r="FO44" i="6"/>
  <c r="FE66" i="8" s="1"/>
  <c r="FP44" i="6"/>
  <c r="FF66" i="8" s="1"/>
  <c r="FQ44" i="6"/>
  <c r="FG66" i="8" s="1"/>
  <c r="FR44" i="6"/>
  <c r="FH66" i="8" s="1"/>
  <c r="FS44" i="6"/>
  <c r="FI66" i="8" s="1"/>
  <c r="FT44" i="6"/>
  <c r="FJ66" i="8" s="1"/>
  <c r="FU44" i="6"/>
  <c r="FK66" i="8" s="1"/>
  <c r="FV44" i="6"/>
  <c r="FL66" i="8" s="1"/>
  <c r="FW44" i="6"/>
  <c r="FM66" i="8" s="1"/>
  <c r="FX44" i="6"/>
  <c r="FN66" i="8" s="1"/>
  <c r="FY44" i="6"/>
  <c r="FO66" i="8" s="1"/>
  <c r="FK33" i="6"/>
  <c r="FK20" i="6"/>
  <c r="FK58" i="1"/>
  <c r="FK45" i="1"/>
  <c r="FK32" i="1"/>
  <c r="FK19" i="1"/>
  <c r="FK88" i="2"/>
  <c r="FA10" i="8" s="1"/>
  <c r="FL88" i="2"/>
  <c r="FB10" i="8" s="1"/>
  <c r="FM88" i="2"/>
  <c r="FC10" i="8" s="1"/>
  <c r="FN88" i="2"/>
  <c r="FD10" i="8" s="1"/>
  <c r="FO88" i="2"/>
  <c r="FE10" i="8" s="1"/>
  <c r="FP88" i="2"/>
  <c r="FF10" i="8" s="1"/>
  <c r="FQ88" i="2"/>
  <c r="FG10" i="8" s="1"/>
  <c r="FR88" i="2"/>
  <c r="FH10" i="8" s="1"/>
  <c r="FS88" i="2"/>
  <c r="FI10" i="8" s="1"/>
  <c r="FT88" i="2"/>
  <c r="FJ10" i="8" s="1"/>
  <c r="FU88" i="2"/>
  <c r="FK10" i="8" s="1"/>
  <c r="FV88" i="2"/>
  <c r="FL10" i="8" s="1"/>
  <c r="FW88" i="2"/>
  <c r="FM10" i="8" s="1"/>
  <c r="FX88" i="2"/>
  <c r="FN10" i="8" s="1"/>
  <c r="FY88" i="2"/>
  <c r="FO10" i="8" s="1"/>
  <c r="FK89" i="2"/>
  <c r="FA35" i="8" s="1"/>
  <c r="FL89" i="2"/>
  <c r="FB35" i="8" s="1"/>
  <c r="FM89" i="2"/>
  <c r="FC35" i="8" s="1"/>
  <c r="FN89" i="2"/>
  <c r="FD35" i="8" s="1"/>
  <c r="FO89" i="2"/>
  <c r="FE35" i="8" s="1"/>
  <c r="FP89" i="2"/>
  <c r="FF35" i="8" s="1"/>
  <c r="FQ89" i="2"/>
  <c r="FG35" i="8" s="1"/>
  <c r="FR89" i="2"/>
  <c r="FH35" i="8" s="1"/>
  <c r="FS89" i="2"/>
  <c r="FI35" i="8" s="1"/>
  <c r="FT89" i="2"/>
  <c r="FJ35" i="8" s="1"/>
  <c r="FU89" i="2"/>
  <c r="FK35" i="8" s="1"/>
  <c r="FV89" i="2"/>
  <c r="FL35" i="8" s="1"/>
  <c r="FW89" i="2"/>
  <c r="FM35" i="8" s="1"/>
  <c r="FX89" i="2"/>
  <c r="FN35" i="8" s="1"/>
  <c r="FY89" i="2"/>
  <c r="FO35" i="8" s="1"/>
  <c r="FK90" i="2"/>
  <c r="FA60" i="8" s="1"/>
  <c r="FL90" i="2"/>
  <c r="FB60" i="8" s="1"/>
  <c r="FM90" i="2"/>
  <c r="FC60" i="8" s="1"/>
  <c r="FN90" i="2"/>
  <c r="FD60" i="8" s="1"/>
  <c r="FO90" i="2"/>
  <c r="FE60" i="8" s="1"/>
  <c r="FP90" i="2"/>
  <c r="FF60" i="8" s="1"/>
  <c r="FQ90" i="2"/>
  <c r="FG60" i="8" s="1"/>
  <c r="FR90" i="2"/>
  <c r="FH60" i="8" s="1"/>
  <c r="FS90" i="2"/>
  <c r="FI60" i="8" s="1"/>
  <c r="FT90" i="2"/>
  <c r="FJ60" i="8" s="1"/>
  <c r="FU90" i="2"/>
  <c r="FK60" i="8" s="1"/>
  <c r="FV90" i="2"/>
  <c r="FL60" i="8" s="1"/>
  <c r="FW90" i="2"/>
  <c r="FM60" i="8" s="1"/>
  <c r="FX90" i="2"/>
  <c r="FN60" i="8" s="1"/>
  <c r="FY90" i="2"/>
  <c r="FO60" i="8" s="1"/>
  <c r="FK92" i="2"/>
  <c r="FA15" i="8" s="1"/>
  <c r="FL92" i="2"/>
  <c r="FB15" i="8" s="1"/>
  <c r="FM92" i="2"/>
  <c r="FC15" i="8" s="1"/>
  <c r="FN92" i="2"/>
  <c r="FD15" i="8" s="1"/>
  <c r="FO92" i="2"/>
  <c r="FE15" i="8" s="1"/>
  <c r="FP92" i="2"/>
  <c r="FF15" i="8" s="1"/>
  <c r="FQ92" i="2"/>
  <c r="FG15" i="8" s="1"/>
  <c r="FR92" i="2"/>
  <c r="FH15" i="8" s="1"/>
  <c r="FS92" i="2"/>
  <c r="FI15" i="8" s="1"/>
  <c r="FT92" i="2"/>
  <c r="FJ15" i="8" s="1"/>
  <c r="FU92" i="2"/>
  <c r="FK15" i="8" s="1"/>
  <c r="FV92" i="2"/>
  <c r="FL15" i="8" s="1"/>
  <c r="FW92" i="2"/>
  <c r="FM15" i="8" s="1"/>
  <c r="FX92" i="2"/>
  <c r="FN15" i="8" s="1"/>
  <c r="FY92" i="2"/>
  <c r="FO15" i="8" s="1"/>
  <c r="FK93" i="2"/>
  <c r="FA40" i="8" s="1"/>
  <c r="FL93" i="2"/>
  <c r="FB40" i="8" s="1"/>
  <c r="FM93" i="2"/>
  <c r="FC40" i="8" s="1"/>
  <c r="FN93" i="2"/>
  <c r="FD40" i="8" s="1"/>
  <c r="FO93" i="2"/>
  <c r="FE40" i="8" s="1"/>
  <c r="FP93" i="2"/>
  <c r="FF40" i="8" s="1"/>
  <c r="FQ93" i="2"/>
  <c r="FG40" i="8" s="1"/>
  <c r="FR93" i="2"/>
  <c r="FH40" i="8" s="1"/>
  <c r="FS93" i="2"/>
  <c r="FI40" i="8" s="1"/>
  <c r="FT93" i="2"/>
  <c r="FJ40" i="8" s="1"/>
  <c r="FU93" i="2"/>
  <c r="FK40" i="8" s="1"/>
  <c r="FV93" i="2"/>
  <c r="FL40" i="8" s="1"/>
  <c r="FW93" i="2"/>
  <c r="FM40" i="8" s="1"/>
  <c r="FX93" i="2"/>
  <c r="FN40" i="8" s="1"/>
  <c r="FY93" i="2"/>
  <c r="FO40" i="8" s="1"/>
  <c r="FK94" i="2"/>
  <c r="FA65" i="8" s="1"/>
  <c r="FL94" i="2"/>
  <c r="FB65" i="8" s="1"/>
  <c r="FM94" i="2"/>
  <c r="FC65" i="8" s="1"/>
  <c r="FN94" i="2"/>
  <c r="FD65" i="8" s="1"/>
  <c r="FO94" i="2"/>
  <c r="FE65" i="8" s="1"/>
  <c r="FP94" i="2"/>
  <c r="FF65" i="8" s="1"/>
  <c r="FQ94" i="2"/>
  <c r="FG65" i="8" s="1"/>
  <c r="FR94" i="2"/>
  <c r="FH65" i="8" s="1"/>
  <c r="FS94" i="2"/>
  <c r="FI65" i="8" s="1"/>
  <c r="FT94" i="2"/>
  <c r="FJ65" i="8" s="1"/>
  <c r="FU94" i="2"/>
  <c r="FK65" i="8" s="1"/>
  <c r="FV94" i="2"/>
  <c r="FL65" i="8" s="1"/>
  <c r="FW94" i="2"/>
  <c r="FM65" i="8" s="1"/>
  <c r="FX94" i="2"/>
  <c r="FN65" i="8" s="1"/>
  <c r="FY94" i="2"/>
  <c r="FO65" i="8" s="1"/>
  <c r="FK96" i="2"/>
  <c r="FA20" i="8" s="1"/>
  <c r="FL96" i="2"/>
  <c r="FB20" i="8" s="1"/>
  <c r="FM96" i="2"/>
  <c r="FC20" i="8" s="1"/>
  <c r="FN96" i="2"/>
  <c r="FD20" i="8" s="1"/>
  <c r="FO96" i="2"/>
  <c r="FE20" i="8" s="1"/>
  <c r="FP96" i="2"/>
  <c r="FF20" i="8" s="1"/>
  <c r="FQ96" i="2"/>
  <c r="FG20" i="8" s="1"/>
  <c r="FR96" i="2"/>
  <c r="FH20" i="8" s="1"/>
  <c r="FS96" i="2"/>
  <c r="FI20" i="8" s="1"/>
  <c r="FT96" i="2"/>
  <c r="FJ20" i="8" s="1"/>
  <c r="FU96" i="2"/>
  <c r="FK20" i="8" s="1"/>
  <c r="FV96" i="2"/>
  <c r="FL20" i="8" s="1"/>
  <c r="FW96" i="2"/>
  <c r="FM20" i="8" s="1"/>
  <c r="FX96" i="2"/>
  <c r="FN20" i="8" s="1"/>
  <c r="FY96" i="2"/>
  <c r="FO20" i="8" s="1"/>
  <c r="FK97" i="2"/>
  <c r="FA45" i="8" s="1"/>
  <c r="FL97" i="2"/>
  <c r="FB45" i="8" s="1"/>
  <c r="FM97" i="2"/>
  <c r="FC45" i="8" s="1"/>
  <c r="FN97" i="2"/>
  <c r="FD45" i="8" s="1"/>
  <c r="FO97" i="2"/>
  <c r="FE45" i="8" s="1"/>
  <c r="FP97" i="2"/>
  <c r="FF45" i="8" s="1"/>
  <c r="FQ97" i="2"/>
  <c r="FG45" i="8" s="1"/>
  <c r="FR97" i="2"/>
  <c r="FH45" i="8" s="1"/>
  <c r="FS97" i="2"/>
  <c r="FI45" i="8" s="1"/>
  <c r="FT97" i="2"/>
  <c r="FJ45" i="8" s="1"/>
  <c r="FU97" i="2"/>
  <c r="FK45" i="8" s="1"/>
  <c r="FV97" i="2"/>
  <c r="FL45" i="8" s="1"/>
  <c r="FW97" i="2"/>
  <c r="FM45" i="8" s="1"/>
  <c r="FX97" i="2"/>
  <c r="FN45" i="8" s="1"/>
  <c r="FY97" i="2"/>
  <c r="FO45" i="8" s="1"/>
  <c r="FK98" i="2"/>
  <c r="FA70" i="8" s="1"/>
  <c r="FL98" i="2"/>
  <c r="FB70" i="8" s="1"/>
  <c r="FM98" i="2"/>
  <c r="FC70" i="8" s="1"/>
  <c r="FN98" i="2"/>
  <c r="FD70" i="8" s="1"/>
  <c r="FO98" i="2"/>
  <c r="FE70" i="8" s="1"/>
  <c r="FP98" i="2"/>
  <c r="FF70" i="8" s="1"/>
  <c r="FQ98" i="2"/>
  <c r="FG70" i="8" s="1"/>
  <c r="FR98" i="2"/>
  <c r="FH70" i="8" s="1"/>
  <c r="FS98" i="2"/>
  <c r="FI70" i="8" s="1"/>
  <c r="FT98" i="2"/>
  <c r="FJ70" i="8" s="1"/>
  <c r="FU98" i="2"/>
  <c r="FK70" i="8" s="1"/>
  <c r="FV98" i="2"/>
  <c r="FL70" i="8" s="1"/>
  <c r="FW98" i="2"/>
  <c r="FM70" i="8" s="1"/>
  <c r="FX98" i="2"/>
  <c r="FN70" i="8" s="1"/>
  <c r="FY98" i="2"/>
  <c r="FO70" i="8" s="1"/>
  <c r="FA25" i="8"/>
  <c r="FB25" i="8"/>
  <c r="FC25" i="8"/>
  <c r="FD25" i="8"/>
  <c r="FE25" i="8"/>
  <c r="FF25" i="8"/>
  <c r="FG25" i="8"/>
  <c r="FH25" i="8"/>
  <c r="FI25" i="8"/>
  <c r="FJ25" i="8"/>
  <c r="FK25" i="8"/>
  <c r="FL25" i="8"/>
  <c r="FM25" i="8"/>
  <c r="FN25" i="8"/>
  <c r="FO25" i="8"/>
  <c r="FK101" i="2"/>
  <c r="FA50" i="8" s="1"/>
  <c r="FL101" i="2"/>
  <c r="FB50" i="8" s="1"/>
  <c r="FM101" i="2"/>
  <c r="FC50" i="8" s="1"/>
  <c r="FN101" i="2"/>
  <c r="FD50" i="8" s="1"/>
  <c r="FO101" i="2"/>
  <c r="FE50" i="8" s="1"/>
  <c r="FP101" i="2"/>
  <c r="FF50" i="8" s="1"/>
  <c r="FQ101" i="2"/>
  <c r="FG50" i="8" s="1"/>
  <c r="FR101" i="2"/>
  <c r="FH50" i="8" s="1"/>
  <c r="FS101" i="2"/>
  <c r="FI50" i="8" s="1"/>
  <c r="FT101" i="2"/>
  <c r="FJ50" i="8" s="1"/>
  <c r="FU101" i="2"/>
  <c r="FK50" i="8" s="1"/>
  <c r="FV101" i="2"/>
  <c r="FL50" i="8" s="1"/>
  <c r="FW101" i="2"/>
  <c r="FM50" i="8" s="1"/>
  <c r="FX101" i="2"/>
  <c r="FN50" i="8" s="1"/>
  <c r="FY101" i="2"/>
  <c r="FO50" i="8" s="1"/>
  <c r="FK102" i="2"/>
  <c r="FA75" i="8" s="1"/>
  <c r="FL102" i="2"/>
  <c r="FB75" i="8" s="1"/>
  <c r="FM102" i="2"/>
  <c r="FC75" i="8" s="1"/>
  <c r="FN102" i="2"/>
  <c r="FD75" i="8" s="1"/>
  <c r="FO102" i="2"/>
  <c r="FE75" i="8" s="1"/>
  <c r="FP102" i="2"/>
  <c r="FF75" i="8" s="1"/>
  <c r="FQ102" i="2"/>
  <c r="FG75" i="8" s="1"/>
  <c r="FR102" i="2"/>
  <c r="FH75" i="8" s="1"/>
  <c r="FS102" i="2"/>
  <c r="FI75" i="8" s="1"/>
  <c r="FT102" i="2"/>
  <c r="FJ75" i="8" s="1"/>
  <c r="FU102" i="2"/>
  <c r="FK75" i="8" s="1"/>
  <c r="FV102" i="2"/>
  <c r="FL75" i="8" s="1"/>
  <c r="FW102" i="2"/>
  <c r="FM75" i="8" s="1"/>
  <c r="FX102" i="2"/>
  <c r="FN75" i="8" s="1"/>
  <c r="FY102" i="2"/>
  <c r="FO75" i="8" s="1"/>
  <c r="FK59" i="2"/>
  <c r="FK46" i="2"/>
  <c r="FK33" i="2"/>
  <c r="FG60" i="5"/>
  <c r="FF60" i="5"/>
  <c r="FE60" i="5"/>
  <c r="FD60" i="5"/>
  <c r="FC60" i="5"/>
  <c r="FB60" i="5"/>
  <c r="FA60" i="5"/>
  <c r="FG30" i="5"/>
  <c r="FF30" i="5"/>
  <c r="FE30" i="5"/>
  <c r="FD30" i="5"/>
  <c r="FC30" i="5"/>
  <c r="FB30" i="5"/>
  <c r="FA30" i="5"/>
  <c r="FG89" i="5"/>
  <c r="FF89" i="5"/>
  <c r="FE89" i="5"/>
  <c r="FD89" i="5"/>
  <c r="FC89" i="5"/>
  <c r="FB89" i="5"/>
  <c r="FA89" i="5"/>
  <c r="FJ57" i="4"/>
  <c r="FJ45" i="4"/>
  <c r="FJ33" i="4"/>
  <c r="FJ20" i="4"/>
  <c r="FJ59" i="2"/>
  <c r="FJ46" i="2"/>
  <c r="FJ33" i="2"/>
  <c r="FJ33" i="6"/>
  <c r="FJ20" i="6"/>
  <c r="FJ58" i="1"/>
  <c r="FJ45" i="1"/>
  <c r="FJ32" i="1"/>
  <c r="FJ19" i="1"/>
  <c r="FI57" i="4"/>
  <c r="FI45" i="4"/>
  <c r="FI33" i="4"/>
  <c r="FI20" i="4"/>
  <c r="FI59" i="2"/>
  <c r="FI46" i="2"/>
  <c r="FI33" i="2"/>
  <c r="FI33" i="6"/>
  <c r="FI20" i="6"/>
  <c r="FI58" i="1"/>
  <c r="FI45" i="1"/>
  <c r="FI32" i="1"/>
  <c r="FI19" i="1"/>
  <c r="FH57" i="4"/>
  <c r="FH45" i="4"/>
  <c r="FH33" i="4"/>
  <c r="FH20" i="4"/>
  <c r="FH59" i="2"/>
  <c r="FH46" i="2"/>
  <c r="FH33" i="2"/>
  <c r="FH33" i="6"/>
  <c r="FH20" i="6"/>
  <c r="FH58" i="1"/>
  <c r="FH45" i="1"/>
  <c r="FH32" i="1"/>
  <c r="FH19" i="1"/>
  <c r="FG57" i="4"/>
  <c r="FF57" i="4"/>
  <c r="FE57" i="4"/>
  <c r="FG45" i="4"/>
  <c r="FF45" i="4"/>
  <c r="FE45" i="4"/>
  <c r="FG33" i="4"/>
  <c r="FF33" i="4"/>
  <c r="FE33" i="4"/>
  <c r="FG20" i="4"/>
  <c r="FF20" i="4"/>
  <c r="FE20" i="4"/>
  <c r="FG59" i="2"/>
  <c r="FF59" i="2"/>
  <c r="FE59" i="2"/>
  <c r="FG46" i="2"/>
  <c r="FF46" i="2"/>
  <c r="FE46" i="2"/>
  <c r="FG33" i="2"/>
  <c r="FF33" i="2"/>
  <c r="FE33" i="2"/>
  <c r="FG33" i="6"/>
  <c r="FF33" i="6"/>
  <c r="FE33" i="6"/>
  <c r="FG20" i="6"/>
  <c r="FF20" i="6"/>
  <c r="FE20" i="6"/>
  <c r="FG58" i="1"/>
  <c r="FF58" i="1"/>
  <c r="FE58" i="1"/>
  <c r="FG45" i="1"/>
  <c r="FF45" i="1"/>
  <c r="FE45" i="1"/>
  <c r="FG32" i="1"/>
  <c r="FF32" i="1"/>
  <c r="FE32" i="1"/>
  <c r="FG19" i="1"/>
  <c r="FF19" i="1"/>
  <c r="FE19" i="1"/>
  <c r="FD57" i="4"/>
  <c r="FD45" i="4"/>
  <c r="FD33" i="4"/>
  <c r="FD20" i="4"/>
  <c r="FD33" i="6"/>
  <c r="FD20" i="6"/>
  <c r="FD58" i="1"/>
  <c r="FD45" i="1"/>
  <c r="FD32" i="1"/>
  <c r="FD19" i="1"/>
  <c r="FD59" i="2"/>
  <c r="FD46" i="2"/>
  <c r="FD33" i="2"/>
  <c r="FC58" i="1"/>
  <c r="FC45" i="1"/>
  <c r="FC32" i="1"/>
  <c r="FC19" i="1"/>
  <c r="FC33" i="6"/>
  <c r="FC20" i="6"/>
  <c r="FC57" i="4"/>
  <c r="FC45" i="4"/>
  <c r="FC33" i="4"/>
  <c r="FC20" i="4"/>
  <c r="EZ89" i="5"/>
  <c r="EY89" i="5"/>
  <c r="EX89" i="5"/>
  <c r="EW89" i="5"/>
  <c r="EV89" i="5"/>
  <c r="EU89" i="5"/>
  <c r="ET89" i="5"/>
  <c r="ES89" i="5"/>
  <c r="ER89" i="5"/>
  <c r="EZ60" i="5"/>
  <c r="EY60" i="5"/>
  <c r="EX60" i="5"/>
  <c r="EW60" i="5"/>
  <c r="EV60" i="5"/>
  <c r="EU60" i="5"/>
  <c r="ET60" i="5"/>
  <c r="ES60" i="5"/>
  <c r="ER60" i="5"/>
  <c r="EZ30" i="5"/>
  <c r="EY30" i="5"/>
  <c r="EX30" i="5"/>
  <c r="EW30" i="5"/>
  <c r="EV30" i="5"/>
  <c r="EU30" i="5"/>
  <c r="ET30" i="5"/>
  <c r="ES30" i="5"/>
  <c r="ER30" i="5"/>
  <c r="EQ89" i="5"/>
  <c r="EP89" i="5"/>
  <c r="EO89" i="5"/>
  <c r="EN89" i="5"/>
  <c r="EM89" i="5"/>
  <c r="EL89" i="5"/>
  <c r="EK89" i="5"/>
  <c r="EJ89" i="5"/>
  <c r="EI89" i="5"/>
  <c r="EH89" i="5"/>
  <c r="EG89" i="5"/>
  <c r="EF89" i="5"/>
  <c r="EE89" i="5"/>
  <c r="BO89" i="5"/>
  <c r="BN89" i="5"/>
  <c r="BM89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FB59" i="2"/>
  <c r="FA59" i="2"/>
  <c r="FB46" i="2"/>
  <c r="FA46" i="2"/>
  <c r="FB33" i="2"/>
  <c r="FA33" i="2"/>
  <c r="FB57" i="4"/>
  <c r="FB45" i="4"/>
  <c r="FB33" i="4"/>
  <c r="FB20" i="4"/>
  <c r="FC59" i="2"/>
  <c r="FC46" i="2"/>
  <c r="FC33" i="2"/>
  <c r="FB33" i="6"/>
  <c r="FB20" i="6"/>
  <c r="FB58" i="1"/>
  <c r="FB45" i="1"/>
  <c r="FB32" i="1"/>
  <c r="FB19" i="1"/>
  <c r="EO34" i="8"/>
  <c r="EP34" i="8"/>
  <c r="EQ34" i="8"/>
  <c r="ER34" i="8"/>
  <c r="ES34" i="8"/>
  <c r="ET34" i="8"/>
  <c r="EU34" i="8"/>
  <c r="EV34" i="8"/>
  <c r="EW34" i="8"/>
  <c r="EX34" i="8"/>
  <c r="EY34" i="8"/>
  <c r="EZ34" i="8"/>
  <c r="EO36" i="8"/>
  <c r="EP36" i="8"/>
  <c r="EQ36" i="8"/>
  <c r="ER36" i="8"/>
  <c r="ES36" i="8"/>
  <c r="ET36" i="8"/>
  <c r="EU36" i="8"/>
  <c r="EV36" i="8"/>
  <c r="EW36" i="8"/>
  <c r="EX36" i="8"/>
  <c r="EY36" i="8"/>
  <c r="EZ36" i="8"/>
  <c r="EC34" i="8"/>
  <c r="ED34" i="8"/>
  <c r="EE34" i="8"/>
  <c r="EF34" i="8"/>
  <c r="EG34" i="8"/>
  <c r="EH34" i="8"/>
  <c r="EI34" i="8"/>
  <c r="EJ34" i="8"/>
  <c r="EK34" i="8"/>
  <c r="EL34" i="8"/>
  <c r="EM34" i="8"/>
  <c r="EN34" i="8"/>
  <c r="EC36" i="8"/>
  <c r="ED36" i="8"/>
  <c r="EE36" i="8"/>
  <c r="EF36" i="8"/>
  <c r="EG36" i="8"/>
  <c r="EH36" i="8"/>
  <c r="EI36" i="8"/>
  <c r="EJ36" i="8"/>
  <c r="EK36" i="8"/>
  <c r="EL36" i="8"/>
  <c r="EM36" i="8"/>
  <c r="EN36" i="8"/>
  <c r="EA34" i="8"/>
  <c r="EB34" i="8"/>
  <c r="EA36" i="8"/>
  <c r="EB36" i="8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EQ88" i="4"/>
  <c r="ER88" i="4"/>
  <c r="ES88" i="4"/>
  <c r="ET88" i="4"/>
  <c r="EU88" i="4"/>
  <c r="EV88" i="4"/>
  <c r="EW88" i="4"/>
  <c r="EX88" i="4"/>
  <c r="EY88" i="4"/>
  <c r="EZ88" i="4"/>
  <c r="FA88" i="4"/>
  <c r="FB88" i="4"/>
  <c r="FC88" i="4"/>
  <c r="FD88" i="4"/>
  <c r="FE88" i="4"/>
  <c r="FF88" i="4"/>
  <c r="FG88" i="4"/>
  <c r="FH88" i="4"/>
  <c r="FI88" i="4"/>
  <c r="FJ88" i="4"/>
  <c r="O88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EQ87" i="4"/>
  <c r="ER87" i="4"/>
  <c r="ES87" i="4"/>
  <c r="ET87" i="4"/>
  <c r="EU87" i="4"/>
  <c r="EV87" i="4"/>
  <c r="EW87" i="4"/>
  <c r="EX87" i="4"/>
  <c r="EY87" i="4"/>
  <c r="EZ87" i="4"/>
  <c r="FA87" i="4"/>
  <c r="FB87" i="4"/>
  <c r="FC87" i="4"/>
  <c r="FD87" i="4"/>
  <c r="FE87" i="4"/>
  <c r="FF87" i="4"/>
  <c r="FG87" i="4"/>
  <c r="FH87" i="4"/>
  <c r="FI87" i="4"/>
  <c r="FJ87" i="4"/>
  <c r="O87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EQ86" i="4"/>
  <c r="ER86" i="4"/>
  <c r="ES86" i="4"/>
  <c r="ET86" i="4"/>
  <c r="EU86" i="4"/>
  <c r="EV86" i="4"/>
  <c r="EW86" i="4"/>
  <c r="EX86" i="4"/>
  <c r="EY86" i="4"/>
  <c r="EZ86" i="4"/>
  <c r="FA86" i="4"/>
  <c r="FB86" i="4"/>
  <c r="FC86" i="4"/>
  <c r="FD86" i="4"/>
  <c r="FE86" i="4"/>
  <c r="FF86" i="4"/>
  <c r="FG86" i="4"/>
  <c r="FH86" i="4"/>
  <c r="FI86" i="4"/>
  <c r="FJ86" i="4"/>
  <c r="O86" i="4"/>
  <c r="N88" i="4"/>
  <c r="L88" i="4"/>
  <c r="K88" i="4"/>
  <c r="J88" i="4"/>
  <c r="I88" i="4"/>
  <c r="H88" i="4"/>
  <c r="G88" i="4"/>
  <c r="F88" i="4"/>
  <c r="E88" i="4"/>
  <c r="N87" i="4"/>
  <c r="N86" i="4"/>
  <c r="L86" i="4"/>
  <c r="K86" i="4"/>
  <c r="J86" i="4"/>
  <c r="I86" i="4"/>
  <c r="H86" i="4"/>
  <c r="G86" i="4"/>
  <c r="F86" i="4"/>
  <c r="E86" i="4"/>
  <c r="FA57" i="4"/>
  <c r="FA45" i="4"/>
  <c r="FA33" i="4"/>
  <c r="FA20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EQ84" i="4"/>
  <c r="ER84" i="4"/>
  <c r="ES84" i="4"/>
  <c r="ET84" i="4"/>
  <c r="EU84" i="4"/>
  <c r="EV84" i="4"/>
  <c r="EW84" i="4"/>
  <c r="EX84" i="4"/>
  <c r="EY84" i="4"/>
  <c r="EZ84" i="4"/>
  <c r="FA84" i="4"/>
  <c r="FB84" i="4"/>
  <c r="FC84" i="4"/>
  <c r="FD84" i="4"/>
  <c r="FE84" i="4"/>
  <c r="FF84" i="4"/>
  <c r="FG84" i="4"/>
  <c r="FH84" i="4"/>
  <c r="FI84" i="4"/>
  <c r="FJ84" i="4"/>
  <c r="O84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EQ83" i="4"/>
  <c r="ER83" i="4"/>
  <c r="ES83" i="4"/>
  <c r="ET83" i="4"/>
  <c r="EU83" i="4"/>
  <c r="EV83" i="4"/>
  <c r="EW83" i="4"/>
  <c r="EX83" i="4"/>
  <c r="EY83" i="4"/>
  <c r="EZ83" i="4"/>
  <c r="FA83" i="4"/>
  <c r="FB83" i="4"/>
  <c r="FC83" i="4"/>
  <c r="FD83" i="4"/>
  <c r="FE83" i="4"/>
  <c r="FF83" i="4"/>
  <c r="FG83" i="4"/>
  <c r="FH83" i="4"/>
  <c r="FI83" i="4"/>
  <c r="FJ83" i="4"/>
  <c r="O83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EQ82" i="4"/>
  <c r="ER82" i="4"/>
  <c r="ES82" i="4"/>
  <c r="ET82" i="4"/>
  <c r="EU82" i="4"/>
  <c r="EV82" i="4"/>
  <c r="EW82" i="4"/>
  <c r="EX82" i="4"/>
  <c r="EY82" i="4"/>
  <c r="EZ82" i="4"/>
  <c r="FA82" i="4"/>
  <c r="FB82" i="4"/>
  <c r="FC82" i="4"/>
  <c r="FD82" i="4"/>
  <c r="FE82" i="4"/>
  <c r="FF82" i="4"/>
  <c r="FG82" i="4"/>
  <c r="FH82" i="4"/>
  <c r="FI82" i="4"/>
  <c r="FJ82" i="4"/>
  <c r="O82" i="4"/>
  <c r="P82" i="4"/>
  <c r="Q82" i="4"/>
  <c r="R82" i="4"/>
  <c r="S82" i="4"/>
  <c r="T82" i="4"/>
  <c r="U82" i="4"/>
  <c r="V82" i="4"/>
  <c r="W82" i="4"/>
  <c r="X82" i="4"/>
  <c r="Y82" i="4"/>
  <c r="Z82" i="4"/>
  <c r="FA74" i="4"/>
  <c r="EQ12" i="8" s="1"/>
  <c r="FB74" i="4"/>
  <c r="ER12" i="8" s="1"/>
  <c r="FC74" i="4"/>
  <c r="ES12" i="8" s="1"/>
  <c r="FD74" i="4"/>
  <c r="ET12" i="8" s="1"/>
  <c r="FE74" i="4"/>
  <c r="EU12" i="8" s="1"/>
  <c r="FF74" i="4"/>
  <c r="EV12" i="8" s="1"/>
  <c r="FG74" i="4"/>
  <c r="EW12" i="8" s="1"/>
  <c r="FH74" i="4"/>
  <c r="EX12" i="8" s="1"/>
  <c r="FI74" i="4"/>
  <c r="EY12" i="8" s="1"/>
  <c r="FJ74" i="4"/>
  <c r="EZ12" i="8" s="1"/>
  <c r="FA75" i="4"/>
  <c r="EQ37" i="8" s="1"/>
  <c r="FB75" i="4"/>
  <c r="ER37" i="8" s="1"/>
  <c r="FC75" i="4"/>
  <c r="ES37" i="8" s="1"/>
  <c r="FD75" i="4"/>
  <c r="ET37" i="8" s="1"/>
  <c r="FE75" i="4"/>
  <c r="EU37" i="8" s="1"/>
  <c r="FF75" i="4"/>
  <c r="EV37" i="8" s="1"/>
  <c r="FG75" i="4"/>
  <c r="EW37" i="8" s="1"/>
  <c r="FH75" i="4"/>
  <c r="EX37" i="8" s="1"/>
  <c r="FI75" i="4"/>
  <c r="EY37" i="8" s="1"/>
  <c r="FJ75" i="4"/>
  <c r="EZ37" i="8" s="1"/>
  <c r="FA76" i="4"/>
  <c r="EQ62" i="8" s="1"/>
  <c r="FB76" i="4"/>
  <c r="ER62" i="8" s="1"/>
  <c r="FC76" i="4"/>
  <c r="ES62" i="8" s="1"/>
  <c r="FD76" i="4"/>
  <c r="ET62" i="8" s="1"/>
  <c r="FE76" i="4"/>
  <c r="EU62" i="8" s="1"/>
  <c r="FF76" i="4"/>
  <c r="EV62" i="8" s="1"/>
  <c r="FG76" i="4"/>
  <c r="EW62" i="8" s="1"/>
  <c r="FH76" i="4"/>
  <c r="EX62" i="8" s="1"/>
  <c r="FI76" i="4"/>
  <c r="EY62" i="8" s="1"/>
  <c r="FJ76" i="4"/>
  <c r="EZ62" i="8" s="1"/>
  <c r="FA78" i="4"/>
  <c r="EQ17" i="8" s="1"/>
  <c r="FB78" i="4"/>
  <c r="ER17" i="8" s="1"/>
  <c r="FC78" i="4"/>
  <c r="ES17" i="8" s="1"/>
  <c r="FD78" i="4"/>
  <c r="ET17" i="8" s="1"/>
  <c r="FE78" i="4"/>
  <c r="EU17" i="8" s="1"/>
  <c r="FF78" i="4"/>
  <c r="EV17" i="8" s="1"/>
  <c r="FG78" i="4"/>
  <c r="EW17" i="8" s="1"/>
  <c r="FH78" i="4"/>
  <c r="EX17" i="8" s="1"/>
  <c r="FI78" i="4"/>
  <c r="EY17" i="8" s="1"/>
  <c r="FJ78" i="4"/>
  <c r="EZ17" i="8" s="1"/>
  <c r="FA79" i="4"/>
  <c r="EQ42" i="8" s="1"/>
  <c r="FB79" i="4"/>
  <c r="ER42" i="8" s="1"/>
  <c r="FC79" i="4"/>
  <c r="ES42" i="8" s="1"/>
  <c r="FD79" i="4"/>
  <c r="ET42" i="8" s="1"/>
  <c r="FE79" i="4"/>
  <c r="EU42" i="8" s="1"/>
  <c r="FF79" i="4"/>
  <c r="EV42" i="8" s="1"/>
  <c r="FG79" i="4"/>
  <c r="EW42" i="8" s="1"/>
  <c r="FH79" i="4"/>
  <c r="EX42" i="8" s="1"/>
  <c r="FI79" i="4"/>
  <c r="EY42" i="8" s="1"/>
  <c r="FJ79" i="4"/>
  <c r="EZ42" i="8" s="1"/>
  <c r="FA80" i="4"/>
  <c r="EQ67" i="8" s="1"/>
  <c r="FB80" i="4"/>
  <c r="ER67" i="8" s="1"/>
  <c r="FC80" i="4"/>
  <c r="ES67" i="8" s="1"/>
  <c r="FD80" i="4"/>
  <c r="ET67" i="8" s="1"/>
  <c r="FE80" i="4"/>
  <c r="EU67" i="8" s="1"/>
  <c r="FF80" i="4"/>
  <c r="EV67" i="8" s="1"/>
  <c r="FG80" i="4"/>
  <c r="EW67" i="8" s="1"/>
  <c r="FH80" i="4"/>
  <c r="EX67" i="8" s="1"/>
  <c r="FI80" i="4"/>
  <c r="EY67" i="8" s="1"/>
  <c r="FJ80" i="4"/>
  <c r="EZ67" i="8" s="1"/>
  <c r="FA88" i="2"/>
  <c r="EQ10" i="8" s="1"/>
  <c r="FB88" i="2"/>
  <c r="ER10" i="8" s="1"/>
  <c r="FC88" i="2"/>
  <c r="ES10" i="8" s="1"/>
  <c r="FD88" i="2"/>
  <c r="ET10" i="8" s="1"/>
  <c r="FE88" i="2"/>
  <c r="EU10" i="8" s="1"/>
  <c r="FF88" i="2"/>
  <c r="EV10" i="8" s="1"/>
  <c r="FG88" i="2"/>
  <c r="EW10" i="8" s="1"/>
  <c r="FH88" i="2"/>
  <c r="EX10" i="8" s="1"/>
  <c r="FI88" i="2"/>
  <c r="EY10" i="8" s="1"/>
  <c r="FJ88" i="2"/>
  <c r="EZ10" i="8" s="1"/>
  <c r="FA89" i="2"/>
  <c r="EQ35" i="8" s="1"/>
  <c r="FB89" i="2"/>
  <c r="ER35" i="8" s="1"/>
  <c r="FC89" i="2"/>
  <c r="ES35" i="8" s="1"/>
  <c r="FD89" i="2"/>
  <c r="ET35" i="8" s="1"/>
  <c r="FE89" i="2"/>
  <c r="EU35" i="8" s="1"/>
  <c r="FF89" i="2"/>
  <c r="EV35" i="8" s="1"/>
  <c r="FG89" i="2"/>
  <c r="EW35" i="8" s="1"/>
  <c r="FH89" i="2"/>
  <c r="EX35" i="8" s="1"/>
  <c r="FI89" i="2"/>
  <c r="EY35" i="8" s="1"/>
  <c r="FJ89" i="2"/>
  <c r="EZ35" i="8" s="1"/>
  <c r="FA90" i="2"/>
  <c r="EQ60" i="8" s="1"/>
  <c r="FB90" i="2"/>
  <c r="ER60" i="8" s="1"/>
  <c r="FC90" i="2"/>
  <c r="ES60" i="8" s="1"/>
  <c r="FD90" i="2"/>
  <c r="ET60" i="8" s="1"/>
  <c r="FE90" i="2"/>
  <c r="EU60" i="8" s="1"/>
  <c r="FF90" i="2"/>
  <c r="EV60" i="8" s="1"/>
  <c r="FG90" i="2"/>
  <c r="EW60" i="8" s="1"/>
  <c r="FH90" i="2"/>
  <c r="EX60" i="8" s="1"/>
  <c r="FI90" i="2"/>
  <c r="EY60" i="8" s="1"/>
  <c r="FJ90" i="2"/>
  <c r="EZ60" i="8" s="1"/>
  <c r="FA92" i="2"/>
  <c r="EQ15" i="8" s="1"/>
  <c r="FB92" i="2"/>
  <c r="ER15" i="8" s="1"/>
  <c r="FC92" i="2"/>
  <c r="ES15" i="8" s="1"/>
  <c r="FD92" i="2"/>
  <c r="ET15" i="8" s="1"/>
  <c r="FE92" i="2"/>
  <c r="EU15" i="8" s="1"/>
  <c r="FF92" i="2"/>
  <c r="EV15" i="8" s="1"/>
  <c r="FG92" i="2"/>
  <c r="EW15" i="8" s="1"/>
  <c r="FH92" i="2"/>
  <c r="EX15" i="8" s="1"/>
  <c r="FI92" i="2"/>
  <c r="EY15" i="8" s="1"/>
  <c r="FJ92" i="2"/>
  <c r="EZ15" i="8" s="1"/>
  <c r="FA93" i="2"/>
  <c r="EQ40" i="8" s="1"/>
  <c r="FB93" i="2"/>
  <c r="ER40" i="8" s="1"/>
  <c r="FC93" i="2"/>
  <c r="ES40" i="8" s="1"/>
  <c r="FD93" i="2"/>
  <c r="ET40" i="8" s="1"/>
  <c r="FE93" i="2"/>
  <c r="EU40" i="8" s="1"/>
  <c r="FF93" i="2"/>
  <c r="EV40" i="8" s="1"/>
  <c r="FG93" i="2"/>
  <c r="EW40" i="8" s="1"/>
  <c r="FH93" i="2"/>
  <c r="EX40" i="8" s="1"/>
  <c r="FI93" i="2"/>
  <c r="EY40" i="8" s="1"/>
  <c r="FJ93" i="2"/>
  <c r="EZ40" i="8" s="1"/>
  <c r="FA94" i="2"/>
  <c r="EQ65" i="8" s="1"/>
  <c r="FB94" i="2"/>
  <c r="ER65" i="8" s="1"/>
  <c r="FC94" i="2"/>
  <c r="ES65" i="8" s="1"/>
  <c r="FD94" i="2"/>
  <c r="ET65" i="8" s="1"/>
  <c r="FE94" i="2"/>
  <c r="EU65" i="8" s="1"/>
  <c r="FF94" i="2"/>
  <c r="EV65" i="8" s="1"/>
  <c r="FG94" i="2"/>
  <c r="EW65" i="8" s="1"/>
  <c r="FH94" i="2"/>
  <c r="EX65" i="8" s="1"/>
  <c r="FI94" i="2"/>
  <c r="EY65" i="8" s="1"/>
  <c r="FJ94" i="2"/>
  <c r="EZ65" i="8" s="1"/>
  <c r="FA96" i="2"/>
  <c r="EQ20" i="8" s="1"/>
  <c r="FB96" i="2"/>
  <c r="ER20" i="8" s="1"/>
  <c r="FC96" i="2"/>
  <c r="ES20" i="8" s="1"/>
  <c r="FD96" i="2"/>
  <c r="ET20" i="8" s="1"/>
  <c r="FE96" i="2"/>
  <c r="EU20" i="8" s="1"/>
  <c r="FF96" i="2"/>
  <c r="EV20" i="8" s="1"/>
  <c r="FG96" i="2"/>
  <c r="EW20" i="8" s="1"/>
  <c r="FH96" i="2"/>
  <c r="EX20" i="8" s="1"/>
  <c r="FI96" i="2"/>
  <c r="EY20" i="8" s="1"/>
  <c r="FJ96" i="2"/>
  <c r="EZ20" i="8" s="1"/>
  <c r="FA97" i="2"/>
  <c r="EQ45" i="8" s="1"/>
  <c r="FB97" i="2"/>
  <c r="ER45" i="8" s="1"/>
  <c r="FC97" i="2"/>
  <c r="ES45" i="8" s="1"/>
  <c r="FD97" i="2"/>
  <c r="ET45" i="8" s="1"/>
  <c r="FE97" i="2"/>
  <c r="EU45" i="8" s="1"/>
  <c r="FF97" i="2"/>
  <c r="EV45" i="8" s="1"/>
  <c r="FG97" i="2"/>
  <c r="EW45" i="8" s="1"/>
  <c r="FH97" i="2"/>
  <c r="EX45" i="8" s="1"/>
  <c r="FI97" i="2"/>
  <c r="EY45" i="8" s="1"/>
  <c r="FJ97" i="2"/>
  <c r="EZ45" i="8" s="1"/>
  <c r="FA98" i="2"/>
  <c r="EQ70" i="8" s="1"/>
  <c r="FB98" i="2"/>
  <c r="ER70" i="8" s="1"/>
  <c r="FC98" i="2"/>
  <c r="ES70" i="8" s="1"/>
  <c r="FD98" i="2"/>
  <c r="ET70" i="8" s="1"/>
  <c r="FE98" i="2"/>
  <c r="EU70" i="8" s="1"/>
  <c r="FF98" i="2"/>
  <c r="EV70" i="8" s="1"/>
  <c r="FG98" i="2"/>
  <c r="EW70" i="8" s="1"/>
  <c r="FH98" i="2"/>
  <c r="EX70" i="8" s="1"/>
  <c r="FI98" i="2"/>
  <c r="EY70" i="8" s="1"/>
  <c r="FJ98" i="2"/>
  <c r="EZ70" i="8" s="1"/>
  <c r="EQ25" i="8"/>
  <c r="ER25" i="8"/>
  <c r="ES25" i="8"/>
  <c r="ET25" i="8"/>
  <c r="EU25" i="8"/>
  <c r="EV25" i="8"/>
  <c r="EW25" i="8"/>
  <c r="EX25" i="8"/>
  <c r="EY25" i="8"/>
  <c r="EZ25" i="8"/>
  <c r="FA101" i="2"/>
  <c r="EQ50" i="8" s="1"/>
  <c r="FB101" i="2"/>
  <c r="ER50" i="8" s="1"/>
  <c r="FC101" i="2"/>
  <c r="ES50" i="8" s="1"/>
  <c r="FD101" i="2"/>
  <c r="ET50" i="8" s="1"/>
  <c r="FE101" i="2"/>
  <c r="EU50" i="8" s="1"/>
  <c r="FF101" i="2"/>
  <c r="EV50" i="8" s="1"/>
  <c r="FG101" i="2"/>
  <c r="EW50" i="8" s="1"/>
  <c r="FH101" i="2"/>
  <c r="EX50" i="8" s="1"/>
  <c r="FI101" i="2"/>
  <c r="EY50" i="8" s="1"/>
  <c r="FJ101" i="2"/>
  <c r="EZ50" i="8" s="1"/>
  <c r="FA102" i="2"/>
  <c r="EQ75" i="8" s="1"/>
  <c r="FB102" i="2"/>
  <c r="ER75" i="8" s="1"/>
  <c r="FC102" i="2"/>
  <c r="ES75" i="8" s="1"/>
  <c r="FD102" i="2"/>
  <c r="ET75" i="8" s="1"/>
  <c r="FE102" i="2"/>
  <c r="EU75" i="8" s="1"/>
  <c r="FF102" i="2"/>
  <c r="EV75" i="8" s="1"/>
  <c r="FG102" i="2"/>
  <c r="EW75" i="8" s="1"/>
  <c r="FH102" i="2"/>
  <c r="EX75" i="8" s="1"/>
  <c r="FI102" i="2"/>
  <c r="EY75" i="8" s="1"/>
  <c r="FJ102" i="2"/>
  <c r="EZ75" i="8" s="1"/>
  <c r="FA38" i="6"/>
  <c r="EQ11" i="8" s="1"/>
  <c r="FB38" i="6"/>
  <c r="ER11" i="8" s="1"/>
  <c r="FC38" i="6"/>
  <c r="ES11" i="8" s="1"/>
  <c r="FD38" i="6"/>
  <c r="ET11" i="8" s="1"/>
  <c r="FE38" i="6"/>
  <c r="EU11" i="8" s="1"/>
  <c r="FF38" i="6"/>
  <c r="EV11" i="8" s="1"/>
  <c r="FG38" i="6"/>
  <c r="EW11" i="8" s="1"/>
  <c r="FH38" i="6"/>
  <c r="EX11" i="8" s="1"/>
  <c r="FI38" i="6"/>
  <c r="EY11" i="8" s="1"/>
  <c r="FJ38" i="6"/>
  <c r="EZ11" i="8" s="1"/>
  <c r="FA39" i="6"/>
  <c r="FB39" i="6"/>
  <c r="FC39" i="6"/>
  <c r="FD39" i="6"/>
  <c r="FE39" i="6"/>
  <c r="FF39" i="6"/>
  <c r="FG39" i="6"/>
  <c r="FH39" i="6"/>
  <c r="FI39" i="6"/>
  <c r="FJ39" i="6"/>
  <c r="FA40" i="6"/>
  <c r="EQ61" i="8" s="1"/>
  <c r="FB40" i="6"/>
  <c r="ER61" i="8" s="1"/>
  <c r="FC40" i="6"/>
  <c r="ES61" i="8" s="1"/>
  <c r="FD40" i="6"/>
  <c r="ET61" i="8" s="1"/>
  <c r="FE40" i="6"/>
  <c r="EU61" i="8" s="1"/>
  <c r="FF40" i="6"/>
  <c r="EV61" i="8" s="1"/>
  <c r="FG40" i="6"/>
  <c r="EW61" i="8" s="1"/>
  <c r="FH40" i="6"/>
  <c r="EX61" i="8" s="1"/>
  <c r="FI40" i="6"/>
  <c r="EY61" i="8" s="1"/>
  <c r="FJ40" i="6"/>
  <c r="EZ61" i="8" s="1"/>
  <c r="FA42" i="6"/>
  <c r="EQ16" i="8" s="1"/>
  <c r="FB42" i="6"/>
  <c r="ER16" i="8" s="1"/>
  <c r="FC42" i="6"/>
  <c r="ES16" i="8" s="1"/>
  <c r="FD42" i="6"/>
  <c r="ET16" i="8" s="1"/>
  <c r="FE42" i="6"/>
  <c r="EU16" i="8" s="1"/>
  <c r="FF42" i="6"/>
  <c r="EV16" i="8" s="1"/>
  <c r="FG42" i="6"/>
  <c r="EW16" i="8" s="1"/>
  <c r="FH42" i="6"/>
  <c r="EX16" i="8" s="1"/>
  <c r="FI42" i="6"/>
  <c r="EY16" i="8" s="1"/>
  <c r="FJ42" i="6"/>
  <c r="EZ16" i="8" s="1"/>
  <c r="FA43" i="6"/>
  <c r="EQ41" i="8" s="1"/>
  <c r="FB43" i="6"/>
  <c r="ER41" i="8" s="1"/>
  <c r="FC43" i="6"/>
  <c r="ES41" i="8" s="1"/>
  <c r="FD43" i="6"/>
  <c r="ET41" i="8" s="1"/>
  <c r="FE43" i="6"/>
  <c r="EU41" i="8" s="1"/>
  <c r="FF43" i="6"/>
  <c r="EV41" i="8" s="1"/>
  <c r="FG43" i="6"/>
  <c r="EW41" i="8" s="1"/>
  <c r="FH43" i="6"/>
  <c r="EX41" i="8" s="1"/>
  <c r="FI43" i="6"/>
  <c r="EY41" i="8" s="1"/>
  <c r="FJ43" i="6"/>
  <c r="EZ41" i="8" s="1"/>
  <c r="FA44" i="6"/>
  <c r="EQ66" i="8" s="1"/>
  <c r="FB44" i="6"/>
  <c r="ER66" i="8" s="1"/>
  <c r="FC44" i="6"/>
  <c r="ES66" i="8" s="1"/>
  <c r="FD44" i="6"/>
  <c r="ET66" i="8" s="1"/>
  <c r="FE44" i="6"/>
  <c r="EU66" i="8" s="1"/>
  <c r="FF44" i="6"/>
  <c r="EV66" i="8" s="1"/>
  <c r="FG44" i="6"/>
  <c r="EW66" i="8" s="1"/>
  <c r="FH44" i="6"/>
  <c r="EX66" i="8" s="1"/>
  <c r="FI44" i="6"/>
  <c r="EY66" i="8" s="1"/>
  <c r="FJ44" i="6"/>
  <c r="EZ66" i="8" s="1"/>
  <c r="FA33" i="6"/>
  <c r="FA20" i="6"/>
  <c r="FA75" i="1"/>
  <c r="EQ9" i="8" s="1"/>
  <c r="FB75" i="1"/>
  <c r="ER9" i="8" s="1"/>
  <c r="FC75" i="1"/>
  <c r="ES9" i="8" s="1"/>
  <c r="FD75" i="1"/>
  <c r="ET9" i="8" s="1"/>
  <c r="FE75" i="1"/>
  <c r="EU9" i="8" s="1"/>
  <c r="FF75" i="1"/>
  <c r="EV9" i="8" s="1"/>
  <c r="FG75" i="1"/>
  <c r="EW9" i="8" s="1"/>
  <c r="FH75" i="1"/>
  <c r="EX9" i="8" s="1"/>
  <c r="FI75" i="1"/>
  <c r="EY9" i="8" s="1"/>
  <c r="FJ75" i="1"/>
  <c r="EZ9" i="8" s="1"/>
  <c r="FA76" i="1"/>
  <c r="FB76" i="1"/>
  <c r="FC76" i="1"/>
  <c r="FD76" i="1"/>
  <c r="FE76" i="1"/>
  <c r="FF76" i="1"/>
  <c r="FG76" i="1"/>
  <c r="FH76" i="1"/>
  <c r="FI76" i="1"/>
  <c r="FJ76" i="1"/>
  <c r="FA77" i="1"/>
  <c r="EQ59" i="8" s="1"/>
  <c r="FB77" i="1"/>
  <c r="ER59" i="8" s="1"/>
  <c r="FC77" i="1"/>
  <c r="ES59" i="8" s="1"/>
  <c r="FD77" i="1"/>
  <c r="ET59" i="8" s="1"/>
  <c r="FE77" i="1"/>
  <c r="EU59" i="8" s="1"/>
  <c r="FF77" i="1"/>
  <c r="EV59" i="8" s="1"/>
  <c r="FG77" i="1"/>
  <c r="EW59" i="8" s="1"/>
  <c r="FH77" i="1"/>
  <c r="EX59" i="8" s="1"/>
  <c r="FI77" i="1"/>
  <c r="EY59" i="8" s="1"/>
  <c r="FJ77" i="1"/>
  <c r="EZ59" i="8" s="1"/>
  <c r="FA79" i="1"/>
  <c r="EQ14" i="8" s="1"/>
  <c r="FB79" i="1"/>
  <c r="ER14" i="8" s="1"/>
  <c r="FC79" i="1"/>
  <c r="ES14" i="8" s="1"/>
  <c r="FD79" i="1"/>
  <c r="ET14" i="8" s="1"/>
  <c r="FE79" i="1"/>
  <c r="EU14" i="8" s="1"/>
  <c r="FF79" i="1"/>
  <c r="EV14" i="8" s="1"/>
  <c r="FG79" i="1"/>
  <c r="EW14" i="8" s="1"/>
  <c r="FH79" i="1"/>
  <c r="EX14" i="8" s="1"/>
  <c r="FI79" i="1"/>
  <c r="EY14" i="8" s="1"/>
  <c r="FJ79" i="1"/>
  <c r="EZ14" i="8" s="1"/>
  <c r="FA80" i="1"/>
  <c r="EQ39" i="8" s="1"/>
  <c r="FB80" i="1"/>
  <c r="ER39" i="8" s="1"/>
  <c r="FC80" i="1"/>
  <c r="ES39" i="8" s="1"/>
  <c r="FD80" i="1"/>
  <c r="ET39" i="8" s="1"/>
  <c r="FE80" i="1"/>
  <c r="EU39" i="8" s="1"/>
  <c r="FF80" i="1"/>
  <c r="EV39" i="8" s="1"/>
  <c r="FG80" i="1"/>
  <c r="EW39" i="8" s="1"/>
  <c r="FH80" i="1"/>
  <c r="EX39" i="8" s="1"/>
  <c r="FI80" i="1"/>
  <c r="EY39" i="8" s="1"/>
  <c r="FJ80" i="1"/>
  <c r="EZ39" i="8" s="1"/>
  <c r="FA81" i="1"/>
  <c r="EQ64" i="8" s="1"/>
  <c r="FB81" i="1"/>
  <c r="ER64" i="8" s="1"/>
  <c r="FC81" i="1"/>
  <c r="ES64" i="8" s="1"/>
  <c r="FD81" i="1"/>
  <c r="ET64" i="8" s="1"/>
  <c r="FE81" i="1"/>
  <c r="EU64" i="8" s="1"/>
  <c r="FF81" i="1"/>
  <c r="EV64" i="8" s="1"/>
  <c r="FG81" i="1"/>
  <c r="EW64" i="8" s="1"/>
  <c r="FH81" i="1"/>
  <c r="EX64" i="8" s="1"/>
  <c r="FI81" i="1"/>
  <c r="EY64" i="8" s="1"/>
  <c r="FJ81" i="1"/>
  <c r="EZ64" i="8" s="1"/>
  <c r="FA58" i="1"/>
  <c r="FA45" i="1"/>
  <c r="FA32" i="1"/>
  <c r="FA19" i="1"/>
  <c r="GD31" i="8" l="1"/>
  <c r="GE80" i="8"/>
  <c r="GD56" i="8"/>
  <c r="GD81" i="8"/>
  <c r="GE30" i="8"/>
  <c r="GD30" i="8"/>
  <c r="GE79" i="8"/>
  <c r="GD79" i="8"/>
  <c r="GE29" i="8"/>
  <c r="GD29" i="8"/>
  <c r="GD55" i="8"/>
  <c r="GD80" i="8"/>
  <c r="GE31" i="8"/>
  <c r="GE81" i="8"/>
  <c r="GE56" i="8"/>
  <c r="GU89" i="5"/>
  <c r="FM56" i="8"/>
  <c r="GA31" i="8"/>
  <c r="FX31" i="8"/>
  <c r="FO56" i="8"/>
  <c r="FP31" i="8"/>
  <c r="FX81" i="8"/>
  <c r="FM31" i="8"/>
  <c r="FW81" i="8"/>
  <c r="FN56" i="8"/>
  <c r="FZ56" i="8"/>
  <c r="FN31" i="8"/>
  <c r="FW56" i="8"/>
  <c r="FV56" i="8"/>
  <c r="FO81" i="8"/>
  <c r="FZ81" i="8"/>
  <c r="FO31" i="8"/>
  <c r="FQ56" i="8"/>
  <c r="FM81" i="8"/>
  <c r="FN81" i="8"/>
  <c r="FP81" i="8"/>
  <c r="GC81" i="8"/>
  <c r="FP56" i="8"/>
  <c r="FS31" i="8"/>
  <c r="FR31" i="8"/>
  <c r="GC31" i="8"/>
  <c r="FZ31" i="8"/>
  <c r="FQ31" i="8"/>
  <c r="FV81" i="8"/>
  <c r="FS81" i="8"/>
  <c r="FQ81" i="8"/>
  <c r="FR81" i="8"/>
  <c r="FV31" i="8"/>
  <c r="FX56" i="8"/>
  <c r="FN29" i="8"/>
  <c r="FV29" i="8"/>
  <c r="FM29" i="8"/>
  <c r="FU29" i="8"/>
  <c r="FW79" i="8"/>
  <c r="FN54" i="8"/>
  <c r="FQ29" i="8"/>
  <c r="FO54" i="8"/>
  <c r="FX79" i="8"/>
  <c r="FX29" i="8"/>
  <c r="FP54" i="8"/>
  <c r="FM54" i="8"/>
  <c r="FO79" i="8"/>
  <c r="FQ79" i="8"/>
  <c r="FP79" i="8"/>
  <c r="FM79" i="8"/>
  <c r="GC79" i="8"/>
  <c r="FZ29" i="8"/>
  <c r="FQ54" i="8"/>
  <c r="FP29" i="8"/>
  <c r="FT54" i="8"/>
  <c r="GB79" i="8"/>
  <c r="FS54" i="8"/>
  <c r="GA79" i="8"/>
  <c r="FO29" i="8"/>
  <c r="GA29" i="8"/>
  <c r="FU79" i="8"/>
  <c r="GC29" i="8"/>
  <c r="FN79" i="8"/>
  <c r="GB29" i="8"/>
  <c r="GC56" i="8"/>
  <c r="GC54" i="8"/>
  <c r="GB81" i="8"/>
  <c r="GB56" i="8"/>
  <c r="GB31" i="8"/>
  <c r="GB54" i="8"/>
  <c r="GA56" i="8"/>
  <c r="GA81" i="8"/>
  <c r="GA54" i="8"/>
  <c r="FZ79" i="8"/>
  <c r="FZ54" i="8"/>
  <c r="FY56" i="8"/>
  <c r="FY81" i="8"/>
  <c r="FY31" i="8"/>
  <c r="FY29" i="8"/>
  <c r="FY79" i="8"/>
  <c r="FY54" i="8"/>
  <c r="FW31" i="8"/>
  <c r="FW54" i="8"/>
  <c r="FW29" i="8"/>
  <c r="FX54" i="8"/>
  <c r="GA80" i="8"/>
  <c r="FM55" i="8"/>
  <c r="FZ80" i="8"/>
  <c r="FY80" i="8"/>
  <c r="FP55" i="8"/>
  <c r="FO30" i="8"/>
  <c r="FX80" i="8"/>
  <c r="FN30" i="8"/>
  <c r="FW80" i="8"/>
  <c r="FM30" i="8"/>
  <c r="FO55" i="8"/>
  <c r="GA30" i="8"/>
  <c r="FN80" i="8"/>
  <c r="GC80" i="8"/>
  <c r="FY55" i="8"/>
  <c r="FX30" i="8"/>
  <c r="FZ30" i="8"/>
  <c r="FW30" i="8"/>
  <c r="FP80" i="8"/>
  <c r="FZ55" i="8"/>
  <c r="FY30" i="8"/>
  <c r="FW55" i="8"/>
  <c r="GC30" i="8"/>
  <c r="GA55" i="8"/>
  <c r="FN55" i="8"/>
  <c r="FQ30" i="8"/>
  <c r="FP30" i="8"/>
  <c r="FM80" i="8"/>
  <c r="GB30" i="8"/>
  <c r="GB80" i="8"/>
  <c r="FX55" i="8"/>
  <c r="GC55" i="8"/>
  <c r="GB55" i="8"/>
  <c r="FV55" i="8"/>
  <c r="FV80" i="8"/>
  <c r="FV30" i="8"/>
  <c r="FV79" i="8"/>
  <c r="FV54" i="8"/>
  <c r="FU56" i="8"/>
  <c r="FU81" i="8"/>
  <c r="FU31" i="8"/>
  <c r="FU80" i="8"/>
  <c r="FU30" i="8"/>
  <c r="FU55" i="8"/>
  <c r="FU54" i="8"/>
  <c r="FT56" i="8"/>
  <c r="FT81" i="8"/>
  <c r="FT31" i="8"/>
  <c r="FT80" i="8"/>
  <c r="FT30" i="8"/>
  <c r="FT55" i="8"/>
  <c r="FT29" i="8"/>
  <c r="HU45" i="1"/>
  <c r="FT79" i="8"/>
  <c r="FS29" i="8"/>
  <c r="FS79" i="8"/>
  <c r="FS56" i="8"/>
  <c r="FS30" i="8"/>
  <c r="FS55" i="8"/>
  <c r="FS80" i="8"/>
  <c r="FR29" i="8"/>
  <c r="FR54" i="8"/>
  <c r="FR79" i="8"/>
  <c r="FR55" i="8"/>
  <c r="FR30" i="8"/>
  <c r="FR80" i="8"/>
  <c r="FR56" i="8"/>
  <c r="FQ55" i="8"/>
  <c r="FQ80" i="8"/>
  <c r="FO80" i="8"/>
  <c r="FK54" i="8"/>
  <c r="FE29" i="8"/>
  <c r="FK79" i="8"/>
  <c r="FJ79" i="8"/>
  <c r="FG79" i="8"/>
  <c r="FI79" i="8"/>
  <c r="FJ54" i="8"/>
  <c r="FG54" i="8"/>
  <c r="FA29" i="8"/>
  <c r="FI54" i="8"/>
  <c r="FH54" i="8"/>
  <c r="FF54" i="8"/>
  <c r="FD79" i="8"/>
  <c r="FK29" i="8"/>
  <c r="FB79" i="8"/>
  <c r="FA79" i="8"/>
  <c r="FJ29" i="8"/>
  <c r="FG29" i="8"/>
  <c r="FA54" i="8"/>
  <c r="FI29" i="8"/>
  <c r="FC29" i="8"/>
  <c r="FL54" i="8"/>
  <c r="FB56" i="8"/>
  <c r="FA56" i="8"/>
  <c r="FI81" i="8"/>
  <c r="FB81" i="8"/>
  <c r="FH31" i="8"/>
  <c r="FA81" i="8"/>
  <c r="FI56" i="8"/>
  <c r="FD56" i="8"/>
  <c r="FC56" i="8"/>
  <c r="FH81" i="8"/>
  <c r="FF81" i="8"/>
  <c r="FL31" i="8"/>
  <c r="FE81" i="8"/>
  <c r="FC81" i="8"/>
  <c r="FE31" i="8"/>
  <c r="FG31" i="8"/>
  <c r="FH56" i="8"/>
  <c r="FG56" i="8"/>
  <c r="FD31" i="8"/>
  <c r="FE56" i="8"/>
  <c r="FL55" i="8"/>
  <c r="FL79" i="8"/>
  <c r="FL29" i="8"/>
  <c r="FL30" i="8"/>
  <c r="FL80" i="8"/>
  <c r="FJ31" i="8"/>
  <c r="FK31" i="8"/>
  <c r="FJ81" i="8"/>
  <c r="FJ30" i="8"/>
  <c r="FK30" i="8"/>
  <c r="FK80" i="8"/>
  <c r="FJ80" i="8"/>
  <c r="FK55" i="8"/>
  <c r="FJ55" i="8"/>
  <c r="FI31" i="8"/>
  <c r="FI55" i="8"/>
  <c r="FI80" i="8"/>
  <c r="FI30" i="8"/>
  <c r="FH55" i="8"/>
  <c r="FH80" i="8"/>
  <c r="FH30" i="8"/>
  <c r="FH79" i="8"/>
  <c r="FH29" i="8"/>
  <c r="FG80" i="8"/>
  <c r="FG55" i="8"/>
  <c r="FG30" i="8"/>
  <c r="FF56" i="8"/>
  <c r="FF31" i="8"/>
  <c r="FF55" i="8"/>
  <c r="FF80" i="8"/>
  <c r="FF30" i="8"/>
  <c r="FF79" i="8"/>
  <c r="FF29" i="8"/>
  <c r="FE80" i="8"/>
  <c r="FE55" i="8"/>
  <c r="FE30" i="8"/>
  <c r="FE79" i="8"/>
  <c r="FE54" i="8"/>
  <c r="FD81" i="8"/>
  <c r="FD80" i="8"/>
  <c r="FC30" i="8"/>
  <c r="FD55" i="8"/>
  <c r="FC80" i="8"/>
  <c r="FD30" i="8"/>
  <c r="FC55" i="8"/>
  <c r="FD29" i="8"/>
  <c r="FD54" i="8"/>
  <c r="FC79" i="8"/>
  <c r="HU58" i="1"/>
  <c r="FC54" i="8"/>
  <c r="FB55" i="8"/>
  <c r="FB30" i="8"/>
  <c r="FB80" i="8"/>
  <c r="FB54" i="8"/>
  <c r="FB29" i="8"/>
  <c r="FA30" i="8"/>
  <c r="FA55" i="8"/>
  <c r="FA80" i="8"/>
  <c r="FC31" i="8"/>
  <c r="FG81" i="8"/>
  <c r="FL81" i="8"/>
  <c r="FK81" i="8"/>
  <c r="FB31" i="8"/>
  <c r="FJ56" i="8"/>
  <c r="FA31" i="8"/>
  <c r="FL56" i="8"/>
  <c r="FK56" i="8"/>
  <c r="EW54" i="8"/>
  <c r="EY56" i="8"/>
  <c r="EX31" i="8"/>
  <c r="ES31" i="8"/>
  <c r="EV56" i="8"/>
  <c r="EQ31" i="8"/>
  <c r="ES56" i="8"/>
  <c r="EU31" i="8"/>
  <c r="ER56" i="8"/>
  <c r="EQ56" i="8"/>
  <c r="EQ81" i="8"/>
  <c r="ET81" i="8"/>
  <c r="EY31" i="8"/>
  <c r="EX56" i="8"/>
  <c r="EW31" i="8"/>
  <c r="EV31" i="8"/>
  <c r="ET31" i="8"/>
  <c r="EW56" i="8"/>
  <c r="ER31" i="8"/>
  <c r="EQ54" i="8"/>
  <c r="ER79" i="8"/>
  <c r="EU29" i="8"/>
  <c r="ES79" i="8"/>
  <c r="EQ29" i="8"/>
  <c r="ER54" i="8"/>
  <c r="EQ79" i="8"/>
  <c r="EV54" i="8"/>
  <c r="EY29" i="8"/>
  <c r="EU54" i="8"/>
  <c r="ES54" i="8"/>
  <c r="EZ79" i="8"/>
  <c r="EZ54" i="8"/>
  <c r="EY79" i="8"/>
  <c r="EX29" i="8"/>
  <c r="EZ29" i="8"/>
  <c r="EX79" i="8"/>
  <c r="EW29" i="8"/>
  <c r="ES29" i="8"/>
  <c r="ER29" i="8"/>
  <c r="EW79" i="8"/>
  <c r="EU79" i="8"/>
  <c r="ET29" i="8"/>
  <c r="EY54" i="8"/>
  <c r="EX54" i="8"/>
  <c r="ET79" i="8"/>
  <c r="EQ80" i="8"/>
  <c r="EZ56" i="8"/>
  <c r="EZ31" i="8"/>
  <c r="EZ81" i="8"/>
  <c r="EZ30" i="8"/>
  <c r="EZ80" i="8"/>
  <c r="EZ55" i="8"/>
  <c r="EX81" i="8"/>
  <c r="EY81" i="8"/>
  <c r="EY80" i="8"/>
  <c r="EY30" i="8"/>
  <c r="EY55" i="8"/>
  <c r="EX30" i="8"/>
  <c r="EX80" i="8"/>
  <c r="EX55" i="8"/>
  <c r="EV29" i="8"/>
  <c r="EV79" i="8"/>
  <c r="EU56" i="8"/>
  <c r="EW81" i="8"/>
  <c r="EV81" i="8"/>
  <c r="EU81" i="8"/>
  <c r="EW30" i="8"/>
  <c r="EV30" i="8"/>
  <c r="EW80" i="8"/>
  <c r="EU30" i="8"/>
  <c r="EW55" i="8"/>
  <c r="EU55" i="8"/>
  <c r="EU80" i="8"/>
  <c r="EV55" i="8"/>
  <c r="EV80" i="8"/>
  <c r="ET56" i="8"/>
  <c r="ET54" i="8"/>
  <c r="ES81" i="8"/>
  <c r="ET80" i="8"/>
  <c r="ET30" i="8"/>
  <c r="EQ30" i="8"/>
  <c r="EQ55" i="8"/>
  <c r="ET55" i="8"/>
  <c r="ER81" i="8"/>
  <c r="ES30" i="8"/>
  <c r="ES80" i="8"/>
  <c r="ES55" i="8"/>
  <c r="ER80" i="8"/>
  <c r="ER30" i="8"/>
  <c r="ER55" i="8"/>
  <c r="HU19" i="1" l="1"/>
  <c r="EZ57" i="4"/>
  <c r="EZ45" i="4"/>
  <c r="EZ33" i="4"/>
  <c r="EZ20" i="4"/>
  <c r="EZ33" i="6"/>
  <c r="EZ20" i="6"/>
  <c r="EZ58" i="1"/>
  <c r="EZ45" i="1"/>
  <c r="EZ32" i="1"/>
  <c r="EZ19" i="1"/>
  <c r="EZ59" i="2"/>
  <c r="EZ46" i="2"/>
  <c r="EZ33" i="2"/>
  <c r="EX46" i="2"/>
  <c r="EX33" i="2"/>
  <c r="EY57" i="4"/>
  <c r="EX57" i="4"/>
  <c r="EY45" i="4"/>
  <c r="EX45" i="4"/>
  <c r="EY33" i="4"/>
  <c r="EX33" i="4"/>
  <c r="EY20" i="4"/>
  <c r="EX20" i="4"/>
  <c r="EY59" i="2"/>
  <c r="EX59" i="2"/>
  <c r="EY46" i="2"/>
  <c r="EY33" i="2"/>
  <c r="EY58" i="1"/>
  <c r="EY45" i="1"/>
  <c r="EY32" i="1"/>
  <c r="EY19" i="1"/>
  <c r="EY33" i="6"/>
  <c r="EX33" i="6"/>
  <c r="EY20" i="6"/>
  <c r="EX20" i="6"/>
  <c r="EX58" i="1"/>
  <c r="EX45" i="1"/>
  <c r="EX32" i="1"/>
  <c r="EX19" i="1"/>
  <c r="EW57" i="4"/>
  <c r="EW45" i="4"/>
  <c r="EW33" i="4"/>
  <c r="EW20" i="4"/>
  <c r="EW59" i="2"/>
  <c r="EW46" i="2"/>
  <c r="EW33" i="2"/>
  <c r="EW33" i="6"/>
  <c r="EW20" i="6"/>
  <c r="EW58" i="1"/>
  <c r="EW45" i="1"/>
  <c r="EW32" i="1"/>
  <c r="EW19" i="1"/>
  <c r="EV57" i="4"/>
  <c r="EV45" i="4"/>
  <c r="EV33" i="4"/>
  <c r="EV20" i="4"/>
  <c r="EV59" i="2"/>
  <c r="EV46" i="2"/>
  <c r="EV33" i="2"/>
  <c r="EV33" i="6"/>
  <c r="EV20" i="6"/>
  <c r="EV58" i="1"/>
  <c r="EV45" i="1"/>
  <c r="EV32" i="1"/>
  <c r="EV19" i="1"/>
  <c r="EU57" i="4"/>
  <c r="M56" i="4"/>
  <c r="M55" i="4"/>
  <c r="M54" i="4"/>
  <c r="M53" i="4"/>
  <c r="M52" i="4"/>
  <c r="M51" i="4"/>
  <c r="M50" i="4"/>
  <c r="M49" i="4"/>
  <c r="M48" i="4"/>
  <c r="M47" i="4"/>
  <c r="M46" i="4"/>
  <c r="EU45" i="4"/>
  <c r="EU33" i="4"/>
  <c r="EU20" i="4"/>
  <c r="EU59" i="2"/>
  <c r="EU46" i="2"/>
  <c r="EU33" i="2"/>
  <c r="EU33" i="6"/>
  <c r="EU20" i="6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X58" i="1"/>
  <c r="BY58" i="1"/>
  <c r="BZ58" i="1"/>
  <c r="CA58" i="1"/>
  <c r="CB58" i="1"/>
  <c r="CD58" i="1"/>
  <c r="CF58" i="1"/>
  <c r="CG58" i="1"/>
  <c r="CI58" i="1"/>
  <c r="CK58" i="1"/>
  <c r="CL58" i="1"/>
  <c r="CM58" i="1"/>
  <c r="CN58" i="1"/>
  <c r="CO58" i="1"/>
  <c r="CP58" i="1"/>
  <c r="CQ58" i="1"/>
  <c r="CR58" i="1"/>
  <c r="CS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M72" i="1"/>
  <c r="EU58" i="1"/>
  <c r="L58" i="1"/>
  <c r="K58" i="1"/>
  <c r="J58" i="1"/>
  <c r="I58" i="1"/>
  <c r="H58" i="1"/>
  <c r="G58" i="1"/>
  <c r="F58" i="1"/>
  <c r="E58" i="1"/>
  <c r="M57" i="1"/>
  <c r="M56" i="1"/>
  <c r="M55" i="1"/>
  <c r="M54" i="1"/>
  <c r="M53" i="1"/>
  <c r="M52" i="1"/>
  <c r="M51" i="1"/>
  <c r="M50" i="1"/>
  <c r="M49" i="1"/>
  <c r="M48" i="1"/>
  <c r="M47" i="1"/>
  <c r="EU45" i="1"/>
  <c r="EU32" i="1"/>
  <c r="EU19" i="1"/>
  <c r="EU75" i="1"/>
  <c r="EK9" i="8" s="1"/>
  <c r="EU76" i="1"/>
  <c r="EU77" i="1"/>
  <c r="EK59" i="8" s="1"/>
  <c r="EU79" i="1"/>
  <c r="EK14" i="8" s="1"/>
  <c r="EQ60" i="5"/>
  <c r="EP60" i="5"/>
  <c r="EO60" i="5"/>
  <c r="EN60" i="5"/>
  <c r="EQ30" i="5"/>
  <c r="EP30" i="5"/>
  <c r="EO30" i="5"/>
  <c r="EN30" i="5"/>
  <c r="ET45" i="4"/>
  <c r="ET33" i="4"/>
  <c r="ET20" i="4"/>
  <c r="ET59" i="2"/>
  <c r="ET46" i="2"/>
  <c r="ET33" i="2"/>
  <c r="ET33" i="6"/>
  <c r="ET20" i="6"/>
  <c r="ET45" i="1"/>
  <c r="ET32" i="1"/>
  <c r="ET19" i="1"/>
  <c r="ES45" i="4"/>
  <c r="ES33" i="4"/>
  <c r="ES20" i="4"/>
  <c r="ER45" i="4"/>
  <c r="ER33" i="4"/>
  <c r="ER20" i="4"/>
  <c r="ES59" i="2"/>
  <c r="ER59" i="2"/>
  <c r="ES46" i="2"/>
  <c r="ER46" i="2"/>
  <c r="ES33" i="2"/>
  <c r="ER33" i="2"/>
  <c r="ES33" i="6"/>
  <c r="ER33" i="6"/>
  <c r="ES20" i="6"/>
  <c r="ER20" i="6"/>
  <c r="ES45" i="1"/>
  <c r="ER45" i="1"/>
  <c r="ES32" i="1"/>
  <c r="ER32" i="1"/>
  <c r="ES19" i="1"/>
  <c r="ER19" i="1"/>
  <c r="EQ45" i="4"/>
  <c r="EQ33" i="4"/>
  <c r="EQ20" i="4"/>
  <c r="EQ33" i="6"/>
  <c r="EQ20" i="6"/>
  <c r="EQ45" i="1"/>
  <c r="EQ32" i="1"/>
  <c r="EQ19" i="1"/>
  <c r="EQ59" i="2"/>
  <c r="EQ46" i="2"/>
  <c r="EQ33" i="2"/>
  <c r="EM60" i="5"/>
  <c r="EL60" i="5"/>
  <c r="EK60" i="5"/>
  <c r="EJ60" i="5"/>
  <c r="EI60" i="5"/>
  <c r="EH60" i="5"/>
  <c r="EM30" i="5"/>
  <c r="EL30" i="5"/>
  <c r="EK30" i="5"/>
  <c r="EJ30" i="5"/>
  <c r="EI30" i="5"/>
  <c r="EH30" i="5"/>
  <c r="EG59" i="2"/>
  <c r="EH59" i="2"/>
  <c r="EI59" i="2"/>
  <c r="EJ59" i="2"/>
  <c r="EK59" i="2"/>
  <c r="EL59" i="2"/>
  <c r="EM59" i="2"/>
  <c r="EN59" i="2"/>
  <c r="EO59" i="2"/>
  <c r="EP59" i="2"/>
  <c r="EP45" i="4"/>
  <c r="EP33" i="4"/>
  <c r="EP20" i="4"/>
  <c r="EP46" i="2"/>
  <c r="EP33" i="2"/>
  <c r="EP33" i="6"/>
  <c r="EP20" i="6"/>
  <c r="EP45" i="1"/>
  <c r="EP32" i="1"/>
  <c r="EP19" i="1"/>
  <c r="EO45" i="4"/>
  <c r="EO33" i="4"/>
  <c r="EO20" i="4"/>
  <c r="EO46" i="2"/>
  <c r="EO33" i="2"/>
  <c r="EO33" i="6"/>
  <c r="EO20" i="6"/>
  <c r="EO45" i="1"/>
  <c r="EO32" i="1"/>
  <c r="EO19" i="1"/>
  <c r="EN45" i="4"/>
  <c r="EN33" i="4"/>
  <c r="EN20" i="4"/>
  <c r="EN46" i="2"/>
  <c r="EN33" i="2"/>
  <c r="EN33" i="6"/>
  <c r="EN20" i="6"/>
  <c r="EN45" i="1"/>
  <c r="EN32" i="1"/>
  <c r="EN19" i="1"/>
  <c r="EM45" i="4"/>
  <c r="EM33" i="4"/>
  <c r="EM20" i="4"/>
  <c r="EM46" i="2"/>
  <c r="EM33" i="2"/>
  <c r="EM33" i="6"/>
  <c r="EM20" i="6"/>
  <c r="EM45" i="1"/>
  <c r="EM32" i="1"/>
  <c r="EM19" i="1"/>
  <c r="EL45" i="4"/>
  <c r="EK45" i="4"/>
  <c r="EL33" i="4"/>
  <c r="EK33" i="4"/>
  <c r="EL20" i="4"/>
  <c r="EK20" i="4"/>
  <c r="EL46" i="2"/>
  <c r="EK46" i="2"/>
  <c r="EL33" i="2"/>
  <c r="EK33" i="2"/>
  <c r="EL33" i="6"/>
  <c r="EK33" i="6"/>
  <c r="EL20" i="6"/>
  <c r="EK20" i="6"/>
  <c r="EL45" i="1"/>
  <c r="EK45" i="1"/>
  <c r="EL32" i="1"/>
  <c r="EK32" i="1"/>
  <c r="EL19" i="1"/>
  <c r="EK19" i="1"/>
  <c r="EG60" i="5"/>
  <c r="EF60" i="5"/>
  <c r="EG30" i="5"/>
  <c r="EF30" i="5"/>
  <c r="EJ45" i="4"/>
  <c r="EJ33" i="4"/>
  <c r="EJ20" i="4"/>
  <c r="EH46" i="2"/>
  <c r="EI46" i="2"/>
  <c r="EJ46" i="2"/>
  <c r="EJ33" i="2"/>
  <c r="EJ33" i="6"/>
  <c r="EJ20" i="6"/>
  <c r="EJ45" i="1"/>
  <c r="EJ32" i="1"/>
  <c r="EJ19" i="1"/>
  <c r="EI45" i="4"/>
  <c r="EI33" i="4"/>
  <c r="EI20" i="4"/>
  <c r="EI33" i="2"/>
  <c r="EH33" i="2"/>
  <c r="EI33" i="6"/>
  <c r="EI20" i="6"/>
  <c r="EI45" i="1"/>
  <c r="EI32" i="1"/>
  <c r="EI19" i="1"/>
  <c r="EE6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EH45" i="4"/>
  <c r="EH33" i="4"/>
  <c r="EH20" i="4"/>
  <c r="EH33" i="6"/>
  <c r="EH20" i="6"/>
  <c r="EH45" i="1"/>
  <c r="EH32" i="1"/>
  <c r="EH19" i="1"/>
  <c r="EG45" i="4"/>
  <c r="EG33" i="4"/>
  <c r="EG20" i="4"/>
  <c r="EG46" i="2"/>
  <c r="EG33" i="2"/>
  <c r="EG33" i="6"/>
  <c r="EG20" i="6"/>
  <c r="EG45" i="1"/>
  <c r="EG32" i="1"/>
  <c r="EG19" i="1"/>
  <c r="DM34" i="8"/>
  <c r="DN34" i="8"/>
  <c r="DO34" i="8"/>
  <c r="DP34" i="8"/>
  <c r="DQ34" i="8"/>
  <c r="DR34" i="8"/>
  <c r="DS34" i="8"/>
  <c r="DT34" i="8"/>
  <c r="DU34" i="8"/>
  <c r="DV34" i="8"/>
  <c r="DW34" i="8"/>
  <c r="DX34" i="8"/>
  <c r="DY34" i="8"/>
  <c r="DZ34" i="8"/>
  <c r="DM36" i="8"/>
  <c r="DN36" i="8"/>
  <c r="DO36" i="8"/>
  <c r="DP36" i="8"/>
  <c r="DQ36" i="8"/>
  <c r="DR36" i="8"/>
  <c r="DS36" i="8"/>
  <c r="DT36" i="8"/>
  <c r="DU36" i="8"/>
  <c r="DV36" i="8"/>
  <c r="DW36" i="8"/>
  <c r="DX36" i="8"/>
  <c r="DY36" i="8"/>
  <c r="DZ36" i="8"/>
  <c r="DJ34" i="8"/>
  <c r="DK34" i="8"/>
  <c r="DL34" i="8"/>
  <c r="DJ36" i="8"/>
  <c r="DK36" i="8"/>
  <c r="DL36" i="8"/>
  <c r="EG75" i="1"/>
  <c r="DW9" i="8" s="1"/>
  <c r="EH75" i="1"/>
  <c r="DX9" i="8" s="1"/>
  <c r="EI75" i="1"/>
  <c r="DY9" i="8" s="1"/>
  <c r="EJ75" i="1"/>
  <c r="DZ9" i="8" s="1"/>
  <c r="EK75" i="1"/>
  <c r="EA9" i="8" s="1"/>
  <c r="EL75" i="1"/>
  <c r="EB9" i="8" s="1"/>
  <c r="EM75" i="1"/>
  <c r="EC9" i="8" s="1"/>
  <c r="EN75" i="1"/>
  <c r="ED9" i="8" s="1"/>
  <c r="EO75" i="1"/>
  <c r="EE9" i="8" s="1"/>
  <c r="EP75" i="1"/>
  <c r="EF9" i="8" s="1"/>
  <c r="EQ75" i="1"/>
  <c r="EG9" i="8" s="1"/>
  <c r="ER75" i="1"/>
  <c r="EH9" i="8" s="1"/>
  <c r="ES75" i="1"/>
  <c r="EI9" i="8" s="1"/>
  <c r="ET75" i="1"/>
  <c r="EJ9" i="8" s="1"/>
  <c r="EV75" i="1"/>
  <c r="EL9" i="8" s="1"/>
  <c r="EW75" i="1"/>
  <c r="EM9" i="8" s="1"/>
  <c r="EX75" i="1"/>
  <c r="EN9" i="8" s="1"/>
  <c r="EY75" i="1"/>
  <c r="EO9" i="8" s="1"/>
  <c r="EZ75" i="1"/>
  <c r="EP9" i="8" s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V76" i="1"/>
  <c r="EW76" i="1"/>
  <c r="EX76" i="1"/>
  <c r="EY76" i="1"/>
  <c r="EZ76" i="1"/>
  <c r="EG77" i="1"/>
  <c r="DW59" i="8" s="1"/>
  <c r="EH77" i="1"/>
  <c r="DX59" i="8" s="1"/>
  <c r="EI77" i="1"/>
  <c r="DY59" i="8" s="1"/>
  <c r="EJ77" i="1"/>
  <c r="DZ59" i="8" s="1"/>
  <c r="EK77" i="1"/>
  <c r="EA59" i="8" s="1"/>
  <c r="EL77" i="1"/>
  <c r="EB59" i="8" s="1"/>
  <c r="EM77" i="1"/>
  <c r="EC59" i="8" s="1"/>
  <c r="EN77" i="1"/>
  <c r="ED59" i="8" s="1"/>
  <c r="EO77" i="1"/>
  <c r="EE59" i="8" s="1"/>
  <c r="EP77" i="1"/>
  <c r="EF59" i="8" s="1"/>
  <c r="EQ77" i="1"/>
  <c r="EG59" i="8" s="1"/>
  <c r="ER77" i="1"/>
  <c r="EH59" i="8" s="1"/>
  <c r="ES77" i="1"/>
  <c r="EI59" i="8" s="1"/>
  <c r="ET77" i="1"/>
  <c r="EJ59" i="8" s="1"/>
  <c r="EV77" i="1"/>
  <c r="EL59" i="8" s="1"/>
  <c r="EW77" i="1"/>
  <c r="EM59" i="8" s="1"/>
  <c r="EX77" i="1"/>
  <c r="EN59" i="8" s="1"/>
  <c r="EY77" i="1"/>
  <c r="EO59" i="8" s="1"/>
  <c r="EZ77" i="1"/>
  <c r="EP59" i="8" s="1"/>
  <c r="EG79" i="1"/>
  <c r="DW14" i="8" s="1"/>
  <c r="EH79" i="1"/>
  <c r="DX14" i="8" s="1"/>
  <c r="EI79" i="1"/>
  <c r="DY14" i="8" s="1"/>
  <c r="EJ79" i="1"/>
  <c r="DZ14" i="8" s="1"/>
  <c r="EK79" i="1"/>
  <c r="EA14" i="8" s="1"/>
  <c r="EL79" i="1"/>
  <c r="EB14" i="8" s="1"/>
  <c r="EM79" i="1"/>
  <c r="EC14" i="8" s="1"/>
  <c r="EN79" i="1"/>
  <c r="ED14" i="8" s="1"/>
  <c r="EO79" i="1"/>
  <c r="EE14" i="8" s="1"/>
  <c r="EP79" i="1"/>
  <c r="EF14" i="8" s="1"/>
  <c r="EQ79" i="1"/>
  <c r="EG14" i="8" s="1"/>
  <c r="ER79" i="1"/>
  <c r="EH14" i="8" s="1"/>
  <c r="ES79" i="1"/>
  <c r="EI14" i="8" s="1"/>
  <c r="ET79" i="1"/>
  <c r="EJ14" i="8" s="1"/>
  <c r="EV79" i="1"/>
  <c r="EL14" i="8" s="1"/>
  <c r="EW79" i="1"/>
  <c r="EM14" i="8" s="1"/>
  <c r="EX79" i="1"/>
  <c r="EN14" i="8" s="1"/>
  <c r="EY79" i="1"/>
  <c r="EO14" i="8" s="1"/>
  <c r="EZ79" i="1"/>
  <c r="EP14" i="8" s="1"/>
  <c r="EG80" i="1"/>
  <c r="DW39" i="8" s="1"/>
  <c r="EH80" i="1"/>
  <c r="DX39" i="8" s="1"/>
  <c r="EI80" i="1"/>
  <c r="DY39" i="8" s="1"/>
  <c r="EJ80" i="1"/>
  <c r="DZ39" i="8" s="1"/>
  <c r="EK80" i="1"/>
  <c r="EA39" i="8" s="1"/>
  <c r="EA54" i="8" s="1"/>
  <c r="EL80" i="1"/>
  <c r="EB39" i="8" s="1"/>
  <c r="EB54" i="8" s="1"/>
  <c r="EM80" i="1"/>
  <c r="EC39" i="8" s="1"/>
  <c r="EC54" i="8" s="1"/>
  <c r="EN80" i="1"/>
  <c r="ED39" i="8" s="1"/>
  <c r="ED54" i="8" s="1"/>
  <c r="EO80" i="1"/>
  <c r="EE39" i="8" s="1"/>
  <c r="EE54" i="8" s="1"/>
  <c r="EP80" i="1"/>
  <c r="EF39" i="8" s="1"/>
  <c r="EF54" i="8" s="1"/>
  <c r="EQ80" i="1"/>
  <c r="EG39" i="8" s="1"/>
  <c r="EG54" i="8" s="1"/>
  <c r="ER80" i="1"/>
  <c r="EH39" i="8" s="1"/>
  <c r="EH54" i="8" s="1"/>
  <c r="ES80" i="1"/>
  <c r="EI39" i="8" s="1"/>
  <c r="EI54" i="8" s="1"/>
  <c r="ET80" i="1"/>
  <c r="EJ39" i="8" s="1"/>
  <c r="EJ54" i="8" s="1"/>
  <c r="EU80" i="1"/>
  <c r="EK39" i="8" s="1"/>
  <c r="EK54" i="8" s="1"/>
  <c r="EV80" i="1"/>
  <c r="EL39" i="8" s="1"/>
  <c r="EL54" i="8" s="1"/>
  <c r="EW80" i="1"/>
  <c r="EM39" i="8" s="1"/>
  <c r="EM54" i="8" s="1"/>
  <c r="EX80" i="1"/>
  <c r="EN39" i="8" s="1"/>
  <c r="EN54" i="8" s="1"/>
  <c r="EY80" i="1"/>
  <c r="EO39" i="8" s="1"/>
  <c r="EO54" i="8" s="1"/>
  <c r="EZ80" i="1"/>
  <c r="EP39" i="8" s="1"/>
  <c r="EP54" i="8" s="1"/>
  <c r="EG81" i="1"/>
  <c r="DW64" i="8" s="1"/>
  <c r="EH81" i="1"/>
  <c r="DX64" i="8" s="1"/>
  <c r="EI81" i="1"/>
  <c r="DY64" i="8" s="1"/>
  <c r="EJ81" i="1"/>
  <c r="DZ64" i="8" s="1"/>
  <c r="EK81" i="1"/>
  <c r="EA64" i="8" s="1"/>
  <c r="EL81" i="1"/>
  <c r="EB64" i="8" s="1"/>
  <c r="EM81" i="1"/>
  <c r="EC64" i="8" s="1"/>
  <c r="EN81" i="1"/>
  <c r="ED64" i="8" s="1"/>
  <c r="EO81" i="1"/>
  <c r="EE64" i="8" s="1"/>
  <c r="EP81" i="1"/>
  <c r="EF64" i="8" s="1"/>
  <c r="EQ81" i="1"/>
  <c r="EG64" i="8" s="1"/>
  <c r="ER81" i="1"/>
  <c r="EH64" i="8" s="1"/>
  <c r="ES81" i="1"/>
  <c r="EI64" i="8" s="1"/>
  <c r="ET81" i="1"/>
  <c r="EJ64" i="8" s="1"/>
  <c r="EU81" i="1"/>
  <c r="EK64" i="8" s="1"/>
  <c r="EV81" i="1"/>
  <c r="EL64" i="8" s="1"/>
  <c r="EW81" i="1"/>
  <c r="EM64" i="8" s="1"/>
  <c r="EX81" i="1"/>
  <c r="EN64" i="8" s="1"/>
  <c r="EY81" i="1"/>
  <c r="EO64" i="8" s="1"/>
  <c r="EZ81" i="1"/>
  <c r="EP64" i="8" s="1"/>
  <c r="EG88" i="2"/>
  <c r="DW10" i="8" s="1"/>
  <c r="EH88" i="2"/>
  <c r="DX10" i="8" s="1"/>
  <c r="EI88" i="2"/>
  <c r="DY10" i="8" s="1"/>
  <c r="EJ88" i="2"/>
  <c r="DZ10" i="8" s="1"/>
  <c r="EK88" i="2"/>
  <c r="EA10" i="8" s="1"/>
  <c r="EL88" i="2"/>
  <c r="EB10" i="8" s="1"/>
  <c r="EM88" i="2"/>
  <c r="EC10" i="8" s="1"/>
  <c r="EN88" i="2"/>
  <c r="ED10" i="8" s="1"/>
  <c r="EO88" i="2"/>
  <c r="EE10" i="8" s="1"/>
  <c r="EP88" i="2"/>
  <c r="EF10" i="8" s="1"/>
  <c r="EQ88" i="2"/>
  <c r="EG10" i="8" s="1"/>
  <c r="ER88" i="2"/>
  <c r="EH10" i="8" s="1"/>
  <c r="ES88" i="2"/>
  <c r="EI10" i="8" s="1"/>
  <c r="ET88" i="2"/>
  <c r="EJ10" i="8" s="1"/>
  <c r="EU88" i="2"/>
  <c r="EK10" i="8" s="1"/>
  <c r="EV88" i="2"/>
  <c r="EL10" i="8" s="1"/>
  <c r="EW88" i="2"/>
  <c r="EM10" i="8" s="1"/>
  <c r="EX88" i="2"/>
  <c r="EN10" i="8" s="1"/>
  <c r="EY88" i="2"/>
  <c r="EO10" i="8" s="1"/>
  <c r="EZ88" i="2"/>
  <c r="EP10" i="8" s="1"/>
  <c r="EG89" i="2"/>
  <c r="DW35" i="8" s="1"/>
  <c r="EH89" i="2"/>
  <c r="DX35" i="8" s="1"/>
  <c r="EI89" i="2"/>
  <c r="DY35" i="8" s="1"/>
  <c r="EJ89" i="2"/>
  <c r="DZ35" i="8" s="1"/>
  <c r="EK89" i="2"/>
  <c r="EA35" i="8" s="1"/>
  <c r="EL89" i="2"/>
  <c r="EB35" i="8" s="1"/>
  <c r="EM89" i="2"/>
  <c r="EC35" i="8" s="1"/>
  <c r="EN89" i="2"/>
  <c r="ED35" i="8" s="1"/>
  <c r="EO89" i="2"/>
  <c r="EE35" i="8" s="1"/>
  <c r="EP89" i="2"/>
  <c r="EF35" i="8" s="1"/>
  <c r="EQ89" i="2"/>
  <c r="EG35" i="8" s="1"/>
  <c r="ER89" i="2"/>
  <c r="EH35" i="8" s="1"/>
  <c r="ES89" i="2"/>
  <c r="EI35" i="8" s="1"/>
  <c r="ET89" i="2"/>
  <c r="EJ35" i="8" s="1"/>
  <c r="EU89" i="2"/>
  <c r="EK35" i="8" s="1"/>
  <c r="EV89" i="2"/>
  <c r="EL35" i="8" s="1"/>
  <c r="EW89" i="2"/>
  <c r="EM35" i="8" s="1"/>
  <c r="EX89" i="2"/>
  <c r="EN35" i="8" s="1"/>
  <c r="EY89" i="2"/>
  <c r="EO35" i="8" s="1"/>
  <c r="EZ89" i="2"/>
  <c r="EP35" i="8" s="1"/>
  <c r="EG90" i="2"/>
  <c r="DW60" i="8" s="1"/>
  <c r="EH90" i="2"/>
  <c r="DX60" i="8" s="1"/>
  <c r="EI90" i="2"/>
  <c r="DY60" i="8" s="1"/>
  <c r="EJ90" i="2"/>
  <c r="DZ60" i="8" s="1"/>
  <c r="EK90" i="2"/>
  <c r="EA60" i="8" s="1"/>
  <c r="EL90" i="2"/>
  <c r="EB60" i="8" s="1"/>
  <c r="EM90" i="2"/>
  <c r="EC60" i="8" s="1"/>
  <c r="EN90" i="2"/>
  <c r="ED60" i="8" s="1"/>
  <c r="EO90" i="2"/>
  <c r="EE60" i="8" s="1"/>
  <c r="EP90" i="2"/>
  <c r="EF60" i="8" s="1"/>
  <c r="EQ90" i="2"/>
  <c r="EG60" i="8" s="1"/>
  <c r="ER90" i="2"/>
  <c r="EH60" i="8" s="1"/>
  <c r="ES90" i="2"/>
  <c r="EI60" i="8" s="1"/>
  <c r="ET90" i="2"/>
  <c r="EJ60" i="8" s="1"/>
  <c r="EU90" i="2"/>
  <c r="EK60" i="8" s="1"/>
  <c r="EV90" i="2"/>
  <c r="EL60" i="8" s="1"/>
  <c r="EW90" i="2"/>
  <c r="EM60" i="8" s="1"/>
  <c r="EX90" i="2"/>
  <c r="EN60" i="8" s="1"/>
  <c r="EY90" i="2"/>
  <c r="EO60" i="8" s="1"/>
  <c r="EZ90" i="2"/>
  <c r="EP60" i="8" s="1"/>
  <c r="EG92" i="2"/>
  <c r="DW15" i="8" s="1"/>
  <c r="EH92" i="2"/>
  <c r="DX15" i="8" s="1"/>
  <c r="EI92" i="2"/>
  <c r="DY15" i="8" s="1"/>
  <c r="EJ92" i="2"/>
  <c r="DZ15" i="8" s="1"/>
  <c r="EK92" i="2"/>
  <c r="EA15" i="8" s="1"/>
  <c r="EL92" i="2"/>
  <c r="EB15" i="8" s="1"/>
  <c r="EM92" i="2"/>
  <c r="EC15" i="8" s="1"/>
  <c r="EN92" i="2"/>
  <c r="ED15" i="8" s="1"/>
  <c r="EO92" i="2"/>
  <c r="EE15" i="8" s="1"/>
  <c r="EP92" i="2"/>
  <c r="EF15" i="8" s="1"/>
  <c r="EQ92" i="2"/>
  <c r="EG15" i="8" s="1"/>
  <c r="ER92" i="2"/>
  <c r="EH15" i="8" s="1"/>
  <c r="ES92" i="2"/>
  <c r="EI15" i="8" s="1"/>
  <c r="ET92" i="2"/>
  <c r="EJ15" i="8" s="1"/>
  <c r="EU92" i="2"/>
  <c r="EK15" i="8" s="1"/>
  <c r="EV92" i="2"/>
  <c r="EL15" i="8" s="1"/>
  <c r="EW92" i="2"/>
  <c r="EM15" i="8" s="1"/>
  <c r="EX92" i="2"/>
  <c r="EN15" i="8" s="1"/>
  <c r="EY92" i="2"/>
  <c r="EO15" i="8" s="1"/>
  <c r="EZ92" i="2"/>
  <c r="EP15" i="8" s="1"/>
  <c r="EG93" i="2"/>
  <c r="DW40" i="8" s="1"/>
  <c r="EH93" i="2"/>
  <c r="DX40" i="8" s="1"/>
  <c r="EI93" i="2"/>
  <c r="DY40" i="8" s="1"/>
  <c r="EJ93" i="2"/>
  <c r="DZ40" i="8" s="1"/>
  <c r="EK93" i="2"/>
  <c r="EA40" i="8" s="1"/>
  <c r="EL93" i="2"/>
  <c r="EB40" i="8" s="1"/>
  <c r="EM93" i="2"/>
  <c r="EC40" i="8" s="1"/>
  <c r="EN93" i="2"/>
  <c r="ED40" i="8" s="1"/>
  <c r="EO93" i="2"/>
  <c r="EE40" i="8" s="1"/>
  <c r="EP93" i="2"/>
  <c r="EF40" i="8" s="1"/>
  <c r="EQ93" i="2"/>
  <c r="EG40" i="8" s="1"/>
  <c r="ER93" i="2"/>
  <c r="EH40" i="8" s="1"/>
  <c r="ES93" i="2"/>
  <c r="EI40" i="8" s="1"/>
  <c r="ET93" i="2"/>
  <c r="EJ40" i="8" s="1"/>
  <c r="EU93" i="2"/>
  <c r="EK40" i="8" s="1"/>
  <c r="EV93" i="2"/>
  <c r="EL40" i="8" s="1"/>
  <c r="EW93" i="2"/>
  <c r="EM40" i="8" s="1"/>
  <c r="EX93" i="2"/>
  <c r="EN40" i="8" s="1"/>
  <c r="EY93" i="2"/>
  <c r="EO40" i="8" s="1"/>
  <c r="EZ93" i="2"/>
  <c r="EP40" i="8" s="1"/>
  <c r="EG94" i="2"/>
  <c r="DW65" i="8" s="1"/>
  <c r="EH94" i="2"/>
  <c r="DX65" i="8" s="1"/>
  <c r="EI94" i="2"/>
  <c r="DY65" i="8" s="1"/>
  <c r="EJ94" i="2"/>
  <c r="DZ65" i="8" s="1"/>
  <c r="EK94" i="2"/>
  <c r="EA65" i="8" s="1"/>
  <c r="EL94" i="2"/>
  <c r="EB65" i="8" s="1"/>
  <c r="EM94" i="2"/>
  <c r="EC65" i="8" s="1"/>
  <c r="EN94" i="2"/>
  <c r="ED65" i="8" s="1"/>
  <c r="EO94" i="2"/>
  <c r="EE65" i="8" s="1"/>
  <c r="EP94" i="2"/>
  <c r="EF65" i="8" s="1"/>
  <c r="EQ94" i="2"/>
  <c r="EG65" i="8" s="1"/>
  <c r="ER94" i="2"/>
  <c r="EH65" i="8" s="1"/>
  <c r="ES94" i="2"/>
  <c r="EI65" i="8" s="1"/>
  <c r="ET94" i="2"/>
  <c r="EJ65" i="8" s="1"/>
  <c r="EU94" i="2"/>
  <c r="EK65" i="8" s="1"/>
  <c r="EV94" i="2"/>
  <c r="EL65" i="8" s="1"/>
  <c r="EW94" i="2"/>
  <c r="EM65" i="8" s="1"/>
  <c r="EX94" i="2"/>
  <c r="EN65" i="8" s="1"/>
  <c r="EY94" i="2"/>
  <c r="EO65" i="8" s="1"/>
  <c r="EZ94" i="2"/>
  <c r="EP65" i="8" s="1"/>
  <c r="EG96" i="2"/>
  <c r="DW20" i="8" s="1"/>
  <c r="EH96" i="2"/>
  <c r="DX20" i="8" s="1"/>
  <c r="EI96" i="2"/>
  <c r="DY20" i="8" s="1"/>
  <c r="EJ96" i="2"/>
  <c r="DZ20" i="8" s="1"/>
  <c r="EK96" i="2"/>
  <c r="EA20" i="8" s="1"/>
  <c r="EL96" i="2"/>
  <c r="EB20" i="8" s="1"/>
  <c r="EM96" i="2"/>
  <c r="EC20" i="8" s="1"/>
  <c r="EN96" i="2"/>
  <c r="ED20" i="8" s="1"/>
  <c r="EO96" i="2"/>
  <c r="EE20" i="8" s="1"/>
  <c r="EP96" i="2"/>
  <c r="EF20" i="8" s="1"/>
  <c r="EQ96" i="2"/>
  <c r="EG20" i="8" s="1"/>
  <c r="ER96" i="2"/>
  <c r="EH20" i="8" s="1"/>
  <c r="ES96" i="2"/>
  <c r="EI20" i="8" s="1"/>
  <c r="ET96" i="2"/>
  <c r="EJ20" i="8" s="1"/>
  <c r="EU96" i="2"/>
  <c r="EK20" i="8" s="1"/>
  <c r="EV96" i="2"/>
  <c r="EL20" i="8" s="1"/>
  <c r="EW96" i="2"/>
  <c r="EM20" i="8" s="1"/>
  <c r="EX96" i="2"/>
  <c r="EN20" i="8" s="1"/>
  <c r="EY96" i="2"/>
  <c r="EO20" i="8" s="1"/>
  <c r="EZ96" i="2"/>
  <c r="EP20" i="8" s="1"/>
  <c r="EG97" i="2"/>
  <c r="DW45" i="8" s="1"/>
  <c r="EH97" i="2"/>
  <c r="DX45" i="8" s="1"/>
  <c r="EI97" i="2"/>
  <c r="DY45" i="8" s="1"/>
  <c r="EJ97" i="2"/>
  <c r="DZ45" i="8" s="1"/>
  <c r="EK97" i="2"/>
  <c r="EA45" i="8" s="1"/>
  <c r="EL97" i="2"/>
  <c r="EB45" i="8" s="1"/>
  <c r="EM97" i="2"/>
  <c r="EC45" i="8" s="1"/>
  <c r="EN97" i="2"/>
  <c r="ED45" i="8" s="1"/>
  <c r="EO97" i="2"/>
  <c r="EE45" i="8" s="1"/>
  <c r="EP97" i="2"/>
  <c r="EF45" i="8" s="1"/>
  <c r="EQ97" i="2"/>
  <c r="EG45" i="8" s="1"/>
  <c r="ER97" i="2"/>
  <c r="EH45" i="8" s="1"/>
  <c r="ES97" i="2"/>
  <c r="EI45" i="8" s="1"/>
  <c r="ET97" i="2"/>
  <c r="EJ45" i="8" s="1"/>
  <c r="EU97" i="2"/>
  <c r="EK45" i="8" s="1"/>
  <c r="EV97" i="2"/>
  <c r="EL45" i="8" s="1"/>
  <c r="EW97" i="2"/>
  <c r="EM45" i="8" s="1"/>
  <c r="EX97" i="2"/>
  <c r="EN45" i="8" s="1"/>
  <c r="EY97" i="2"/>
  <c r="EO45" i="8" s="1"/>
  <c r="EZ97" i="2"/>
  <c r="EP45" i="8" s="1"/>
  <c r="EG98" i="2"/>
  <c r="DW70" i="8" s="1"/>
  <c r="EH98" i="2"/>
  <c r="DX70" i="8" s="1"/>
  <c r="EI98" i="2"/>
  <c r="DY70" i="8" s="1"/>
  <c r="EJ98" i="2"/>
  <c r="DZ70" i="8" s="1"/>
  <c r="EK98" i="2"/>
  <c r="EA70" i="8" s="1"/>
  <c r="EL98" i="2"/>
  <c r="EB70" i="8" s="1"/>
  <c r="EM98" i="2"/>
  <c r="EC70" i="8" s="1"/>
  <c r="EN98" i="2"/>
  <c r="ED70" i="8" s="1"/>
  <c r="EO98" i="2"/>
  <c r="EE70" i="8" s="1"/>
  <c r="EP98" i="2"/>
  <c r="EF70" i="8" s="1"/>
  <c r="EQ98" i="2"/>
  <c r="EG70" i="8" s="1"/>
  <c r="ER98" i="2"/>
  <c r="EH70" i="8" s="1"/>
  <c r="ES98" i="2"/>
  <c r="EI70" i="8" s="1"/>
  <c r="ET98" i="2"/>
  <c r="EJ70" i="8" s="1"/>
  <c r="EU98" i="2"/>
  <c r="EK70" i="8" s="1"/>
  <c r="EV98" i="2"/>
  <c r="EL70" i="8" s="1"/>
  <c r="EW98" i="2"/>
  <c r="EM70" i="8" s="1"/>
  <c r="EX98" i="2"/>
  <c r="EN70" i="8" s="1"/>
  <c r="EY98" i="2"/>
  <c r="EO70" i="8" s="1"/>
  <c r="EZ98" i="2"/>
  <c r="EP70" i="8" s="1"/>
  <c r="DW25" i="8"/>
  <c r="DX25" i="8"/>
  <c r="DY25" i="8"/>
  <c r="DZ25" i="8"/>
  <c r="EA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G101" i="2"/>
  <c r="DW50" i="8" s="1"/>
  <c r="EH101" i="2"/>
  <c r="DX50" i="8" s="1"/>
  <c r="EI101" i="2"/>
  <c r="DY50" i="8" s="1"/>
  <c r="EJ101" i="2"/>
  <c r="DZ50" i="8" s="1"/>
  <c r="EK101" i="2"/>
  <c r="EA50" i="8" s="1"/>
  <c r="EL101" i="2"/>
  <c r="EB50" i="8" s="1"/>
  <c r="EM101" i="2"/>
  <c r="EC50" i="8" s="1"/>
  <c r="EN101" i="2"/>
  <c r="ED50" i="8" s="1"/>
  <c r="EO101" i="2"/>
  <c r="EE50" i="8" s="1"/>
  <c r="EP101" i="2"/>
  <c r="EF50" i="8" s="1"/>
  <c r="EQ101" i="2"/>
  <c r="EG50" i="8" s="1"/>
  <c r="ER101" i="2"/>
  <c r="EH50" i="8" s="1"/>
  <c r="ES101" i="2"/>
  <c r="EI50" i="8" s="1"/>
  <c r="ET101" i="2"/>
  <c r="EJ50" i="8" s="1"/>
  <c r="EU101" i="2"/>
  <c r="EK50" i="8" s="1"/>
  <c r="EV101" i="2"/>
  <c r="EL50" i="8" s="1"/>
  <c r="EW101" i="2"/>
  <c r="EM50" i="8" s="1"/>
  <c r="EX101" i="2"/>
  <c r="EN50" i="8" s="1"/>
  <c r="EY101" i="2"/>
  <c r="EO50" i="8" s="1"/>
  <c r="EZ101" i="2"/>
  <c r="EP50" i="8" s="1"/>
  <c r="EG102" i="2"/>
  <c r="DW75" i="8" s="1"/>
  <c r="EH102" i="2"/>
  <c r="DX75" i="8" s="1"/>
  <c r="EI102" i="2"/>
  <c r="DY75" i="8" s="1"/>
  <c r="EJ102" i="2"/>
  <c r="DZ75" i="8" s="1"/>
  <c r="EK102" i="2"/>
  <c r="EA75" i="8" s="1"/>
  <c r="EL102" i="2"/>
  <c r="EB75" i="8" s="1"/>
  <c r="EM102" i="2"/>
  <c r="EC75" i="8" s="1"/>
  <c r="EN102" i="2"/>
  <c r="ED75" i="8" s="1"/>
  <c r="EO102" i="2"/>
  <c r="EE75" i="8" s="1"/>
  <c r="EP102" i="2"/>
  <c r="EF75" i="8" s="1"/>
  <c r="EQ102" i="2"/>
  <c r="EG75" i="8" s="1"/>
  <c r="ER102" i="2"/>
  <c r="EH75" i="8" s="1"/>
  <c r="ES102" i="2"/>
  <c r="EI75" i="8" s="1"/>
  <c r="ET102" i="2"/>
  <c r="EJ75" i="8" s="1"/>
  <c r="EU102" i="2"/>
  <c r="EK75" i="8" s="1"/>
  <c r="EV102" i="2"/>
  <c r="EL75" i="8" s="1"/>
  <c r="EW102" i="2"/>
  <c r="EM75" i="8" s="1"/>
  <c r="EX102" i="2"/>
  <c r="EN75" i="8" s="1"/>
  <c r="EY102" i="2"/>
  <c r="EO75" i="8" s="1"/>
  <c r="EZ102" i="2"/>
  <c r="EP75" i="8" s="1"/>
  <c r="EG74" i="4"/>
  <c r="DW12" i="8" s="1"/>
  <c r="EH74" i="4"/>
  <c r="DX12" i="8" s="1"/>
  <c r="EI74" i="4"/>
  <c r="DY12" i="8" s="1"/>
  <c r="EJ74" i="4"/>
  <c r="DZ12" i="8" s="1"/>
  <c r="EK74" i="4"/>
  <c r="EA12" i="8" s="1"/>
  <c r="EL74" i="4"/>
  <c r="EB12" i="8" s="1"/>
  <c r="EM74" i="4"/>
  <c r="EC12" i="8" s="1"/>
  <c r="EN74" i="4"/>
  <c r="ED12" i="8" s="1"/>
  <c r="EO74" i="4"/>
  <c r="EE12" i="8" s="1"/>
  <c r="EP74" i="4"/>
  <c r="EF12" i="8" s="1"/>
  <c r="EQ74" i="4"/>
  <c r="EG12" i="8" s="1"/>
  <c r="ER74" i="4"/>
  <c r="EH12" i="8" s="1"/>
  <c r="ES74" i="4"/>
  <c r="EI12" i="8" s="1"/>
  <c r="ET74" i="4"/>
  <c r="EJ12" i="8" s="1"/>
  <c r="EU74" i="4"/>
  <c r="EK12" i="8" s="1"/>
  <c r="EV74" i="4"/>
  <c r="EL12" i="8" s="1"/>
  <c r="EW74" i="4"/>
  <c r="EM12" i="8" s="1"/>
  <c r="EX74" i="4"/>
  <c r="EN12" i="8" s="1"/>
  <c r="EY74" i="4"/>
  <c r="EO12" i="8" s="1"/>
  <c r="EZ74" i="4"/>
  <c r="EP12" i="8" s="1"/>
  <c r="EG75" i="4"/>
  <c r="DW37" i="8" s="1"/>
  <c r="EH75" i="4"/>
  <c r="DX37" i="8" s="1"/>
  <c r="EI75" i="4"/>
  <c r="DY37" i="8" s="1"/>
  <c r="EJ75" i="4"/>
  <c r="DZ37" i="8" s="1"/>
  <c r="EK75" i="4"/>
  <c r="EA37" i="8" s="1"/>
  <c r="EL75" i="4"/>
  <c r="EB37" i="8" s="1"/>
  <c r="EM75" i="4"/>
  <c r="EC37" i="8" s="1"/>
  <c r="EN75" i="4"/>
  <c r="ED37" i="8" s="1"/>
  <c r="EO75" i="4"/>
  <c r="EE37" i="8" s="1"/>
  <c r="EP75" i="4"/>
  <c r="EF37" i="8" s="1"/>
  <c r="EQ75" i="4"/>
  <c r="EG37" i="8" s="1"/>
  <c r="ER75" i="4"/>
  <c r="EH37" i="8" s="1"/>
  <c r="ES75" i="4"/>
  <c r="EI37" i="8" s="1"/>
  <c r="ET75" i="4"/>
  <c r="EJ37" i="8" s="1"/>
  <c r="EU75" i="4"/>
  <c r="EK37" i="8" s="1"/>
  <c r="EV75" i="4"/>
  <c r="EL37" i="8" s="1"/>
  <c r="EW75" i="4"/>
  <c r="EM37" i="8" s="1"/>
  <c r="EX75" i="4"/>
  <c r="EN37" i="8" s="1"/>
  <c r="EY75" i="4"/>
  <c r="EO37" i="8" s="1"/>
  <c r="EZ75" i="4"/>
  <c r="EP37" i="8" s="1"/>
  <c r="EG76" i="4"/>
  <c r="DW62" i="8" s="1"/>
  <c r="EH76" i="4"/>
  <c r="DX62" i="8" s="1"/>
  <c r="EI76" i="4"/>
  <c r="DY62" i="8" s="1"/>
  <c r="EJ76" i="4"/>
  <c r="DZ62" i="8" s="1"/>
  <c r="EK76" i="4"/>
  <c r="EA62" i="8" s="1"/>
  <c r="EL76" i="4"/>
  <c r="EB62" i="8" s="1"/>
  <c r="EM76" i="4"/>
  <c r="EC62" i="8" s="1"/>
  <c r="EN76" i="4"/>
  <c r="ED62" i="8" s="1"/>
  <c r="EO76" i="4"/>
  <c r="EE62" i="8" s="1"/>
  <c r="EP76" i="4"/>
  <c r="EF62" i="8" s="1"/>
  <c r="EQ76" i="4"/>
  <c r="EG62" i="8" s="1"/>
  <c r="ER76" i="4"/>
  <c r="EH62" i="8" s="1"/>
  <c r="ES76" i="4"/>
  <c r="EI62" i="8" s="1"/>
  <c r="ET76" i="4"/>
  <c r="EJ62" i="8" s="1"/>
  <c r="EU76" i="4"/>
  <c r="EK62" i="8" s="1"/>
  <c r="EV76" i="4"/>
  <c r="EL62" i="8" s="1"/>
  <c r="EW76" i="4"/>
  <c r="EM62" i="8" s="1"/>
  <c r="EX76" i="4"/>
  <c r="EN62" i="8" s="1"/>
  <c r="EY76" i="4"/>
  <c r="EO62" i="8" s="1"/>
  <c r="EZ76" i="4"/>
  <c r="EP62" i="8" s="1"/>
  <c r="EG78" i="4"/>
  <c r="DW17" i="8" s="1"/>
  <c r="EH78" i="4"/>
  <c r="DX17" i="8" s="1"/>
  <c r="EI78" i="4"/>
  <c r="DY17" i="8" s="1"/>
  <c r="EJ78" i="4"/>
  <c r="DZ17" i="8" s="1"/>
  <c r="EK78" i="4"/>
  <c r="EA17" i="8" s="1"/>
  <c r="EL78" i="4"/>
  <c r="EB17" i="8" s="1"/>
  <c r="EM78" i="4"/>
  <c r="EC17" i="8" s="1"/>
  <c r="EN78" i="4"/>
  <c r="ED17" i="8" s="1"/>
  <c r="EO78" i="4"/>
  <c r="EE17" i="8" s="1"/>
  <c r="EP78" i="4"/>
  <c r="EF17" i="8" s="1"/>
  <c r="EQ78" i="4"/>
  <c r="EG17" i="8" s="1"/>
  <c r="ER78" i="4"/>
  <c r="EH17" i="8" s="1"/>
  <c r="ES78" i="4"/>
  <c r="EI17" i="8" s="1"/>
  <c r="ET78" i="4"/>
  <c r="EJ17" i="8" s="1"/>
  <c r="EU78" i="4"/>
  <c r="EK17" i="8" s="1"/>
  <c r="EV78" i="4"/>
  <c r="EL17" i="8" s="1"/>
  <c r="EW78" i="4"/>
  <c r="EM17" i="8" s="1"/>
  <c r="EX78" i="4"/>
  <c r="EN17" i="8" s="1"/>
  <c r="EY78" i="4"/>
  <c r="EO17" i="8" s="1"/>
  <c r="EZ78" i="4"/>
  <c r="EP17" i="8" s="1"/>
  <c r="EG79" i="4"/>
  <c r="DW42" i="8" s="1"/>
  <c r="EH79" i="4"/>
  <c r="DX42" i="8" s="1"/>
  <c r="EI79" i="4"/>
  <c r="DY42" i="8" s="1"/>
  <c r="EJ79" i="4"/>
  <c r="DZ42" i="8" s="1"/>
  <c r="EK79" i="4"/>
  <c r="EA42" i="8" s="1"/>
  <c r="EL79" i="4"/>
  <c r="EB42" i="8" s="1"/>
  <c r="EM79" i="4"/>
  <c r="EC42" i="8" s="1"/>
  <c r="EN79" i="4"/>
  <c r="ED42" i="8" s="1"/>
  <c r="EO79" i="4"/>
  <c r="EE42" i="8" s="1"/>
  <c r="EP79" i="4"/>
  <c r="EF42" i="8" s="1"/>
  <c r="EQ79" i="4"/>
  <c r="EG42" i="8" s="1"/>
  <c r="ER79" i="4"/>
  <c r="EH42" i="8" s="1"/>
  <c r="ES79" i="4"/>
  <c r="EI42" i="8" s="1"/>
  <c r="ET79" i="4"/>
  <c r="EJ42" i="8" s="1"/>
  <c r="EU79" i="4"/>
  <c r="EK42" i="8" s="1"/>
  <c r="EV79" i="4"/>
  <c r="EL42" i="8" s="1"/>
  <c r="EW79" i="4"/>
  <c r="EM42" i="8" s="1"/>
  <c r="EX79" i="4"/>
  <c r="EN42" i="8" s="1"/>
  <c r="EY79" i="4"/>
  <c r="EO42" i="8" s="1"/>
  <c r="EZ79" i="4"/>
  <c r="EP42" i="8" s="1"/>
  <c r="EG80" i="4"/>
  <c r="DW67" i="8" s="1"/>
  <c r="EH80" i="4"/>
  <c r="DX67" i="8" s="1"/>
  <c r="EI80" i="4"/>
  <c r="DY67" i="8" s="1"/>
  <c r="EJ80" i="4"/>
  <c r="DZ67" i="8" s="1"/>
  <c r="EK80" i="4"/>
  <c r="EA67" i="8" s="1"/>
  <c r="EL80" i="4"/>
  <c r="EB67" i="8" s="1"/>
  <c r="EM80" i="4"/>
  <c r="EC67" i="8" s="1"/>
  <c r="EN80" i="4"/>
  <c r="ED67" i="8" s="1"/>
  <c r="EO80" i="4"/>
  <c r="EE67" i="8" s="1"/>
  <c r="EP80" i="4"/>
  <c r="EF67" i="8" s="1"/>
  <c r="EQ80" i="4"/>
  <c r="EG67" i="8" s="1"/>
  <c r="ER80" i="4"/>
  <c r="EH67" i="8" s="1"/>
  <c r="ES80" i="4"/>
  <c r="EI67" i="8" s="1"/>
  <c r="ET80" i="4"/>
  <c r="EJ67" i="8" s="1"/>
  <c r="EU80" i="4"/>
  <c r="EK67" i="8" s="1"/>
  <c r="EV80" i="4"/>
  <c r="EL67" i="8" s="1"/>
  <c r="EW80" i="4"/>
  <c r="EM67" i="8" s="1"/>
  <c r="EX80" i="4"/>
  <c r="EN67" i="8" s="1"/>
  <c r="EY80" i="4"/>
  <c r="EO67" i="8" s="1"/>
  <c r="EZ80" i="4"/>
  <c r="EP67" i="8" s="1"/>
  <c r="EG38" i="6"/>
  <c r="DW11" i="8" s="1"/>
  <c r="EH38" i="6"/>
  <c r="DX11" i="8" s="1"/>
  <c r="EI38" i="6"/>
  <c r="DY11" i="8" s="1"/>
  <c r="EJ38" i="6"/>
  <c r="DZ11" i="8" s="1"/>
  <c r="EK38" i="6"/>
  <c r="EA11" i="8" s="1"/>
  <c r="EL38" i="6"/>
  <c r="EB11" i="8" s="1"/>
  <c r="EM38" i="6"/>
  <c r="EC11" i="8" s="1"/>
  <c r="EN38" i="6"/>
  <c r="ED11" i="8" s="1"/>
  <c r="EO38" i="6"/>
  <c r="EE11" i="8" s="1"/>
  <c r="EP38" i="6"/>
  <c r="EF11" i="8" s="1"/>
  <c r="EQ38" i="6"/>
  <c r="EG11" i="8" s="1"/>
  <c r="ER38" i="6"/>
  <c r="EH11" i="8" s="1"/>
  <c r="ES38" i="6"/>
  <c r="EI11" i="8" s="1"/>
  <c r="ET38" i="6"/>
  <c r="EJ11" i="8" s="1"/>
  <c r="EU38" i="6"/>
  <c r="EK11" i="8" s="1"/>
  <c r="EV38" i="6"/>
  <c r="EL11" i="8" s="1"/>
  <c r="EW38" i="6"/>
  <c r="EM11" i="8" s="1"/>
  <c r="EX38" i="6"/>
  <c r="EN11" i="8" s="1"/>
  <c r="EY38" i="6"/>
  <c r="EO11" i="8" s="1"/>
  <c r="EZ38" i="6"/>
  <c r="EP11" i="8" s="1"/>
  <c r="EG39" i="6"/>
  <c r="EH39" i="6"/>
  <c r="EI39" i="6"/>
  <c r="EJ39" i="6"/>
  <c r="EK39" i="6"/>
  <c r="EL39" i="6"/>
  <c r="EM39" i="6"/>
  <c r="EN39" i="6"/>
  <c r="EO39" i="6"/>
  <c r="EP39" i="6"/>
  <c r="EQ39" i="6"/>
  <c r="ER39" i="6"/>
  <c r="ES39" i="6"/>
  <c r="ET39" i="6"/>
  <c r="EU39" i="6"/>
  <c r="EV39" i="6"/>
  <c r="EW39" i="6"/>
  <c r="EX39" i="6"/>
  <c r="EY39" i="6"/>
  <c r="EZ39" i="6"/>
  <c r="EG40" i="6"/>
  <c r="DW61" i="8" s="1"/>
  <c r="EH40" i="6"/>
  <c r="DX61" i="8" s="1"/>
  <c r="EI40" i="6"/>
  <c r="DY61" i="8" s="1"/>
  <c r="EJ40" i="6"/>
  <c r="DZ61" i="8" s="1"/>
  <c r="EK40" i="6"/>
  <c r="EA61" i="8" s="1"/>
  <c r="EL40" i="6"/>
  <c r="EB61" i="8" s="1"/>
  <c r="EM40" i="6"/>
  <c r="EC61" i="8" s="1"/>
  <c r="EN40" i="6"/>
  <c r="ED61" i="8" s="1"/>
  <c r="EO40" i="6"/>
  <c r="EE61" i="8" s="1"/>
  <c r="EP40" i="6"/>
  <c r="EF61" i="8" s="1"/>
  <c r="EQ40" i="6"/>
  <c r="EG61" i="8" s="1"/>
  <c r="ER40" i="6"/>
  <c r="EH61" i="8" s="1"/>
  <c r="ES40" i="6"/>
  <c r="EI61" i="8" s="1"/>
  <c r="ET40" i="6"/>
  <c r="EJ61" i="8" s="1"/>
  <c r="EU40" i="6"/>
  <c r="EK61" i="8" s="1"/>
  <c r="EV40" i="6"/>
  <c r="EL61" i="8" s="1"/>
  <c r="EW40" i="6"/>
  <c r="EM61" i="8" s="1"/>
  <c r="EX40" i="6"/>
  <c r="EN61" i="8" s="1"/>
  <c r="EY40" i="6"/>
  <c r="EO61" i="8" s="1"/>
  <c r="EZ40" i="6"/>
  <c r="EP61" i="8" s="1"/>
  <c r="EG42" i="6"/>
  <c r="DW16" i="8" s="1"/>
  <c r="EH42" i="6"/>
  <c r="DX16" i="8" s="1"/>
  <c r="EI42" i="6"/>
  <c r="DY16" i="8" s="1"/>
  <c r="EJ42" i="6"/>
  <c r="DZ16" i="8" s="1"/>
  <c r="EK42" i="6"/>
  <c r="EA16" i="8" s="1"/>
  <c r="EL42" i="6"/>
  <c r="EB16" i="8" s="1"/>
  <c r="EM42" i="6"/>
  <c r="EC16" i="8" s="1"/>
  <c r="EN42" i="6"/>
  <c r="ED16" i="8" s="1"/>
  <c r="EO42" i="6"/>
  <c r="EE16" i="8" s="1"/>
  <c r="EP42" i="6"/>
  <c r="EF16" i="8" s="1"/>
  <c r="EQ42" i="6"/>
  <c r="EG16" i="8" s="1"/>
  <c r="ER42" i="6"/>
  <c r="EH16" i="8" s="1"/>
  <c r="ES42" i="6"/>
  <c r="EI16" i="8" s="1"/>
  <c r="ET42" i="6"/>
  <c r="EJ16" i="8" s="1"/>
  <c r="EU42" i="6"/>
  <c r="EK16" i="8" s="1"/>
  <c r="EV42" i="6"/>
  <c r="EL16" i="8" s="1"/>
  <c r="EW42" i="6"/>
  <c r="EM16" i="8" s="1"/>
  <c r="EX42" i="6"/>
  <c r="EN16" i="8" s="1"/>
  <c r="EY42" i="6"/>
  <c r="EO16" i="8" s="1"/>
  <c r="EZ42" i="6"/>
  <c r="EP16" i="8" s="1"/>
  <c r="EG43" i="6"/>
  <c r="DW41" i="8" s="1"/>
  <c r="EH43" i="6"/>
  <c r="DX41" i="8" s="1"/>
  <c r="EI43" i="6"/>
  <c r="DY41" i="8" s="1"/>
  <c r="EJ43" i="6"/>
  <c r="DZ41" i="8" s="1"/>
  <c r="EK43" i="6"/>
  <c r="EA41" i="8" s="1"/>
  <c r="EL43" i="6"/>
  <c r="EB41" i="8" s="1"/>
  <c r="EM43" i="6"/>
  <c r="EC41" i="8" s="1"/>
  <c r="EN43" i="6"/>
  <c r="ED41" i="8" s="1"/>
  <c r="EO43" i="6"/>
  <c r="EE41" i="8" s="1"/>
  <c r="EP43" i="6"/>
  <c r="EF41" i="8" s="1"/>
  <c r="EQ43" i="6"/>
  <c r="EG41" i="8" s="1"/>
  <c r="ER43" i="6"/>
  <c r="EH41" i="8" s="1"/>
  <c r="ES43" i="6"/>
  <c r="EI41" i="8" s="1"/>
  <c r="ET43" i="6"/>
  <c r="EJ41" i="8" s="1"/>
  <c r="EU43" i="6"/>
  <c r="EK41" i="8" s="1"/>
  <c r="EV43" i="6"/>
  <c r="EL41" i="8" s="1"/>
  <c r="EW43" i="6"/>
  <c r="EM41" i="8" s="1"/>
  <c r="EX43" i="6"/>
  <c r="EN41" i="8" s="1"/>
  <c r="EY43" i="6"/>
  <c r="EO41" i="8" s="1"/>
  <c r="EZ43" i="6"/>
  <c r="EP41" i="8" s="1"/>
  <c r="EG44" i="6"/>
  <c r="DW66" i="8" s="1"/>
  <c r="EH44" i="6"/>
  <c r="DX66" i="8" s="1"/>
  <c r="EI44" i="6"/>
  <c r="DY66" i="8" s="1"/>
  <c r="EJ44" i="6"/>
  <c r="DZ66" i="8" s="1"/>
  <c r="EK44" i="6"/>
  <c r="EA66" i="8" s="1"/>
  <c r="EL44" i="6"/>
  <c r="EB66" i="8" s="1"/>
  <c r="EM44" i="6"/>
  <c r="EC66" i="8" s="1"/>
  <c r="EN44" i="6"/>
  <c r="ED66" i="8" s="1"/>
  <c r="EO44" i="6"/>
  <c r="EE66" i="8" s="1"/>
  <c r="EP44" i="6"/>
  <c r="EF66" i="8" s="1"/>
  <c r="EQ44" i="6"/>
  <c r="EG66" i="8" s="1"/>
  <c r="ER44" i="6"/>
  <c r="EH66" i="8" s="1"/>
  <c r="ES44" i="6"/>
  <c r="EI66" i="8" s="1"/>
  <c r="ET44" i="6"/>
  <c r="EJ66" i="8" s="1"/>
  <c r="EU44" i="6"/>
  <c r="EK66" i="8" s="1"/>
  <c r="EV44" i="6"/>
  <c r="EL66" i="8" s="1"/>
  <c r="EW44" i="6"/>
  <c r="EM66" i="8" s="1"/>
  <c r="EX44" i="6"/>
  <c r="EN66" i="8" s="1"/>
  <c r="EY44" i="6"/>
  <c r="EO66" i="8" s="1"/>
  <c r="EZ44" i="6"/>
  <c r="EP66" i="8" s="1"/>
  <c r="EF45" i="4"/>
  <c r="EE45" i="4"/>
  <c r="ED45" i="4"/>
  <c r="EC45" i="4"/>
  <c r="EB45" i="4"/>
  <c r="EA45" i="4"/>
  <c r="EF33" i="4"/>
  <c r="EE33" i="4"/>
  <c r="ED33" i="4"/>
  <c r="EC33" i="4"/>
  <c r="EB33" i="4"/>
  <c r="EA33" i="4"/>
  <c r="EF20" i="4"/>
  <c r="EE20" i="4"/>
  <c r="ED20" i="4"/>
  <c r="EC20" i="4"/>
  <c r="EB20" i="4"/>
  <c r="EA20" i="4"/>
  <c r="EA59" i="2"/>
  <c r="EB59" i="2"/>
  <c r="EC59" i="2"/>
  <c r="ED59" i="2"/>
  <c r="EE59" i="2"/>
  <c r="EF59" i="2"/>
  <c r="EF46" i="2"/>
  <c r="EE46" i="2"/>
  <c r="ED46" i="2"/>
  <c r="EC46" i="2"/>
  <c r="EB46" i="2"/>
  <c r="EA46" i="2"/>
  <c r="EF33" i="2"/>
  <c r="EE33" i="2"/>
  <c r="ED33" i="2"/>
  <c r="EC33" i="2"/>
  <c r="EB33" i="2"/>
  <c r="EA33" i="2"/>
  <c r="EF33" i="6"/>
  <c r="EE33" i="6"/>
  <c r="ED33" i="6"/>
  <c r="EC33" i="6"/>
  <c r="EB33" i="6"/>
  <c r="EA33" i="6"/>
  <c r="EF20" i="6"/>
  <c r="EE20" i="6"/>
  <c r="ED20" i="6"/>
  <c r="EC20" i="6"/>
  <c r="EB20" i="6"/>
  <c r="EA20" i="6"/>
  <c r="EF45" i="1"/>
  <c r="EE45" i="1"/>
  <c r="ED45" i="1"/>
  <c r="EC45" i="1"/>
  <c r="EB45" i="1"/>
  <c r="EA45" i="1"/>
  <c r="EF32" i="1"/>
  <c r="EE32" i="1"/>
  <c r="ED32" i="1"/>
  <c r="EC32" i="1"/>
  <c r="EB32" i="1"/>
  <c r="EA32" i="1"/>
  <c r="EF19" i="1"/>
  <c r="EE19" i="1"/>
  <c r="ED19" i="1"/>
  <c r="EC19" i="1"/>
  <c r="EB19" i="1"/>
  <c r="EA19" i="1"/>
  <c r="DZ45" i="4"/>
  <c r="DZ33" i="4"/>
  <c r="DZ20" i="4"/>
  <c r="DZ59" i="2"/>
  <c r="DZ46" i="2"/>
  <c r="DZ33" i="2"/>
  <c r="DZ33" i="6"/>
  <c r="DZ20" i="6"/>
  <c r="DZ45" i="1"/>
  <c r="DZ32" i="1"/>
  <c r="DZ19" i="1"/>
  <c r="DY45" i="4"/>
  <c r="DY33" i="4"/>
  <c r="DY20" i="4"/>
  <c r="DY59" i="2"/>
  <c r="DY46" i="2"/>
  <c r="DY33" i="2"/>
  <c r="DY20" i="2"/>
  <c r="DY33" i="6"/>
  <c r="DY20" i="6"/>
  <c r="DY45" i="1"/>
  <c r="DY32" i="1"/>
  <c r="DY19" i="1"/>
  <c r="BM75" i="8"/>
  <c r="AG75" i="8"/>
  <c r="BM50" i="8"/>
  <c r="AG50" i="8"/>
  <c r="O102" i="2"/>
  <c r="E75" i="8" s="1"/>
  <c r="P102" i="2"/>
  <c r="F75" i="8" s="1"/>
  <c r="Q102" i="2"/>
  <c r="G75" i="8" s="1"/>
  <c r="R102" i="2"/>
  <c r="H75" i="8" s="1"/>
  <c r="S102" i="2"/>
  <c r="I75" i="8" s="1"/>
  <c r="T102" i="2"/>
  <c r="J75" i="8" s="1"/>
  <c r="U102" i="2"/>
  <c r="K75" i="8" s="1"/>
  <c r="V102" i="2"/>
  <c r="L75" i="8" s="1"/>
  <c r="W102" i="2"/>
  <c r="M75" i="8" s="1"/>
  <c r="X102" i="2"/>
  <c r="N75" i="8" s="1"/>
  <c r="Y102" i="2"/>
  <c r="O75" i="8" s="1"/>
  <c r="Z102" i="2"/>
  <c r="P75" i="8" s="1"/>
  <c r="AA102" i="2"/>
  <c r="Q75" i="8" s="1"/>
  <c r="AB102" i="2"/>
  <c r="R75" i="8" s="1"/>
  <c r="AC102" i="2"/>
  <c r="S75" i="8" s="1"/>
  <c r="AD102" i="2"/>
  <c r="T75" i="8" s="1"/>
  <c r="AE102" i="2"/>
  <c r="U75" i="8" s="1"/>
  <c r="AF102" i="2"/>
  <c r="V75" i="8" s="1"/>
  <c r="AG102" i="2"/>
  <c r="W75" i="8" s="1"/>
  <c r="AH102" i="2"/>
  <c r="X75" i="8" s="1"/>
  <c r="AI102" i="2"/>
  <c r="Y75" i="8" s="1"/>
  <c r="AJ102" i="2"/>
  <c r="Z75" i="8" s="1"/>
  <c r="AK102" i="2"/>
  <c r="AA75" i="8" s="1"/>
  <c r="AL102" i="2"/>
  <c r="AB75" i="8" s="1"/>
  <c r="AM102" i="2"/>
  <c r="AC75" i="8" s="1"/>
  <c r="AN102" i="2"/>
  <c r="AD75" i="8" s="1"/>
  <c r="AO102" i="2"/>
  <c r="AE75" i="8" s="1"/>
  <c r="AP102" i="2"/>
  <c r="AF75" i="8" s="1"/>
  <c r="AQ102" i="2"/>
  <c r="AR102" i="2"/>
  <c r="AH75" i="8" s="1"/>
  <c r="AS102" i="2"/>
  <c r="AI75" i="8" s="1"/>
  <c r="AT102" i="2"/>
  <c r="AJ75" i="8" s="1"/>
  <c r="AU102" i="2"/>
  <c r="AK75" i="8" s="1"/>
  <c r="AV102" i="2"/>
  <c r="AL75" i="8" s="1"/>
  <c r="AW102" i="2"/>
  <c r="AM75" i="8" s="1"/>
  <c r="AX102" i="2"/>
  <c r="AN75" i="8" s="1"/>
  <c r="AY102" i="2"/>
  <c r="AO75" i="8" s="1"/>
  <c r="AZ102" i="2"/>
  <c r="AP75" i="8" s="1"/>
  <c r="BA102" i="2"/>
  <c r="AQ75" i="8" s="1"/>
  <c r="BB102" i="2"/>
  <c r="AR75" i="8" s="1"/>
  <c r="BC102" i="2"/>
  <c r="AS75" i="8" s="1"/>
  <c r="BD102" i="2"/>
  <c r="AT75" i="8" s="1"/>
  <c r="BE102" i="2"/>
  <c r="AU75" i="8" s="1"/>
  <c r="BF102" i="2"/>
  <c r="AV75" i="8" s="1"/>
  <c r="BG102" i="2"/>
  <c r="AW75" i="8" s="1"/>
  <c r="BH102" i="2"/>
  <c r="AX75" i="8" s="1"/>
  <c r="BI102" i="2"/>
  <c r="AY75" i="8" s="1"/>
  <c r="BJ102" i="2"/>
  <c r="AZ75" i="8" s="1"/>
  <c r="BK102" i="2"/>
  <c r="BA75" i="8" s="1"/>
  <c r="BL102" i="2"/>
  <c r="BB75" i="8" s="1"/>
  <c r="BM102" i="2"/>
  <c r="BC75" i="8" s="1"/>
  <c r="BN102" i="2"/>
  <c r="BD75" i="8" s="1"/>
  <c r="BO102" i="2"/>
  <c r="BE75" i="8" s="1"/>
  <c r="BP102" i="2"/>
  <c r="BF75" i="8" s="1"/>
  <c r="BQ102" i="2"/>
  <c r="BG75" i="8" s="1"/>
  <c r="BR102" i="2"/>
  <c r="BH75" i="8" s="1"/>
  <c r="BS102" i="2"/>
  <c r="BI75" i="8" s="1"/>
  <c r="BT102" i="2"/>
  <c r="BJ75" i="8" s="1"/>
  <c r="BU102" i="2"/>
  <c r="BK75" i="8" s="1"/>
  <c r="BV102" i="2"/>
  <c r="BL75" i="8" s="1"/>
  <c r="BW102" i="2"/>
  <c r="BX102" i="2"/>
  <c r="BN75" i="8" s="1"/>
  <c r="BY102" i="2"/>
  <c r="BO75" i="8" s="1"/>
  <c r="BZ102" i="2"/>
  <c r="BP75" i="8" s="1"/>
  <c r="CA102" i="2"/>
  <c r="BQ75" i="8" s="1"/>
  <c r="CB102" i="2"/>
  <c r="BR75" i="8" s="1"/>
  <c r="CC102" i="2"/>
  <c r="BS75" i="8" s="1"/>
  <c r="CD102" i="2"/>
  <c r="BT75" i="8" s="1"/>
  <c r="CE102" i="2"/>
  <c r="BU75" i="8" s="1"/>
  <c r="CF102" i="2"/>
  <c r="BV75" i="8" s="1"/>
  <c r="CG102" i="2"/>
  <c r="BW75" i="8" s="1"/>
  <c r="CH102" i="2"/>
  <c r="BX75" i="8" s="1"/>
  <c r="CI102" i="2"/>
  <c r="BY75" i="8" s="1"/>
  <c r="CJ102" i="2"/>
  <c r="BZ75" i="8" s="1"/>
  <c r="CK102" i="2"/>
  <c r="CA75" i="8" s="1"/>
  <c r="CL102" i="2"/>
  <c r="CB75" i="8" s="1"/>
  <c r="CM102" i="2"/>
  <c r="CC75" i="8" s="1"/>
  <c r="CN102" i="2"/>
  <c r="CD75" i="8" s="1"/>
  <c r="CP102" i="2"/>
  <c r="CF75" i="8" s="1"/>
  <c r="CQ102" i="2"/>
  <c r="CG75" i="8" s="1"/>
  <c r="CR102" i="2"/>
  <c r="CH75" i="8" s="1"/>
  <c r="CS102" i="2"/>
  <c r="CI75" i="8" s="1"/>
  <c r="CT102" i="2"/>
  <c r="CJ75" i="8" s="1"/>
  <c r="CU102" i="2"/>
  <c r="CK75" i="8" s="1"/>
  <c r="CV102" i="2"/>
  <c r="CL75" i="8" s="1"/>
  <c r="CW102" i="2"/>
  <c r="CM75" i="8" s="1"/>
  <c r="CX102" i="2"/>
  <c r="CN75" i="8" s="1"/>
  <c r="CY102" i="2"/>
  <c r="CO75" i="8" s="1"/>
  <c r="CZ102" i="2"/>
  <c r="CP75" i="8" s="1"/>
  <c r="DA102" i="2"/>
  <c r="CQ75" i="8" s="1"/>
  <c r="DB102" i="2"/>
  <c r="CR75" i="8" s="1"/>
  <c r="DC102" i="2"/>
  <c r="CS75" i="8" s="1"/>
  <c r="DD102" i="2"/>
  <c r="CT75" i="8" s="1"/>
  <c r="DE102" i="2"/>
  <c r="CU75" i="8" s="1"/>
  <c r="DF102" i="2"/>
  <c r="CV75" i="8" s="1"/>
  <c r="DG102" i="2"/>
  <c r="CW75" i="8" s="1"/>
  <c r="DH102" i="2"/>
  <c r="CX75" i="8" s="1"/>
  <c r="DI102" i="2"/>
  <c r="CY75" i="8" s="1"/>
  <c r="DJ102" i="2"/>
  <c r="CZ75" i="8" s="1"/>
  <c r="DK102" i="2"/>
  <c r="DA75" i="8" s="1"/>
  <c r="DL102" i="2"/>
  <c r="DB75" i="8" s="1"/>
  <c r="DM102" i="2"/>
  <c r="DC75" i="8" s="1"/>
  <c r="DN102" i="2"/>
  <c r="DD75" i="8" s="1"/>
  <c r="DO102" i="2"/>
  <c r="DE75" i="8" s="1"/>
  <c r="DP102" i="2"/>
  <c r="DF75" i="8" s="1"/>
  <c r="DQ102" i="2"/>
  <c r="DG75" i="8" s="1"/>
  <c r="DR102" i="2"/>
  <c r="DH75" i="8" s="1"/>
  <c r="DS102" i="2"/>
  <c r="DI75" i="8" s="1"/>
  <c r="DT102" i="2"/>
  <c r="DJ75" i="8" s="1"/>
  <c r="DU102" i="2"/>
  <c r="DK75" i="8" s="1"/>
  <c r="DV102" i="2"/>
  <c r="DL75" i="8" s="1"/>
  <c r="DW102" i="2"/>
  <c r="DM75" i="8" s="1"/>
  <c r="DX102" i="2"/>
  <c r="DN75" i="8" s="1"/>
  <c r="DY102" i="2"/>
  <c r="DO75" i="8" s="1"/>
  <c r="DZ102" i="2"/>
  <c r="DP75" i="8" s="1"/>
  <c r="EA102" i="2"/>
  <c r="DQ75" i="8" s="1"/>
  <c r="EB102" i="2"/>
  <c r="DR75" i="8" s="1"/>
  <c r="EC102" i="2"/>
  <c r="DS75" i="8" s="1"/>
  <c r="ED102" i="2"/>
  <c r="DT75" i="8" s="1"/>
  <c r="EE102" i="2"/>
  <c r="DU75" i="8" s="1"/>
  <c r="EF102" i="2"/>
  <c r="DV75" i="8" s="1"/>
  <c r="CO102" i="2"/>
  <c r="CE75" i="8" s="1"/>
  <c r="CP101" i="2"/>
  <c r="CF50" i="8" s="1"/>
  <c r="CQ101" i="2"/>
  <c r="CG50" i="8" s="1"/>
  <c r="CR101" i="2"/>
  <c r="CH50" i="8" s="1"/>
  <c r="CS101" i="2"/>
  <c r="CI50" i="8" s="1"/>
  <c r="CT101" i="2"/>
  <c r="CJ50" i="8" s="1"/>
  <c r="CU101" i="2"/>
  <c r="CK50" i="8" s="1"/>
  <c r="CV101" i="2"/>
  <c r="CL50" i="8" s="1"/>
  <c r="CW101" i="2"/>
  <c r="CM50" i="8" s="1"/>
  <c r="CX101" i="2"/>
  <c r="CN50" i="8" s="1"/>
  <c r="CY101" i="2"/>
  <c r="CO50" i="8" s="1"/>
  <c r="CZ101" i="2"/>
  <c r="CP50" i="8" s="1"/>
  <c r="DA101" i="2"/>
  <c r="CQ50" i="8" s="1"/>
  <c r="DB101" i="2"/>
  <c r="CR50" i="8" s="1"/>
  <c r="DC101" i="2"/>
  <c r="CS50" i="8" s="1"/>
  <c r="DD101" i="2"/>
  <c r="CT50" i="8" s="1"/>
  <c r="DE101" i="2"/>
  <c r="CU50" i="8" s="1"/>
  <c r="DF101" i="2"/>
  <c r="CV50" i="8" s="1"/>
  <c r="DG101" i="2"/>
  <c r="CW50" i="8" s="1"/>
  <c r="DH101" i="2"/>
  <c r="CX50" i="8" s="1"/>
  <c r="DI101" i="2"/>
  <c r="CY50" i="8" s="1"/>
  <c r="DJ101" i="2"/>
  <c r="CZ50" i="8" s="1"/>
  <c r="DK101" i="2"/>
  <c r="DA50" i="8" s="1"/>
  <c r="DL101" i="2"/>
  <c r="DB50" i="8" s="1"/>
  <c r="DM101" i="2"/>
  <c r="DC50" i="8" s="1"/>
  <c r="DN101" i="2"/>
  <c r="DD50" i="8" s="1"/>
  <c r="DO101" i="2"/>
  <c r="DE50" i="8" s="1"/>
  <c r="DP101" i="2"/>
  <c r="DF50" i="8" s="1"/>
  <c r="DQ101" i="2"/>
  <c r="DG50" i="8" s="1"/>
  <c r="DR101" i="2"/>
  <c r="DH50" i="8" s="1"/>
  <c r="DS101" i="2"/>
  <c r="DI50" i="8" s="1"/>
  <c r="DT101" i="2"/>
  <c r="DJ50" i="8" s="1"/>
  <c r="DU101" i="2"/>
  <c r="DK50" i="8" s="1"/>
  <c r="DV101" i="2"/>
  <c r="DL50" i="8" s="1"/>
  <c r="DW101" i="2"/>
  <c r="DM50" i="8" s="1"/>
  <c r="DX101" i="2"/>
  <c r="DN50" i="8" s="1"/>
  <c r="DY101" i="2"/>
  <c r="DO50" i="8" s="1"/>
  <c r="DZ101" i="2"/>
  <c r="DP50" i="8" s="1"/>
  <c r="EA101" i="2"/>
  <c r="DQ50" i="8" s="1"/>
  <c r="EB101" i="2"/>
  <c r="DR50" i="8" s="1"/>
  <c r="EC101" i="2"/>
  <c r="DS50" i="8" s="1"/>
  <c r="ED101" i="2"/>
  <c r="DT50" i="8" s="1"/>
  <c r="EE101" i="2"/>
  <c r="DU50" i="8" s="1"/>
  <c r="EF101" i="2"/>
  <c r="DV50" i="8" s="1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CE25" i="8"/>
  <c r="CO101" i="2"/>
  <c r="CE50" i="8" s="1"/>
  <c r="CO97" i="2"/>
  <c r="N102" i="2"/>
  <c r="CN101" i="2"/>
  <c r="CD50" i="8" s="1"/>
  <c r="CM101" i="2"/>
  <c r="CC50" i="8" s="1"/>
  <c r="CL101" i="2"/>
  <c r="CB50" i="8" s="1"/>
  <c r="CK101" i="2"/>
  <c r="CA50" i="8" s="1"/>
  <c r="CJ101" i="2"/>
  <c r="BZ50" i="8" s="1"/>
  <c r="CI101" i="2"/>
  <c r="BY50" i="8" s="1"/>
  <c r="CH101" i="2"/>
  <c r="BX50" i="8" s="1"/>
  <c r="CG101" i="2"/>
  <c r="BW50" i="8" s="1"/>
  <c r="CF101" i="2"/>
  <c r="BV50" i="8" s="1"/>
  <c r="CE101" i="2"/>
  <c r="BU50" i="8" s="1"/>
  <c r="CD101" i="2"/>
  <c r="BT50" i="8" s="1"/>
  <c r="CC101" i="2"/>
  <c r="BS50" i="8" s="1"/>
  <c r="CB101" i="2"/>
  <c r="BR50" i="8" s="1"/>
  <c r="CA101" i="2"/>
  <c r="BQ50" i="8" s="1"/>
  <c r="BZ101" i="2"/>
  <c r="BP50" i="8" s="1"/>
  <c r="BY101" i="2"/>
  <c r="BO50" i="8" s="1"/>
  <c r="BX101" i="2"/>
  <c r="BN50" i="8" s="1"/>
  <c r="BW101" i="2"/>
  <c r="BV101" i="2"/>
  <c r="BL50" i="8" s="1"/>
  <c r="BU101" i="2"/>
  <c r="BK50" i="8" s="1"/>
  <c r="BT101" i="2"/>
  <c r="BJ50" i="8" s="1"/>
  <c r="BS101" i="2"/>
  <c r="BI50" i="8" s="1"/>
  <c r="BR101" i="2"/>
  <c r="BH50" i="8" s="1"/>
  <c r="BQ101" i="2"/>
  <c r="BG50" i="8" s="1"/>
  <c r="BP101" i="2"/>
  <c r="BF50" i="8" s="1"/>
  <c r="BO101" i="2"/>
  <c r="BE50" i="8" s="1"/>
  <c r="BN101" i="2"/>
  <c r="BD50" i="8" s="1"/>
  <c r="BM101" i="2"/>
  <c r="BC50" i="8" s="1"/>
  <c r="BL101" i="2"/>
  <c r="BB50" i="8" s="1"/>
  <c r="BK101" i="2"/>
  <c r="BA50" i="8" s="1"/>
  <c r="BJ101" i="2"/>
  <c r="AZ50" i="8" s="1"/>
  <c r="BI101" i="2"/>
  <c r="AY50" i="8" s="1"/>
  <c r="BH101" i="2"/>
  <c r="AX50" i="8" s="1"/>
  <c r="BG101" i="2"/>
  <c r="AW50" i="8" s="1"/>
  <c r="BF101" i="2"/>
  <c r="AV50" i="8" s="1"/>
  <c r="BE101" i="2"/>
  <c r="AU50" i="8" s="1"/>
  <c r="BD101" i="2"/>
  <c r="AT50" i="8" s="1"/>
  <c r="BC101" i="2"/>
  <c r="AS50" i="8" s="1"/>
  <c r="BB101" i="2"/>
  <c r="AR50" i="8" s="1"/>
  <c r="BA101" i="2"/>
  <c r="AQ50" i="8" s="1"/>
  <c r="AZ101" i="2"/>
  <c r="AP50" i="8" s="1"/>
  <c r="AY101" i="2"/>
  <c r="AO50" i="8" s="1"/>
  <c r="AX101" i="2"/>
  <c r="AN50" i="8" s="1"/>
  <c r="AW101" i="2"/>
  <c r="AM50" i="8" s="1"/>
  <c r="AV101" i="2"/>
  <c r="AL50" i="8" s="1"/>
  <c r="AU101" i="2"/>
  <c r="AK50" i="8" s="1"/>
  <c r="AT101" i="2"/>
  <c r="AJ50" i="8" s="1"/>
  <c r="AS101" i="2"/>
  <c r="AI50" i="8" s="1"/>
  <c r="AR101" i="2"/>
  <c r="AH50" i="8" s="1"/>
  <c r="AQ101" i="2"/>
  <c r="AP101" i="2"/>
  <c r="AF50" i="8" s="1"/>
  <c r="AO101" i="2"/>
  <c r="AE50" i="8" s="1"/>
  <c r="AN101" i="2"/>
  <c r="AD50" i="8" s="1"/>
  <c r="AM101" i="2"/>
  <c r="AC50" i="8" s="1"/>
  <c r="AL101" i="2"/>
  <c r="AB50" i="8" s="1"/>
  <c r="AK101" i="2"/>
  <c r="AA50" i="8" s="1"/>
  <c r="AJ101" i="2"/>
  <c r="Z50" i="8" s="1"/>
  <c r="AI101" i="2"/>
  <c r="Y50" i="8" s="1"/>
  <c r="AH101" i="2"/>
  <c r="X50" i="8" s="1"/>
  <c r="AG101" i="2"/>
  <c r="W50" i="8" s="1"/>
  <c r="AF101" i="2"/>
  <c r="V50" i="8" s="1"/>
  <c r="AE101" i="2"/>
  <c r="U50" i="8" s="1"/>
  <c r="AD101" i="2"/>
  <c r="T50" i="8" s="1"/>
  <c r="AC101" i="2"/>
  <c r="S50" i="8" s="1"/>
  <c r="AB101" i="2"/>
  <c r="R50" i="8" s="1"/>
  <c r="AA101" i="2"/>
  <c r="Q50" i="8" s="1"/>
  <c r="Z101" i="2"/>
  <c r="P50" i="8" s="1"/>
  <c r="Y101" i="2"/>
  <c r="O50" i="8" s="1"/>
  <c r="X101" i="2"/>
  <c r="N50" i="8" s="1"/>
  <c r="W101" i="2"/>
  <c r="M50" i="8" s="1"/>
  <c r="V101" i="2"/>
  <c r="L50" i="8" s="1"/>
  <c r="U101" i="2"/>
  <c r="K50" i="8" s="1"/>
  <c r="T101" i="2"/>
  <c r="J50" i="8" s="1"/>
  <c r="S101" i="2"/>
  <c r="I50" i="8" s="1"/>
  <c r="R101" i="2"/>
  <c r="H50" i="8" s="1"/>
  <c r="Q101" i="2"/>
  <c r="G50" i="8" s="1"/>
  <c r="P101" i="2"/>
  <c r="F50" i="8" s="1"/>
  <c r="O101" i="2"/>
  <c r="E50" i="8" s="1"/>
  <c r="N101" i="2"/>
  <c r="L101" i="2"/>
  <c r="K101" i="2"/>
  <c r="J101" i="2"/>
  <c r="I101" i="2"/>
  <c r="H101" i="2"/>
  <c r="G101" i="2"/>
  <c r="F101" i="2"/>
  <c r="E101" i="2"/>
  <c r="N100" i="2"/>
  <c r="L100" i="2"/>
  <c r="K100" i="2"/>
  <c r="J100" i="2"/>
  <c r="I100" i="2"/>
  <c r="H100" i="2"/>
  <c r="G100" i="2"/>
  <c r="F100" i="2"/>
  <c r="E100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L59" i="2"/>
  <c r="K59" i="2"/>
  <c r="J59" i="2"/>
  <c r="I59" i="2"/>
  <c r="H59" i="2"/>
  <c r="G59" i="2"/>
  <c r="F59" i="2"/>
  <c r="E59" i="2"/>
  <c r="M58" i="2"/>
  <c r="M57" i="2"/>
  <c r="M56" i="2"/>
  <c r="M55" i="2"/>
  <c r="M54" i="2"/>
  <c r="M53" i="2"/>
  <c r="M52" i="2"/>
  <c r="M51" i="2"/>
  <c r="M50" i="2"/>
  <c r="M49" i="2"/>
  <c r="M48" i="2"/>
  <c r="DX45" i="4"/>
  <c r="DX33" i="4"/>
  <c r="DX20" i="4"/>
  <c r="DX46" i="2"/>
  <c r="DX33" i="2"/>
  <c r="DX20" i="2"/>
  <c r="DX33" i="6"/>
  <c r="DX20" i="6"/>
  <c r="DX45" i="1"/>
  <c r="DX32" i="1"/>
  <c r="DX19" i="1"/>
  <c r="DW45" i="4"/>
  <c r="DV45" i="4"/>
  <c r="DW33" i="4"/>
  <c r="DV33" i="4"/>
  <c r="DW20" i="4"/>
  <c r="DV20" i="4"/>
  <c r="DW46" i="2"/>
  <c r="DV46" i="2"/>
  <c r="DW33" i="2"/>
  <c r="DV33" i="2"/>
  <c r="DW20" i="2"/>
  <c r="DV20" i="2"/>
  <c r="DW33" i="6"/>
  <c r="DV33" i="6"/>
  <c r="DW20" i="6"/>
  <c r="DV20" i="6"/>
  <c r="DW45" i="1"/>
  <c r="DW32" i="1"/>
  <c r="DW19" i="1"/>
  <c r="DV45" i="1"/>
  <c r="DV32" i="1"/>
  <c r="DV19" i="1"/>
  <c r="DU33" i="6"/>
  <c r="DU20" i="6"/>
  <c r="DU33" i="4"/>
  <c r="DU45" i="4"/>
  <c r="DU20" i="4"/>
  <c r="DU46" i="2"/>
  <c r="DU33" i="2"/>
  <c r="DU20" i="2"/>
  <c r="DU45" i="1"/>
  <c r="DU32" i="1"/>
  <c r="DU19" i="1"/>
  <c r="DT33" i="2"/>
  <c r="DT45" i="4"/>
  <c r="DT33" i="4"/>
  <c r="DT20" i="4"/>
  <c r="DT46" i="2"/>
  <c r="DT20" i="2"/>
  <c r="DT33" i="6"/>
  <c r="DT20" i="6"/>
  <c r="DT45" i="1"/>
  <c r="DT32" i="1"/>
  <c r="DT19" i="1"/>
  <c r="DS45" i="4"/>
  <c r="DS33" i="4"/>
  <c r="DS20" i="4"/>
  <c r="DS46" i="2"/>
  <c r="DS33" i="2"/>
  <c r="DS20" i="2"/>
  <c r="DS33" i="6"/>
  <c r="DS20" i="6"/>
  <c r="DS45" i="1"/>
  <c r="DS32" i="1"/>
  <c r="DS19" i="1"/>
  <c r="DS74" i="4"/>
  <c r="DI12" i="8" s="1"/>
  <c r="DT74" i="4"/>
  <c r="DJ12" i="8" s="1"/>
  <c r="DU74" i="4"/>
  <c r="DK12" i="8" s="1"/>
  <c r="DV74" i="4"/>
  <c r="DL12" i="8" s="1"/>
  <c r="DW74" i="4"/>
  <c r="DM12" i="8" s="1"/>
  <c r="DX74" i="4"/>
  <c r="DN12" i="8" s="1"/>
  <c r="DY74" i="4"/>
  <c r="DO12" i="8" s="1"/>
  <c r="DZ74" i="4"/>
  <c r="DP12" i="8" s="1"/>
  <c r="EA74" i="4"/>
  <c r="DQ12" i="8" s="1"/>
  <c r="EB74" i="4"/>
  <c r="DR12" i="8" s="1"/>
  <c r="EC74" i="4"/>
  <c r="DS12" i="8" s="1"/>
  <c r="ED74" i="4"/>
  <c r="DT12" i="8" s="1"/>
  <c r="EE74" i="4"/>
  <c r="DU12" i="8" s="1"/>
  <c r="EF74" i="4"/>
  <c r="DV12" i="8" s="1"/>
  <c r="DS75" i="4"/>
  <c r="DI37" i="8" s="1"/>
  <c r="DT75" i="4"/>
  <c r="DJ37" i="8" s="1"/>
  <c r="DU75" i="4"/>
  <c r="DK37" i="8" s="1"/>
  <c r="DV75" i="4"/>
  <c r="DL37" i="8" s="1"/>
  <c r="DW75" i="4"/>
  <c r="DM37" i="8" s="1"/>
  <c r="DX75" i="4"/>
  <c r="DN37" i="8" s="1"/>
  <c r="DY75" i="4"/>
  <c r="DO37" i="8" s="1"/>
  <c r="DZ75" i="4"/>
  <c r="DP37" i="8" s="1"/>
  <c r="EA75" i="4"/>
  <c r="DQ37" i="8" s="1"/>
  <c r="EB75" i="4"/>
  <c r="DR37" i="8" s="1"/>
  <c r="EC75" i="4"/>
  <c r="DS37" i="8" s="1"/>
  <c r="ED75" i="4"/>
  <c r="DT37" i="8" s="1"/>
  <c r="EE75" i="4"/>
  <c r="DU37" i="8" s="1"/>
  <c r="EF75" i="4"/>
  <c r="DV37" i="8" s="1"/>
  <c r="DS76" i="4"/>
  <c r="DI62" i="8" s="1"/>
  <c r="DT76" i="4"/>
  <c r="DJ62" i="8" s="1"/>
  <c r="DU76" i="4"/>
  <c r="DK62" i="8" s="1"/>
  <c r="DV76" i="4"/>
  <c r="DL62" i="8" s="1"/>
  <c r="DW76" i="4"/>
  <c r="DM62" i="8" s="1"/>
  <c r="DX76" i="4"/>
  <c r="DN62" i="8" s="1"/>
  <c r="DY76" i="4"/>
  <c r="DO62" i="8" s="1"/>
  <c r="DZ76" i="4"/>
  <c r="DP62" i="8" s="1"/>
  <c r="EA76" i="4"/>
  <c r="DQ62" i="8" s="1"/>
  <c r="EB76" i="4"/>
  <c r="DR62" i="8" s="1"/>
  <c r="EC76" i="4"/>
  <c r="DS62" i="8" s="1"/>
  <c r="ED76" i="4"/>
  <c r="DT62" i="8" s="1"/>
  <c r="EE76" i="4"/>
  <c r="DU62" i="8" s="1"/>
  <c r="EF76" i="4"/>
  <c r="DV62" i="8" s="1"/>
  <c r="DS78" i="4"/>
  <c r="DI17" i="8" s="1"/>
  <c r="DT78" i="4"/>
  <c r="DJ17" i="8" s="1"/>
  <c r="DU78" i="4"/>
  <c r="DK17" i="8" s="1"/>
  <c r="DV78" i="4"/>
  <c r="DL17" i="8" s="1"/>
  <c r="DW78" i="4"/>
  <c r="DM17" i="8" s="1"/>
  <c r="DX78" i="4"/>
  <c r="DN17" i="8" s="1"/>
  <c r="DY78" i="4"/>
  <c r="DO17" i="8" s="1"/>
  <c r="DZ78" i="4"/>
  <c r="DP17" i="8" s="1"/>
  <c r="EA78" i="4"/>
  <c r="DQ17" i="8" s="1"/>
  <c r="EB78" i="4"/>
  <c r="DR17" i="8" s="1"/>
  <c r="EC78" i="4"/>
  <c r="DS17" i="8" s="1"/>
  <c r="ED78" i="4"/>
  <c r="DT17" i="8" s="1"/>
  <c r="EE78" i="4"/>
  <c r="DU17" i="8" s="1"/>
  <c r="EF78" i="4"/>
  <c r="DV17" i="8" s="1"/>
  <c r="DS79" i="4"/>
  <c r="DI42" i="8" s="1"/>
  <c r="DT79" i="4"/>
  <c r="DJ42" i="8" s="1"/>
  <c r="DU79" i="4"/>
  <c r="DK42" i="8" s="1"/>
  <c r="DV79" i="4"/>
  <c r="DL42" i="8" s="1"/>
  <c r="DW79" i="4"/>
  <c r="DM42" i="8" s="1"/>
  <c r="DX79" i="4"/>
  <c r="DN42" i="8" s="1"/>
  <c r="DY79" i="4"/>
  <c r="DO42" i="8" s="1"/>
  <c r="DZ79" i="4"/>
  <c r="DP42" i="8" s="1"/>
  <c r="EA79" i="4"/>
  <c r="DQ42" i="8" s="1"/>
  <c r="EB79" i="4"/>
  <c r="DR42" i="8" s="1"/>
  <c r="EC79" i="4"/>
  <c r="DS42" i="8" s="1"/>
  <c r="ED79" i="4"/>
  <c r="DT42" i="8" s="1"/>
  <c r="EE79" i="4"/>
  <c r="DU42" i="8" s="1"/>
  <c r="EF79" i="4"/>
  <c r="DV42" i="8" s="1"/>
  <c r="DS80" i="4"/>
  <c r="DI67" i="8" s="1"/>
  <c r="DT80" i="4"/>
  <c r="DJ67" i="8" s="1"/>
  <c r="DU80" i="4"/>
  <c r="DK67" i="8" s="1"/>
  <c r="DV80" i="4"/>
  <c r="DL67" i="8" s="1"/>
  <c r="DW80" i="4"/>
  <c r="DM67" i="8" s="1"/>
  <c r="DX80" i="4"/>
  <c r="DN67" i="8" s="1"/>
  <c r="DY80" i="4"/>
  <c r="DO67" i="8" s="1"/>
  <c r="DZ80" i="4"/>
  <c r="DP67" i="8" s="1"/>
  <c r="EA80" i="4"/>
  <c r="DQ67" i="8" s="1"/>
  <c r="EB80" i="4"/>
  <c r="DR67" i="8" s="1"/>
  <c r="EC80" i="4"/>
  <c r="DS67" i="8" s="1"/>
  <c r="ED80" i="4"/>
  <c r="DT67" i="8" s="1"/>
  <c r="EE80" i="4"/>
  <c r="DU67" i="8" s="1"/>
  <c r="EF80" i="4"/>
  <c r="DV67" i="8" s="1"/>
  <c r="DR45" i="4"/>
  <c r="DR33" i="4"/>
  <c r="DR20" i="4"/>
  <c r="DR46" i="2"/>
  <c r="DR33" i="2"/>
  <c r="DR20" i="2"/>
  <c r="DT88" i="2"/>
  <c r="DJ10" i="8" s="1"/>
  <c r="DU88" i="2"/>
  <c r="DK10" i="8" s="1"/>
  <c r="DV88" i="2"/>
  <c r="DL10" i="8" s="1"/>
  <c r="DW88" i="2"/>
  <c r="DM10" i="8" s="1"/>
  <c r="DX88" i="2"/>
  <c r="DN10" i="8" s="1"/>
  <c r="DY88" i="2"/>
  <c r="DO10" i="8" s="1"/>
  <c r="DZ88" i="2"/>
  <c r="DP10" i="8" s="1"/>
  <c r="EA88" i="2"/>
  <c r="DQ10" i="8" s="1"/>
  <c r="EB88" i="2"/>
  <c r="DR10" i="8" s="1"/>
  <c r="EC88" i="2"/>
  <c r="DS10" i="8" s="1"/>
  <c r="ED88" i="2"/>
  <c r="DT10" i="8" s="1"/>
  <c r="EE88" i="2"/>
  <c r="DU10" i="8" s="1"/>
  <c r="EF88" i="2"/>
  <c r="DV10" i="8" s="1"/>
  <c r="DT89" i="2"/>
  <c r="DJ35" i="8" s="1"/>
  <c r="DU89" i="2"/>
  <c r="DK35" i="8" s="1"/>
  <c r="DV89" i="2"/>
  <c r="DL35" i="8" s="1"/>
  <c r="DW89" i="2"/>
  <c r="DM35" i="8" s="1"/>
  <c r="DX89" i="2"/>
  <c r="DN35" i="8" s="1"/>
  <c r="DY89" i="2"/>
  <c r="DO35" i="8" s="1"/>
  <c r="DZ89" i="2"/>
  <c r="DP35" i="8" s="1"/>
  <c r="EA89" i="2"/>
  <c r="DQ35" i="8" s="1"/>
  <c r="EB89" i="2"/>
  <c r="DR35" i="8" s="1"/>
  <c r="EC89" i="2"/>
  <c r="DS35" i="8" s="1"/>
  <c r="ED89" i="2"/>
  <c r="DT35" i="8" s="1"/>
  <c r="EE89" i="2"/>
  <c r="DU35" i="8" s="1"/>
  <c r="EF89" i="2"/>
  <c r="DV35" i="8" s="1"/>
  <c r="DT90" i="2"/>
  <c r="DJ60" i="8" s="1"/>
  <c r="DU90" i="2"/>
  <c r="DK60" i="8" s="1"/>
  <c r="DV90" i="2"/>
  <c r="DL60" i="8" s="1"/>
  <c r="DW90" i="2"/>
  <c r="DM60" i="8" s="1"/>
  <c r="DX90" i="2"/>
  <c r="DN60" i="8" s="1"/>
  <c r="DY90" i="2"/>
  <c r="DO60" i="8" s="1"/>
  <c r="DZ90" i="2"/>
  <c r="DP60" i="8" s="1"/>
  <c r="EA90" i="2"/>
  <c r="DQ60" i="8" s="1"/>
  <c r="EB90" i="2"/>
  <c r="DR60" i="8" s="1"/>
  <c r="EC90" i="2"/>
  <c r="DS60" i="8" s="1"/>
  <c r="ED90" i="2"/>
  <c r="DT60" i="8" s="1"/>
  <c r="EE90" i="2"/>
  <c r="DU60" i="8" s="1"/>
  <c r="EF90" i="2"/>
  <c r="DV60" i="8" s="1"/>
  <c r="DT92" i="2"/>
  <c r="DJ15" i="8" s="1"/>
  <c r="DU92" i="2"/>
  <c r="DK15" i="8" s="1"/>
  <c r="DV92" i="2"/>
  <c r="DL15" i="8" s="1"/>
  <c r="DW92" i="2"/>
  <c r="DM15" i="8" s="1"/>
  <c r="DX92" i="2"/>
  <c r="DN15" i="8" s="1"/>
  <c r="DY92" i="2"/>
  <c r="DO15" i="8" s="1"/>
  <c r="DZ92" i="2"/>
  <c r="DP15" i="8" s="1"/>
  <c r="EA92" i="2"/>
  <c r="DQ15" i="8" s="1"/>
  <c r="EB92" i="2"/>
  <c r="DR15" i="8" s="1"/>
  <c r="EC92" i="2"/>
  <c r="DS15" i="8" s="1"/>
  <c r="ED92" i="2"/>
  <c r="DT15" i="8" s="1"/>
  <c r="EE92" i="2"/>
  <c r="DU15" i="8" s="1"/>
  <c r="EF92" i="2"/>
  <c r="DV15" i="8" s="1"/>
  <c r="DT93" i="2"/>
  <c r="DJ40" i="8" s="1"/>
  <c r="DU93" i="2"/>
  <c r="DK40" i="8" s="1"/>
  <c r="DV93" i="2"/>
  <c r="DL40" i="8" s="1"/>
  <c r="DW93" i="2"/>
  <c r="DM40" i="8" s="1"/>
  <c r="DX93" i="2"/>
  <c r="DN40" i="8" s="1"/>
  <c r="DY93" i="2"/>
  <c r="DO40" i="8" s="1"/>
  <c r="DZ93" i="2"/>
  <c r="DP40" i="8" s="1"/>
  <c r="EA93" i="2"/>
  <c r="DQ40" i="8" s="1"/>
  <c r="EB93" i="2"/>
  <c r="DR40" i="8" s="1"/>
  <c r="EC93" i="2"/>
  <c r="DS40" i="8" s="1"/>
  <c r="ED93" i="2"/>
  <c r="DT40" i="8" s="1"/>
  <c r="EE93" i="2"/>
  <c r="DU40" i="8" s="1"/>
  <c r="EF93" i="2"/>
  <c r="DV40" i="8" s="1"/>
  <c r="DT94" i="2"/>
  <c r="DJ65" i="8" s="1"/>
  <c r="DU94" i="2"/>
  <c r="DK65" i="8" s="1"/>
  <c r="DV94" i="2"/>
  <c r="DL65" i="8" s="1"/>
  <c r="DW94" i="2"/>
  <c r="DM65" i="8" s="1"/>
  <c r="DX94" i="2"/>
  <c r="DN65" i="8" s="1"/>
  <c r="DY94" i="2"/>
  <c r="DO65" i="8" s="1"/>
  <c r="DZ94" i="2"/>
  <c r="DP65" i="8" s="1"/>
  <c r="EA94" i="2"/>
  <c r="DQ65" i="8" s="1"/>
  <c r="EB94" i="2"/>
  <c r="DR65" i="8" s="1"/>
  <c r="EC94" i="2"/>
  <c r="DS65" i="8" s="1"/>
  <c r="ED94" i="2"/>
  <c r="DT65" i="8" s="1"/>
  <c r="EE94" i="2"/>
  <c r="DU65" i="8" s="1"/>
  <c r="EF94" i="2"/>
  <c r="DV65" i="8" s="1"/>
  <c r="DT96" i="2"/>
  <c r="DJ20" i="8" s="1"/>
  <c r="DU96" i="2"/>
  <c r="DK20" i="8" s="1"/>
  <c r="DV96" i="2"/>
  <c r="DL20" i="8" s="1"/>
  <c r="DW96" i="2"/>
  <c r="DM20" i="8" s="1"/>
  <c r="DX96" i="2"/>
  <c r="DN20" i="8" s="1"/>
  <c r="DY96" i="2"/>
  <c r="DO20" i="8" s="1"/>
  <c r="DZ96" i="2"/>
  <c r="DP20" i="8" s="1"/>
  <c r="EA96" i="2"/>
  <c r="DQ20" i="8" s="1"/>
  <c r="EB96" i="2"/>
  <c r="DR20" i="8" s="1"/>
  <c r="EC96" i="2"/>
  <c r="DS20" i="8" s="1"/>
  <c r="ED96" i="2"/>
  <c r="DT20" i="8" s="1"/>
  <c r="EE96" i="2"/>
  <c r="DU20" i="8" s="1"/>
  <c r="EF96" i="2"/>
  <c r="DV20" i="8" s="1"/>
  <c r="DT97" i="2"/>
  <c r="DJ45" i="8" s="1"/>
  <c r="DU97" i="2"/>
  <c r="DK45" i="8" s="1"/>
  <c r="DV97" i="2"/>
  <c r="DL45" i="8" s="1"/>
  <c r="DW97" i="2"/>
  <c r="DM45" i="8" s="1"/>
  <c r="DX97" i="2"/>
  <c r="DN45" i="8" s="1"/>
  <c r="DY97" i="2"/>
  <c r="DO45" i="8" s="1"/>
  <c r="DZ97" i="2"/>
  <c r="DP45" i="8" s="1"/>
  <c r="EA97" i="2"/>
  <c r="DQ45" i="8" s="1"/>
  <c r="EB97" i="2"/>
  <c r="DR45" i="8" s="1"/>
  <c r="EC97" i="2"/>
  <c r="DS45" i="8" s="1"/>
  <c r="ED97" i="2"/>
  <c r="DT45" i="8" s="1"/>
  <c r="EE97" i="2"/>
  <c r="DU45" i="8" s="1"/>
  <c r="EF97" i="2"/>
  <c r="DV45" i="8" s="1"/>
  <c r="DT98" i="2"/>
  <c r="DJ70" i="8" s="1"/>
  <c r="DU98" i="2"/>
  <c r="DK70" i="8" s="1"/>
  <c r="DV98" i="2"/>
  <c r="DL70" i="8" s="1"/>
  <c r="DW98" i="2"/>
  <c r="DM70" i="8" s="1"/>
  <c r="DX98" i="2"/>
  <c r="DN70" i="8" s="1"/>
  <c r="DY98" i="2"/>
  <c r="DO70" i="8" s="1"/>
  <c r="DZ98" i="2"/>
  <c r="DP70" i="8" s="1"/>
  <c r="EA98" i="2"/>
  <c r="DQ70" i="8" s="1"/>
  <c r="EB98" i="2"/>
  <c r="DR70" i="8" s="1"/>
  <c r="EC98" i="2"/>
  <c r="DS70" i="8" s="1"/>
  <c r="ED98" i="2"/>
  <c r="DT70" i="8" s="1"/>
  <c r="EE98" i="2"/>
  <c r="DU70" i="8" s="1"/>
  <c r="EF98" i="2"/>
  <c r="DV70" i="8" s="1"/>
  <c r="DR33" i="6"/>
  <c r="DR20" i="6"/>
  <c r="DS38" i="6"/>
  <c r="DI11" i="8" s="1"/>
  <c r="DT38" i="6"/>
  <c r="DJ11" i="8" s="1"/>
  <c r="DU38" i="6"/>
  <c r="DK11" i="8" s="1"/>
  <c r="DV38" i="6"/>
  <c r="DL11" i="8" s="1"/>
  <c r="DW38" i="6"/>
  <c r="DM11" i="8" s="1"/>
  <c r="DX38" i="6"/>
  <c r="DN11" i="8" s="1"/>
  <c r="DY38" i="6"/>
  <c r="DO11" i="8" s="1"/>
  <c r="DZ38" i="6"/>
  <c r="DP11" i="8" s="1"/>
  <c r="EA38" i="6"/>
  <c r="DQ11" i="8" s="1"/>
  <c r="EB38" i="6"/>
  <c r="DR11" i="8" s="1"/>
  <c r="EC38" i="6"/>
  <c r="DS11" i="8" s="1"/>
  <c r="ED38" i="6"/>
  <c r="DT11" i="8" s="1"/>
  <c r="EE38" i="6"/>
  <c r="DU11" i="8" s="1"/>
  <c r="EF38" i="6"/>
  <c r="DV11" i="8" s="1"/>
  <c r="DS39" i="6"/>
  <c r="DT39" i="6"/>
  <c r="DU39" i="6"/>
  <c r="DV39" i="6"/>
  <c r="DW39" i="6"/>
  <c r="DX39" i="6"/>
  <c r="DY39" i="6"/>
  <c r="DZ39" i="6"/>
  <c r="EA39" i="6"/>
  <c r="EB39" i="6"/>
  <c r="EC39" i="6"/>
  <c r="ED39" i="6"/>
  <c r="EE39" i="6"/>
  <c r="EF39" i="6"/>
  <c r="DS40" i="6"/>
  <c r="DI61" i="8" s="1"/>
  <c r="DT40" i="6"/>
  <c r="DJ61" i="8" s="1"/>
  <c r="DU40" i="6"/>
  <c r="DK61" i="8" s="1"/>
  <c r="DV40" i="6"/>
  <c r="DL61" i="8" s="1"/>
  <c r="DW40" i="6"/>
  <c r="DM61" i="8" s="1"/>
  <c r="DX40" i="6"/>
  <c r="DN61" i="8" s="1"/>
  <c r="DY40" i="6"/>
  <c r="DO61" i="8" s="1"/>
  <c r="DZ40" i="6"/>
  <c r="DP61" i="8" s="1"/>
  <c r="EA40" i="6"/>
  <c r="DQ61" i="8" s="1"/>
  <c r="EB40" i="6"/>
  <c r="DR61" i="8" s="1"/>
  <c r="EC40" i="6"/>
  <c r="DS61" i="8" s="1"/>
  <c r="ED40" i="6"/>
  <c r="DT61" i="8" s="1"/>
  <c r="EE40" i="6"/>
  <c r="DU61" i="8" s="1"/>
  <c r="EF40" i="6"/>
  <c r="DV61" i="8" s="1"/>
  <c r="DS42" i="6"/>
  <c r="DI16" i="8" s="1"/>
  <c r="DT42" i="6"/>
  <c r="DJ16" i="8" s="1"/>
  <c r="DU42" i="6"/>
  <c r="DK16" i="8" s="1"/>
  <c r="DV42" i="6"/>
  <c r="DL16" i="8" s="1"/>
  <c r="DW42" i="6"/>
  <c r="DM16" i="8" s="1"/>
  <c r="DX42" i="6"/>
  <c r="DN16" i="8" s="1"/>
  <c r="DY42" i="6"/>
  <c r="DO16" i="8" s="1"/>
  <c r="DZ42" i="6"/>
  <c r="DP16" i="8" s="1"/>
  <c r="EA42" i="6"/>
  <c r="DQ16" i="8" s="1"/>
  <c r="EB42" i="6"/>
  <c r="DR16" i="8" s="1"/>
  <c r="EC42" i="6"/>
  <c r="DS16" i="8" s="1"/>
  <c r="ED42" i="6"/>
  <c r="DT16" i="8" s="1"/>
  <c r="EE42" i="6"/>
  <c r="DU16" i="8" s="1"/>
  <c r="EF42" i="6"/>
  <c r="DV16" i="8" s="1"/>
  <c r="DS43" i="6"/>
  <c r="DI41" i="8" s="1"/>
  <c r="DT43" i="6"/>
  <c r="DJ41" i="8" s="1"/>
  <c r="DU43" i="6"/>
  <c r="DK41" i="8" s="1"/>
  <c r="DV43" i="6"/>
  <c r="DL41" i="8" s="1"/>
  <c r="DW43" i="6"/>
  <c r="DM41" i="8" s="1"/>
  <c r="DX43" i="6"/>
  <c r="DN41" i="8" s="1"/>
  <c r="DY43" i="6"/>
  <c r="DO41" i="8" s="1"/>
  <c r="DZ43" i="6"/>
  <c r="DP41" i="8" s="1"/>
  <c r="EA43" i="6"/>
  <c r="DQ41" i="8" s="1"/>
  <c r="EB43" i="6"/>
  <c r="DR41" i="8" s="1"/>
  <c r="EC43" i="6"/>
  <c r="DS41" i="8" s="1"/>
  <c r="ED43" i="6"/>
  <c r="DT41" i="8" s="1"/>
  <c r="EE43" i="6"/>
  <c r="DU41" i="8" s="1"/>
  <c r="EF43" i="6"/>
  <c r="DV41" i="8" s="1"/>
  <c r="DS44" i="6"/>
  <c r="DI66" i="8" s="1"/>
  <c r="DT44" i="6"/>
  <c r="DJ66" i="8" s="1"/>
  <c r="DU44" i="6"/>
  <c r="DK66" i="8" s="1"/>
  <c r="DV44" i="6"/>
  <c r="DL66" i="8" s="1"/>
  <c r="DW44" i="6"/>
  <c r="DM66" i="8" s="1"/>
  <c r="DX44" i="6"/>
  <c r="DN66" i="8" s="1"/>
  <c r="DY44" i="6"/>
  <c r="DO66" i="8" s="1"/>
  <c r="DZ44" i="6"/>
  <c r="DP66" i="8" s="1"/>
  <c r="EA44" i="6"/>
  <c r="DQ66" i="8" s="1"/>
  <c r="EB44" i="6"/>
  <c r="DR66" i="8" s="1"/>
  <c r="EC44" i="6"/>
  <c r="DS66" i="8" s="1"/>
  <c r="ED44" i="6"/>
  <c r="DT66" i="8" s="1"/>
  <c r="EE44" i="6"/>
  <c r="DU66" i="8" s="1"/>
  <c r="EF44" i="6"/>
  <c r="DV66" i="8" s="1"/>
  <c r="DS75" i="1"/>
  <c r="DI9" i="8" s="1"/>
  <c r="DT75" i="1"/>
  <c r="DJ9" i="8" s="1"/>
  <c r="DU75" i="1"/>
  <c r="DK9" i="8" s="1"/>
  <c r="DV75" i="1"/>
  <c r="DL9" i="8" s="1"/>
  <c r="DW75" i="1"/>
  <c r="DM9" i="8" s="1"/>
  <c r="DX75" i="1"/>
  <c r="DN9" i="8" s="1"/>
  <c r="DY75" i="1"/>
  <c r="DO9" i="8" s="1"/>
  <c r="DZ75" i="1"/>
  <c r="DP9" i="8" s="1"/>
  <c r="EA75" i="1"/>
  <c r="DQ9" i="8" s="1"/>
  <c r="EB75" i="1"/>
  <c r="DR9" i="8" s="1"/>
  <c r="EC75" i="1"/>
  <c r="DS9" i="8" s="1"/>
  <c r="ED75" i="1"/>
  <c r="DT9" i="8" s="1"/>
  <c r="EE75" i="1"/>
  <c r="DU9" i="8" s="1"/>
  <c r="EF75" i="1"/>
  <c r="DV9" i="8" s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DS77" i="1"/>
  <c r="DI59" i="8" s="1"/>
  <c r="DT77" i="1"/>
  <c r="DJ59" i="8" s="1"/>
  <c r="DU77" i="1"/>
  <c r="DK59" i="8" s="1"/>
  <c r="DV77" i="1"/>
  <c r="DL59" i="8" s="1"/>
  <c r="DW77" i="1"/>
  <c r="DM59" i="8" s="1"/>
  <c r="DX77" i="1"/>
  <c r="DN59" i="8" s="1"/>
  <c r="DY77" i="1"/>
  <c r="DO59" i="8" s="1"/>
  <c r="DZ77" i="1"/>
  <c r="DP59" i="8" s="1"/>
  <c r="EA77" i="1"/>
  <c r="DQ59" i="8" s="1"/>
  <c r="EB77" i="1"/>
  <c r="DR59" i="8" s="1"/>
  <c r="EC77" i="1"/>
  <c r="DS59" i="8" s="1"/>
  <c r="ED77" i="1"/>
  <c r="DT59" i="8" s="1"/>
  <c r="EE77" i="1"/>
  <c r="DU59" i="8" s="1"/>
  <c r="EF77" i="1"/>
  <c r="DV59" i="8" s="1"/>
  <c r="DS79" i="1"/>
  <c r="DI14" i="8" s="1"/>
  <c r="DT79" i="1"/>
  <c r="DJ14" i="8" s="1"/>
  <c r="DU79" i="1"/>
  <c r="DK14" i="8" s="1"/>
  <c r="DV79" i="1"/>
  <c r="DL14" i="8" s="1"/>
  <c r="DW79" i="1"/>
  <c r="DM14" i="8" s="1"/>
  <c r="DX79" i="1"/>
  <c r="DN14" i="8" s="1"/>
  <c r="DY79" i="1"/>
  <c r="DO14" i="8" s="1"/>
  <c r="DZ79" i="1"/>
  <c r="DP14" i="8" s="1"/>
  <c r="EA79" i="1"/>
  <c r="DQ14" i="8" s="1"/>
  <c r="EB79" i="1"/>
  <c r="DR14" i="8" s="1"/>
  <c r="EC79" i="1"/>
  <c r="DS14" i="8" s="1"/>
  <c r="ED79" i="1"/>
  <c r="DT14" i="8" s="1"/>
  <c r="EE79" i="1"/>
  <c r="DU14" i="8" s="1"/>
  <c r="EF79" i="1"/>
  <c r="DV14" i="8" s="1"/>
  <c r="DS80" i="1"/>
  <c r="DI39" i="8" s="1"/>
  <c r="DT80" i="1"/>
  <c r="DJ39" i="8" s="1"/>
  <c r="DU80" i="1"/>
  <c r="DK39" i="8" s="1"/>
  <c r="DV80" i="1"/>
  <c r="DL39" i="8" s="1"/>
  <c r="DW80" i="1"/>
  <c r="DM39" i="8" s="1"/>
  <c r="DX80" i="1"/>
  <c r="DN39" i="8" s="1"/>
  <c r="DY80" i="1"/>
  <c r="DO39" i="8" s="1"/>
  <c r="DZ80" i="1"/>
  <c r="DP39" i="8" s="1"/>
  <c r="EA80" i="1"/>
  <c r="DQ39" i="8" s="1"/>
  <c r="EB80" i="1"/>
  <c r="DR39" i="8" s="1"/>
  <c r="EC80" i="1"/>
  <c r="DS39" i="8" s="1"/>
  <c r="ED80" i="1"/>
  <c r="DT39" i="8" s="1"/>
  <c r="EE80" i="1"/>
  <c r="DU39" i="8" s="1"/>
  <c r="EF80" i="1"/>
  <c r="DV39" i="8" s="1"/>
  <c r="DS81" i="1"/>
  <c r="DI64" i="8" s="1"/>
  <c r="DT81" i="1"/>
  <c r="DJ64" i="8" s="1"/>
  <c r="DU81" i="1"/>
  <c r="DK64" i="8" s="1"/>
  <c r="DV81" i="1"/>
  <c r="DL64" i="8" s="1"/>
  <c r="DW81" i="1"/>
  <c r="DM64" i="8" s="1"/>
  <c r="DX81" i="1"/>
  <c r="DN64" i="8" s="1"/>
  <c r="DY81" i="1"/>
  <c r="DO64" i="8" s="1"/>
  <c r="DZ81" i="1"/>
  <c r="DP64" i="8" s="1"/>
  <c r="EA81" i="1"/>
  <c r="DQ64" i="8" s="1"/>
  <c r="EB81" i="1"/>
  <c r="DR64" i="8" s="1"/>
  <c r="EC81" i="1"/>
  <c r="DS64" i="8" s="1"/>
  <c r="ED81" i="1"/>
  <c r="DT64" i="8" s="1"/>
  <c r="EE81" i="1"/>
  <c r="DU64" i="8" s="1"/>
  <c r="EF81" i="1"/>
  <c r="DV64" i="8" s="1"/>
  <c r="DR45" i="1"/>
  <c r="DR32" i="1"/>
  <c r="DR19" i="1"/>
  <c r="DQ45" i="4"/>
  <c r="DQ33" i="4"/>
  <c r="DQ20" i="4"/>
  <c r="DQ45" i="1"/>
  <c r="DQ32" i="1"/>
  <c r="DQ19" i="1"/>
  <c r="DP45" i="1"/>
  <c r="DP32" i="1"/>
  <c r="DP19" i="1"/>
  <c r="DP45" i="4"/>
  <c r="DO45" i="4"/>
  <c r="DP33" i="4"/>
  <c r="DO33" i="4"/>
  <c r="DP20" i="4"/>
  <c r="DO20" i="4"/>
  <c r="DQ46" i="2"/>
  <c r="DQ33" i="2"/>
  <c r="DQ20" i="2"/>
  <c r="DP46" i="2"/>
  <c r="DP33" i="2"/>
  <c r="DP20" i="2"/>
  <c r="DO46" i="2"/>
  <c r="DO33" i="2"/>
  <c r="DO20" i="2"/>
  <c r="DQ33" i="6"/>
  <c r="DP33" i="6"/>
  <c r="DO33" i="6"/>
  <c r="DQ20" i="6"/>
  <c r="DP20" i="6"/>
  <c r="DO20" i="6"/>
  <c r="DO32" i="1"/>
  <c r="DO45" i="1"/>
  <c r="DO19" i="1"/>
  <c r="DN45" i="4"/>
  <c r="DN33" i="4"/>
  <c r="DN20" i="4"/>
  <c r="DN46" i="2"/>
  <c r="DN33" i="2"/>
  <c r="DN20" i="2"/>
  <c r="DN33" i="6"/>
  <c r="DN20" i="6"/>
  <c r="DN45" i="1"/>
  <c r="DN32" i="1"/>
  <c r="DN19" i="1"/>
  <c r="DM45" i="4"/>
  <c r="DM33" i="4"/>
  <c r="DM20" i="4"/>
  <c r="DM46" i="2"/>
  <c r="DM33" i="2"/>
  <c r="DM20" i="2"/>
  <c r="DM33" i="6"/>
  <c r="DM20" i="6"/>
  <c r="DM45" i="1"/>
  <c r="DM32" i="1"/>
  <c r="DM19" i="1"/>
  <c r="DN75" i="1"/>
  <c r="DD9" i="8" s="1"/>
  <c r="DO75" i="1"/>
  <c r="DE9" i="8" s="1"/>
  <c r="DP75" i="1"/>
  <c r="DF9" i="8" s="1"/>
  <c r="DQ75" i="1"/>
  <c r="DG9" i="8" s="1"/>
  <c r="DR75" i="1"/>
  <c r="DH9" i="8" s="1"/>
  <c r="DN76" i="1"/>
  <c r="DD34" i="8" s="1"/>
  <c r="DO76" i="1"/>
  <c r="DE34" i="8" s="1"/>
  <c r="DP76" i="1"/>
  <c r="DF34" i="8" s="1"/>
  <c r="DQ76" i="1"/>
  <c r="DG34" i="8" s="1"/>
  <c r="DR76" i="1"/>
  <c r="DH34" i="8" s="1"/>
  <c r="DN77" i="1"/>
  <c r="DD59" i="8" s="1"/>
  <c r="DO77" i="1"/>
  <c r="DE59" i="8" s="1"/>
  <c r="DP77" i="1"/>
  <c r="DF59" i="8" s="1"/>
  <c r="DQ77" i="1"/>
  <c r="DG59" i="8" s="1"/>
  <c r="DR77" i="1"/>
  <c r="DH59" i="8" s="1"/>
  <c r="DN79" i="1"/>
  <c r="DD14" i="8" s="1"/>
  <c r="DO79" i="1"/>
  <c r="DE14" i="8" s="1"/>
  <c r="DP79" i="1"/>
  <c r="DF14" i="8" s="1"/>
  <c r="DQ79" i="1"/>
  <c r="DG14" i="8" s="1"/>
  <c r="DR79" i="1"/>
  <c r="DH14" i="8" s="1"/>
  <c r="DN80" i="1"/>
  <c r="DD39" i="8" s="1"/>
  <c r="DO80" i="1"/>
  <c r="DE39" i="8" s="1"/>
  <c r="DP80" i="1"/>
  <c r="DF39" i="8" s="1"/>
  <c r="DQ80" i="1"/>
  <c r="DG39" i="8" s="1"/>
  <c r="DR80" i="1"/>
  <c r="DH39" i="8" s="1"/>
  <c r="DN81" i="1"/>
  <c r="DD64" i="8" s="1"/>
  <c r="DO81" i="1"/>
  <c r="DE64" i="8" s="1"/>
  <c r="DP81" i="1"/>
  <c r="DF64" i="8" s="1"/>
  <c r="DQ81" i="1"/>
  <c r="DG64" i="8" s="1"/>
  <c r="DR81" i="1"/>
  <c r="DH64" i="8" s="1"/>
  <c r="DL74" i="4"/>
  <c r="DB12" i="8" s="1"/>
  <c r="DM74" i="4"/>
  <c r="DC12" i="8" s="1"/>
  <c r="DN74" i="4"/>
  <c r="DD12" i="8" s="1"/>
  <c r="DO74" i="4"/>
  <c r="DE12" i="8" s="1"/>
  <c r="DP74" i="4"/>
  <c r="DF12" i="8" s="1"/>
  <c r="DQ74" i="4"/>
  <c r="DG12" i="8" s="1"/>
  <c r="DR74" i="4"/>
  <c r="DH12" i="8" s="1"/>
  <c r="DL75" i="4"/>
  <c r="DB37" i="8" s="1"/>
  <c r="DM75" i="4"/>
  <c r="DC37" i="8" s="1"/>
  <c r="DN75" i="4"/>
  <c r="DD37" i="8" s="1"/>
  <c r="DO75" i="4"/>
  <c r="DE37" i="8" s="1"/>
  <c r="DP75" i="4"/>
  <c r="DF37" i="8" s="1"/>
  <c r="DQ75" i="4"/>
  <c r="DG37" i="8" s="1"/>
  <c r="DR75" i="4"/>
  <c r="DH37" i="8" s="1"/>
  <c r="DL76" i="4"/>
  <c r="DB62" i="8" s="1"/>
  <c r="DM76" i="4"/>
  <c r="DC62" i="8" s="1"/>
  <c r="DN76" i="4"/>
  <c r="DD62" i="8" s="1"/>
  <c r="DO76" i="4"/>
  <c r="DE62" i="8" s="1"/>
  <c r="DP76" i="4"/>
  <c r="DF62" i="8" s="1"/>
  <c r="DQ76" i="4"/>
  <c r="DG62" i="8" s="1"/>
  <c r="DR76" i="4"/>
  <c r="DH62" i="8" s="1"/>
  <c r="DL78" i="4"/>
  <c r="DB17" i="8" s="1"/>
  <c r="DM78" i="4"/>
  <c r="DC17" i="8" s="1"/>
  <c r="DN78" i="4"/>
  <c r="DD17" i="8" s="1"/>
  <c r="DO78" i="4"/>
  <c r="DE17" i="8" s="1"/>
  <c r="DP78" i="4"/>
  <c r="DF17" i="8" s="1"/>
  <c r="DQ78" i="4"/>
  <c r="DG17" i="8" s="1"/>
  <c r="DR78" i="4"/>
  <c r="DH17" i="8" s="1"/>
  <c r="DL79" i="4"/>
  <c r="DB42" i="8" s="1"/>
  <c r="DM79" i="4"/>
  <c r="DC42" i="8" s="1"/>
  <c r="DN79" i="4"/>
  <c r="DD42" i="8" s="1"/>
  <c r="DO79" i="4"/>
  <c r="DE42" i="8" s="1"/>
  <c r="DP79" i="4"/>
  <c r="DF42" i="8" s="1"/>
  <c r="DQ79" i="4"/>
  <c r="DG42" i="8" s="1"/>
  <c r="DR79" i="4"/>
  <c r="DH42" i="8" s="1"/>
  <c r="DL80" i="4"/>
  <c r="DB67" i="8" s="1"/>
  <c r="DM80" i="4"/>
  <c r="DC67" i="8" s="1"/>
  <c r="DN80" i="4"/>
  <c r="DD67" i="8" s="1"/>
  <c r="DO80" i="4"/>
  <c r="DE67" i="8" s="1"/>
  <c r="DP80" i="4"/>
  <c r="DF67" i="8" s="1"/>
  <c r="DQ80" i="4"/>
  <c r="DG67" i="8" s="1"/>
  <c r="DR80" i="4"/>
  <c r="DH67" i="8" s="1"/>
  <c r="DL45" i="4"/>
  <c r="DL33" i="4"/>
  <c r="DL20" i="4"/>
  <c r="DI34" i="8"/>
  <c r="DI36" i="8"/>
  <c r="DL88" i="2"/>
  <c r="DB10" i="8" s="1"/>
  <c r="DM88" i="2"/>
  <c r="DC10" i="8" s="1"/>
  <c r="DN88" i="2"/>
  <c r="DD10" i="8" s="1"/>
  <c r="DO88" i="2"/>
  <c r="DE10" i="8" s="1"/>
  <c r="DP88" i="2"/>
  <c r="DF10" i="8" s="1"/>
  <c r="DQ88" i="2"/>
  <c r="DG10" i="8" s="1"/>
  <c r="DR88" i="2"/>
  <c r="DH10" i="8" s="1"/>
  <c r="DS88" i="2"/>
  <c r="DI10" i="8" s="1"/>
  <c r="DL89" i="2"/>
  <c r="DB35" i="8" s="1"/>
  <c r="DM89" i="2"/>
  <c r="DC35" i="8" s="1"/>
  <c r="DN89" i="2"/>
  <c r="DD35" i="8" s="1"/>
  <c r="DO89" i="2"/>
  <c r="DE35" i="8" s="1"/>
  <c r="DP89" i="2"/>
  <c r="DF35" i="8" s="1"/>
  <c r="DQ89" i="2"/>
  <c r="DG35" i="8" s="1"/>
  <c r="DR89" i="2"/>
  <c r="DH35" i="8" s="1"/>
  <c r="DS89" i="2"/>
  <c r="DI35" i="8" s="1"/>
  <c r="DL90" i="2"/>
  <c r="DB60" i="8" s="1"/>
  <c r="DM90" i="2"/>
  <c r="DC60" i="8" s="1"/>
  <c r="DN90" i="2"/>
  <c r="DD60" i="8" s="1"/>
  <c r="DO90" i="2"/>
  <c r="DE60" i="8" s="1"/>
  <c r="DP90" i="2"/>
  <c r="DF60" i="8" s="1"/>
  <c r="DQ90" i="2"/>
  <c r="DG60" i="8" s="1"/>
  <c r="DR90" i="2"/>
  <c r="DH60" i="8" s="1"/>
  <c r="DS90" i="2"/>
  <c r="DI60" i="8" s="1"/>
  <c r="DL92" i="2"/>
  <c r="DB15" i="8" s="1"/>
  <c r="DM92" i="2"/>
  <c r="DC15" i="8" s="1"/>
  <c r="DN92" i="2"/>
  <c r="DD15" i="8" s="1"/>
  <c r="DO92" i="2"/>
  <c r="DE15" i="8" s="1"/>
  <c r="DP92" i="2"/>
  <c r="DF15" i="8" s="1"/>
  <c r="DQ92" i="2"/>
  <c r="DG15" i="8" s="1"/>
  <c r="DR92" i="2"/>
  <c r="DH15" i="8" s="1"/>
  <c r="DS92" i="2"/>
  <c r="DI15" i="8" s="1"/>
  <c r="DL93" i="2"/>
  <c r="DB40" i="8" s="1"/>
  <c r="DM93" i="2"/>
  <c r="DC40" i="8" s="1"/>
  <c r="DN93" i="2"/>
  <c r="DD40" i="8" s="1"/>
  <c r="DO93" i="2"/>
  <c r="DE40" i="8" s="1"/>
  <c r="DP93" i="2"/>
  <c r="DF40" i="8" s="1"/>
  <c r="DQ93" i="2"/>
  <c r="DG40" i="8" s="1"/>
  <c r="DR93" i="2"/>
  <c r="DH40" i="8" s="1"/>
  <c r="DS93" i="2"/>
  <c r="DI40" i="8" s="1"/>
  <c r="DL94" i="2"/>
  <c r="DB65" i="8" s="1"/>
  <c r="DM94" i="2"/>
  <c r="DC65" i="8" s="1"/>
  <c r="DN94" i="2"/>
  <c r="DD65" i="8" s="1"/>
  <c r="DO94" i="2"/>
  <c r="DE65" i="8" s="1"/>
  <c r="DP94" i="2"/>
  <c r="DF65" i="8" s="1"/>
  <c r="DQ94" i="2"/>
  <c r="DG65" i="8" s="1"/>
  <c r="DR94" i="2"/>
  <c r="DH65" i="8" s="1"/>
  <c r="DS94" i="2"/>
  <c r="DI65" i="8" s="1"/>
  <c r="DL96" i="2"/>
  <c r="DB20" i="8" s="1"/>
  <c r="DM96" i="2"/>
  <c r="DC20" i="8" s="1"/>
  <c r="DN96" i="2"/>
  <c r="DD20" i="8" s="1"/>
  <c r="DO96" i="2"/>
  <c r="DE20" i="8" s="1"/>
  <c r="DP96" i="2"/>
  <c r="DF20" i="8" s="1"/>
  <c r="DQ96" i="2"/>
  <c r="DG20" i="8" s="1"/>
  <c r="DR96" i="2"/>
  <c r="DH20" i="8" s="1"/>
  <c r="DS96" i="2"/>
  <c r="DI20" i="8" s="1"/>
  <c r="DL97" i="2"/>
  <c r="DB45" i="8" s="1"/>
  <c r="DM97" i="2"/>
  <c r="DC45" i="8" s="1"/>
  <c r="DN97" i="2"/>
  <c r="DD45" i="8" s="1"/>
  <c r="DO97" i="2"/>
  <c r="DE45" i="8" s="1"/>
  <c r="DP97" i="2"/>
  <c r="DF45" i="8" s="1"/>
  <c r="DQ97" i="2"/>
  <c r="DG45" i="8" s="1"/>
  <c r="DR97" i="2"/>
  <c r="DH45" i="8" s="1"/>
  <c r="DS97" i="2"/>
  <c r="DI45" i="8" s="1"/>
  <c r="DL98" i="2"/>
  <c r="DB70" i="8" s="1"/>
  <c r="DM98" i="2"/>
  <c r="DC70" i="8" s="1"/>
  <c r="DN98" i="2"/>
  <c r="DD70" i="8" s="1"/>
  <c r="DO98" i="2"/>
  <c r="DE70" i="8" s="1"/>
  <c r="DP98" i="2"/>
  <c r="DF70" i="8" s="1"/>
  <c r="DQ98" i="2"/>
  <c r="DG70" i="8" s="1"/>
  <c r="DR98" i="2"/>
  <c r="DH70" i="8" s="1"/>
  <c r="DS98" i="2"/>
  <c r="DI70" i="8" s="1"/>
  <c r="DL46" i="2"/>
  <c r="DL33" i="2"/>
  <c r="DL20" i="2"/>
  <c r="DL33" i="6"/>
  <c r="DL20" i="6"/>
  <c r="DL45" i="1"/>
  <c r="DL32" i="1"/>
  <c r="DL19" i="1"/>
  <c r="DK45" i="4"/>
  <c r="DK33" i="4"/>
  <c r="DK20" i="4"/>
  <c r="DJ33" i="4"/>
  <c r="DK46" i="2"/>
  <c r="DK33" i="2"/>
  <c r="DK20" i="2"/>
  <c r="DL38" i="6"/>
  <c r="DB11" i="8" s="1"/>
  <c r="DM38" i="6"/>
  <c r="DC11" i="8" s="1"/>
  <c r="DN38" i="6"/>
  <c r="DD11" i="8" s="1"/>
  <c r="DO38" i="6"/>
  <c r="DE11" i="8" s="1"/>
  <c r="DP38" i="6"/>
  <c r="DF11" i="8" s="1"/>
  <c r="DQ38" i="6"/>
  <c r="DG11" i="8" s="1"/>
  <c r="DR38" i="6"/>
  <c r="DH11" i="8" s="1"/>
  <c r="DL39" i="6"/>
  <c r="DB36" i="8" s="1"/>
  <c r="DM39" i="6"/>
  <c r="DC36" i="8" s="1"/>
  <c r="DN39" i="6"/>
  <c r="DD36" i="8" s="1"/>
  <c r="DO39" i="6"/>
  <c r="DE36" i="8" s="1"/>
  <c r="DP39" i="6"/>
  <c r="DF36" i="8" s="1"/>
  <c r="DQ39" i="6"/>
  <c r="DG36" i="8" s="1"/>
  <c r="DR39" i="6"/>
  <c r="DH36" i="8" s="1"/>
  <c r="DL40" i="6"/>
  <c r="DB61" i="8" s="1"/>
  <c r="DM40" i="6"/>
  <c r="DC61" i="8" s="1"/>
  <c r="DN40" i="6"/>
  <c r="DD61" i="8" s="1"/>
  <c r="DO40" i="6"/>
  <c r="DE61" i="8" s="1"/>
  <c r="DP40" i="6"/>
  <c r="DF61" i="8" s="1"/>
  <c r="DQ40" i="6"/>
  <c r="DG61" i="8" s="1"/>
  <c r="DR40" i="6"/>
  <c r="DH61" i="8" s="1"/>
  <c r="DL42" i="6"/>
  <c r="DB16" i="8" s="1"/>
  <c r="DM42" i="6"/>
  <c r="DC16" i="8" s="1"/>
  <c r="DN42" i="6"/>
  <c r="DD16" i="8" s="1"/>
  <c r="DO42" i="6"/>
  <c r="DE16" i="8" s="1"/>
  <c r="DP42" i="6"/>
  <c r="DF16" i="8" s="1"/>
  <c r="DQ42" i="6"/>
  <c r="DG16" i="8" s="1"/>
  <c r="DR42" i="6"/>
  <c r="DH16" i="8" s="1"/>
  <c r="DL43" i="6"/>
  <c r="DB41" i="8" s="1"/>
  <c r="DM43" i="6"/>
  <c r="DC41" i="8" s="1"/>
  <c r="DN43" i="6"/>
  <c r="DD41" i="8" s="1"/>
  <c r="DO43" i="6"/>
  <c r="DE41" i="8" s="1"/>
  <c r="DP43" i="6"/>
  <c r="DF41" i="8" s="1"/>
  <c r="DQ43" i="6"/>
  <c r="DG41" i="8" s="1"/>
  <c r="DR43" i="6"/>
  <c r="DH41" i="8" s="1"/>
  <c r="DL44" i="6"/>
  <c r="DB66" i="8" s="1"/>
  <c r="DM44" i="6"/>
  <c r="DC66" i="8" s="1"/>
  <c r="DN44" i="6"/>
  <c r="DD66" i="8" s="1"/>
  <c r="DO44" i="6"/>
  <c r="DE66" i="8" s="1"/>
  <c r="DP44" i="6"/>
  <c r="DF66" i="8" s="1"/>
  <c r="DQ44" i="6"/>
  <c r="DG66" i="8" s="1"/>
  <c r="DR44" i="6"/>
  <c r="DH66" i="8" s="1"/>
  <c r="DK33" i="6"/>
  <c r="DK20" i="6"/>
  <c r="DK45" i="1"/>
  <c r="DK32" i="1"/>
  <c r="DK19" i="1"/>
  <c r="DJ20" i="2"/>
  <c r="DJ33" i="2"/>
  <c r="DJ46" i="2"/>
  <c r="DJ80" i="4"/>
  <c r="CZ67" i="8" s="1"/>
  <c r="DD80" i="4"/>
  <c r="CT67" i="8" s="1"/>
  <c r="DJ45" i="4"/>
  <c r="DJ20" i="4"/>
  <c r="DI45" i="4"/>
  <c r="DI33" i="4"/>
  <c r="DI20" i="4"/>
  <c r="DJ45" i="1"/>
  <c r="DJ32" i="1"/>
  <c r="DJ19" i="1"/>
  <c r="DJ33" i="6"/>
  <c r="DJ20" i="6"/>
  <c r="DI46" i="2"/>
  <c r="DI33" i="2"/>
  <c r="DI20" i="2"/>
  <c r="DI33" i="6"/>
  <c r="DI20" i="6"/>
  <c r="DI45" i="1"/>
  <c r="DI32" i="1"/>
  <c r="DI19" i="1"/>
  <c r="DH80" i="1"/>
  <c r="CX39" i="8" s="1"/>
  <c r="DH81" i="1"/>
  <c r="CX64" i="8" s="1"/>
  <c r="DH33" i="6"/>
  <c r="DH20" i="6"/>
  <c r="DH32" i="1"/>
  <c r="DH46" i="2"/>
  <c r="DH33" i="2"/>
  <c r="DH20" i="2"/>
  <c r="DH45" i="4"/>
  <c r="DH33" i="4"/>
  <c r="DH20" i="4"/>
  <c r="DH45" i="1"/>
  <c r="DH19" i="1"/>
  <c r="DG45" i="4"/>
  <c r="DG33" i="4"/>
  <c r="DG20" i="4"/>
  <c r="DG33" i="6"/>
  <c r="DG20" i="6"/>
  <c r="DG45" i="1"/>
  <c r="DG32" i="1"/>
  <c r="DG19" i="1"/>
  <c r="DG46" i="2"/>
  <c r="DG33" i="2"/>
  <c r="DG20" i="2"/>
  <c r="DF74" i="4"/>
  <c r="CV12" i="8" s="1"/>
  <c r="DG74" i="4"/>
  <c r="CW12" i="8" s="1"/>
  <c r="DH74" i="4"/>
  <c r="CX12" i="8" s="1"/>
  <c r="DI74" i="4"/>
  <c r="CY12" i="8" s="1"/>
  <c r="DJ74" i="4"/>
  <c r="CZ12" i="8" s="1"/>
  <c r="DK74" i="4"/>
  <c r="DA12" i="8" s="1"/>
  <c r="DF75" i="4"/>
  <c r="CV37" i="8" s="1"/>
  <c r="DG75" i="4"/>
  <c r="CW37" i="8" s="1"/>
  <c r="DH75" i="4"/>
  <c r="CX37" i="8" s="1"/>
  <c r="DI75" i="4"/>
  <c r="CY37" i="8" s="1"/>
  <c r="DJ75" i="4"/>
  <c r="CZ37" i="8" s="1"/>
  <c r="DK75" i="4"/>
  <c r="DA37" i="8" s="1"/>
  <c r="DF76" i="4"/>
  <c r="CV62" i="8" s="1"/>
  <c r="DG76" i="4"/>
  <c r="CW62" i="8" s="1"/>
  <c r="DH76" i="4"/>
  <c r="CX62" i="8" s="1"/>
  <c r="DI76" i="4"/>
  <c r="CY62" i="8" s="1"/>
  <c r="DJ76" i="4"/>
  <c r="CZ62" i="8" s="1"/>
  <c r="DK76" i="4"/>
  <c r="DA62" i="8" s="1"/>
  <c r="DF78" i="4"/>
  <c r="CV17" i="8" s="1"/>
  <c r="DG78" i="4"/>
  <c r="CW17" i="8" s="1"/>
  <c r="DH78" i="4"/>
  <c r="CX17" i="8" s="1"/>
  <c r="DI78" i="4"/>
  <c r="CY17" i="8" s="1"/>
  <c r="DJ78" i="4"/>
  <c r="CZ17" i="8" s="1"/>
  <c r="DK78" i="4"/>
  <c r="DA17" i="8" s="1"/>
  <c r="DF79" i="4"/>
  <c r="CV42" i="8" s="1"/>
  <c r="DG79" i="4"/>
  <c r="CW42" i="8" s="1"/>
  <c r="DH79" i="4"/>
  <c r="CX42" i="8" s="1"/>
  <c r="DI79" i="4"/>
  <c r="CY42" i="8" s="1"/>
  <c r="DJ79" i="4"/>
  <c r="CZ42" i="8" s="1"/>
  <c r="DK79" i="4"/>
  <c r="DA42" i="8" s="1"/>
  <c r="DF80" i="4"/>
  <c r="CV67" i="8" s="1"/>
  <c r="DG80" i="4"/>
  <c r="CW67" i="8" s="1"/>
  <c r="DH80" i="4"/>
  <c r="CX67" i="8" s="1"/>
  <c r="DI80" i="4"/>
  <c r="CY67" i="8" s="1"/>
  <c r="DK80" i="4"/>
  <c r="DA67" i="8" s="1"/>
  <c r="DF45" i="4"/>
  <c r="DF33" i="4"/>
  <c r="DF20" i="4"/>
  <c r="DF33" i="6"/>
  <c r="DF20" i="6"/>
  <c r="DF45" i="1"/>
  <c r="DF32" i="1"/>
  <c r="DF19" i="1"/>
  <c r="DF46" i="2"/>
  <c r="DF33" i="2"/>
  <c r="DF20" i="2"/>
  <c r="O78" i="4"/>
  <c r="N84" i="4"/>
  <c r="N83" i="4"/>
  <c r="L83" i="4"/>
  <c r="K83" i="4"/>
  <c r="J83" i="4"/>
  <c r="I83" i="4"/>
  <c r="H83" i="4"/>
  <c r="G83" i="4"/>
  <c r="F83" i="4"/>
  <c r="E83" i="4"/>
  <c r="N82" i="4"/>
  <c r="L82" i="4"/>
  <c r="K82" i="4"/>
  <c r="J82" i="4"/>
  <c r="I82" i="4"/>
  <c r="H82" i="4"/>
  <c r="G82" i="4"/>
  <c r="F82" i="4"/>
  <c r="E82" i="4"/>
  <c r="BM70" i="8"/>
  <c r="AG70" i="8"/>
  <c r="BM45" i="8"/>
  <c r="BM20" i="8"/>
  <c r="DH88" i="2"/>
  <c r="CX10" i="8" s="1"/>
  <c r="DI88" i="2"/>
  <c r="CY10" i="8" s="1"/>
  <c r="DJ88" i="2"/>
  <c r="CZ10" i="8" s="1"/>
  <c r="DK88" i="2"/>
  <c r="DA10" i="8" s="1"/>
  <c r="DH89" i="2"/>
  <c r="CX35" i="8" s="1"/>
  <c r="DI89" i="2"/>
  <c r="CY35" i="8" s="1"/>
  <c r="DJ89" i="2"/>
  <c r="CZ35" i="8" s="1"/>
  <c r="DK89" i="2"/>
  <c r="DA35" i="8" s="1"/>
  <c r="DH90" i="2"/>
  <c r="CX60" i="8" s="1"/>
  <c r="DI90" i="2"/>
  <c r="CY60" i="8" s="1"/>
  <c r="DJ90" i="2"/>
  <c r="CZ60" i="8" s="1"/>
  <c r="DK90" i="2"/>
  <c r="DA60" i="8" s="1"/>
  <c r="DH92" i="2"/>
  <c r="CX15" i="8" s="1"/>
  <c r="DI92" i="2"/>
  <c r="CY15" i="8" s="1"/>
  <c r="DJ92" i="2"/>
  <c r="CZ15" i="8" s="1"/>
  <c r="DK92" i="2"/>
  <c r="DA15" i="8" s="1"/>
  <c r="DH93" i="2"/>
  <c r="CX40" i="8" s="1"/>
  <c r="DI93" i="2"/>
  <c r="CY40" i="8" s="1"/>
  <c r="DJ93" i="2"/>
  <c r="CZ40" i="8" s="1"/>
  <c r="DK93" i="2"/>
  <c r="DA40" i="8" s="1"/>
  <c r="DH94" i="2"/>
  <c r="CX65" i="8" s="1"/>
  <c r="DI94" i="2"/>
  <c r="CY65" i="8" s="1"/>
  <c r="DJ94" i="2"/>
  <c r="CZ65" i="8" s="1"/>
  <c r="DK94" i="2"/>
  <c r="DA65" i="8" s="1"/>
  <c r="DH96" i="2"/>
  <c r="CX20" i="8" s="1"/>
  <c r="DI96" i="2"/>
  <c r="CY20" i="8" s="1"/>
  <c r="DJ96" i="2"/>
  <c r="CZ20" i="8" s="1"/>
  <c r="DK96" i="2"/>
  <c r="DA20" i="8" s="1"/>
  <c r="DH97" i="2"/>
  <c r="CX45" i="8" s="1"/>
  <c r="DI97" i="2"/>
  <c r="CY45" i="8" s="1"/>
  <c r="DJ97" i="2"/>
  <c r="CZ45" i="8" s="1"/>
  <c r="DK97" i="2"/>
  <c r="DA45" i="8" s="1"/>
  <c r="DH98" i="2"/>
  <c r="CX70" i="8" s="1"/>
  <c r="DI98" i="2"/>
  <c r="CY70" i="8" s="1"/>
  <c r="DJ98" i="2"/>
  <c r="CZ70" i="8" s="1"/>
  <c r="DK98" i="2"/>
  <c r="DA70" i="8" s="1"/>
  <c r="DF38" i="6"/>
  <c r="CV11" i="8" s="1"/>
  <c r="DG38" i="6"/>
  <c r="CW11" i="8" s="1"/>
  <c r="DH38" i="6"/>
  <c r="CX11" i="8" s="1"/>
  <c r="DI38" i="6"/>
  <c r="CY11" i="8" s="1"/>
  <c r="DJ38" i="6"/>
  <c r="CZ11" i="8" s="1"/>
  <c r="DK38" i="6"/>
  <c r="DA11" i="8" s="1"/>
  <c r="DF39" i="6"/>
  <c r="CV36" i="8" s="1"/>
  <c r="DG39" i="6"/>
  <c r="CW36" i="8" s="1"/>
  <c r="DH39" i="6"/>
  <c r="CX36" i="8" s="1"/>
  <c r="DI39" i="6"/>
  <c r="CY36" i="8" s="1"/>
  <c r="DJ39" i="6"/>
  <c r="CZ36" i="8" s="1"/>
  <c r="DK39" i="6"/>
  <c r="DA36" i="8" s="1"/>
  <c r="DF40" i="6"/>
  <c r="CV61" i="8" s="1"/>
  <c r="DG40" i="6"/>
  <c r="CW61" i="8" s="1"/>
  <c r="DH40" i="6"/>
  <c r="CX61" i="8" s="1"/>
  <c r="DI40" i="6"/>
  <c r="CY61" i="8" s="1"/>
  <c r="DJ40" i="6"/>
  <c r="CZ61" i="8" s="1"/>
  <c r="DK40" i="6"/>
  <c r="DA61" i="8" s="1"/>
  <c r="DF42" i="6"/>
  <c r="CV16" i="8" s="1"/>
  <c r="DG42" i="6"/>
  <c r="CW16" i="8" s="1"/>
  <c r="DH42" i="6"/>
  <c r="CX16" i="8" s="1"/>
  <c r="DI42" i="6"/>
  <c r="CY16" i="8" s="1"/>
  <c r="DJ42" i="6"/>
  <c r="CZ16" i="8" s="1"/>
  <c r="DK42" i="6"/>
  <c r="DA16" i="8" s="1"/>
  <c r="DF43" i="6"/>
  <c r="CV41" i="8" s="1"/>
  <c r="DG43" i="6"/>
  <c r="CW41" i="8" s="1"/>
  <c r="DH43" i="6"/>
  <c r="CX41" i="8" s="1"/>
  <c r="DI43" i="6"/>
  <c r="CY41" i="8" s="1"/>
  <c r="DJ43" i="6"/>
  <c r="CZ41" i="8" s="1"/>
  <c r="DK43" i="6"/>
  <c r="DA41" i="8" s="1"/>
  <c r="DF44" i="6"/>
  <c r="CV66" i="8" s="1"/>
  <c r="DG44" i="6"/>
  <c r="CW66" i="8" s="1"/>
  <c r="DH44" i="6"/>
  <c r="CX66" i="8" s="1"/>
  <c r="DI44" i="6"/>
  <c r="CY66" i="8" s="1"/>
  <c r="DJ44" i="6"/>
  <c r="CZ66" i="8" s="1"/>
  <c r="DK44" i="6"/>
  <c r="DA66" i="8" s="1"/>
  <c r="DF75" i="1"/>
  <c r="CV9" i="8" s="1"/>
  <c r="DG75" i="1"/>
  <c r="CW9" i="8" s="1"/>
  <c r="DH75" i="1"/>
  <c r="CX9" i="8" s="1"/>
  <c r="DI75" i="1"/>
  <c r="CY9" i="8" s="1"/>
  <c r="DJ75" i="1"/>
  <c r="CZ9" i="8" s="1"/>
  <c r="DK75" i="1"/>
  <c r="DA9" i="8" s="1"/>
  <c r="DL75" i="1"/>
  <c r="DB9" i="8" s="1"/>
  <c r="DM75" i="1"/>
  <c r="DC9" i="8" s="1"/>
  <c r="DF76" i="1"/>
  <c r="CV34" i="8" s="1"/>
  <c r="DG76" i="1"/>
  <c r="CW34" i="8" s="1"/>
  <c r="DH76" i="1"/>
  <c r="CX34" i="8" s="1"/>
  <c r="DI76" i="1"/>
  <c r="CY34" i="8" s="1"/>
  <c r="DJ76" i="1"/>
  <c r="CZ34" i="8" s="1"/>
  <c r="DK76" i="1"/>
  <c r="DA34" i="8" s="1"/>
  <c r="DL76" i="1"/>
  <c r="DB34" i="8" s="1"/>
  <c r="DM76" i="1"/>
  <c r="DC34" i="8" s="1"/>
  <c r="DF77" i="1"/>
  <c r="CV59" i="8" s="1"/>
  <c r="DG77" i="1"/>
  <c r="CW59" i="8" s="1"/>
  <c r="DH77" i="1"/>
  <c r="CX59" i="8" s="1"/>
  <c r="DI77" i="1"/>
  <c r="CY59" i="8" s="1"/>
  <c r="DJ77" i="1"/>
  <c r="CZ59" i="8" s="1"/>
  <c r="DK77" i="1"/>
  <c r="DA59" i="8" s="1"/>
  <c r="DL77" i="1"/>
  <c r="DB59" i="8" s="1"/>
  <c r="DM77" i="1"/>
  <c r="DC59" i="8" s="1"/>
  <c r="DF79" i="1"/>
  <c r="CV14" i="8" s="1"/>
  <c r="DG79" i="1"/>
  <c r="CW14" i="8" s="1"/>
  <c r="DH79" i="1"/>
  <c r="CX14" i="8" s="1"/>
  <c r="DI79" i="1"/>
  <c r="CY14" i="8" s="1"/>
  <c r="DJ79" i="1"/>
  <c r="CZ14" i="8" s="1"/>
  <c r="DK79" i="1"/>
  <c r="DA14" i="8" s="1"/>
  <c r="DL79" i="1"/>
  <c r="DB14" i="8" s="1"/>
  <c r="DM79" i="1"/>
  <c r="DC14" i="8" s="1"/>
  <c r="DF80" i="1"/>
  <c r="CV39" i="8" s="1"/>
  <c r="DG80" i="1"/>
  <c r="CW39" i="8" s="1"/>
  <c r="DI80" i="1"/>
  <c r="CY39" i="8" s="1"/>
  <c r="DJ80" i="1"/>
  <c r="CZ39" i="8" s="1"/>
  <c r="DK80" i="1"/>
  <c r="DA39" i="8" s="1"/>
  <c r="DL80" i="1"/>
  <c r="DB39" i="8" s="1"/>
  <c r="DM80" i="1"/>
  <c r="DC39" i="8" s="1"/>
  <c r="DF81" i="1"/>
  <c r="CV64" i="8" s="1"/>
  <c r="DG81" i="1"/>
  <c r="CW64" i="8" s="1"/>
  <c r="DI81" i="1"/>
  <c r="CY64" i="8" s="1"/>
  <c r="DJ81" i="1"/>
  <c r="CZ64" i="8" s="1"/>
  <c r="DK81" i="1"/>
  <c r="DA64" i="8" s="1"/>
  <c r="DL81" i="1"/>
  <c r="DB64" i="8" s="1"/>
  <c r="DM81" i="1"/>
  <c r="DC64" i="8" s="1"/>
  <c r="BM15" i="8"/>
  <c r="DD80" i="1"/>
  <c r="CT39" i="8" s="1"/>
  <c r="GU60" i="5" l="1"/>
  <c r="EM81" i="8"/>
  <c r="EI56" i="8"/>
  <c r="EE31" i="8"/>
  <c r="EA29" i="8"/>
  <c r="ED81" i="8"/>
  <c r="EH56" i="8"/>
  <c r="ED31" i="8"/>
  <c r="EK81" i="8"/>
  <c r="EG56" i="8"/>
  <c r="EC31" i="8"/>
  <c r="ED56" i="8"/>
  <c r="EG81" i="8"/>
  <c r="EC56" i="8"/>
  <c r="EJ81" i="8"/>
  <c r="EF56" i="8"/>
  <c r="EB31" i="8"/>
  <c r="EH81" i="8"/>
  <c r="EF81" i="8"/>
  <c r="EB56" i="8"/>
  <c r="EK56" i="8"/>
  <c r="EG31" i="8"/>
  <c r="EN81" i="8"/>
  <c r="EJ56" i="8"/>
  <c r="EF31" i="8"/>
  <c r="EI81" i="8"/>
  <c r="EE56" i="8"/>
  <c r="EA31" i="8"/>
  <c r="EE81" i="8"/>
  <c r="EA56" i="8"/>
  <c r="EO81" i="8"/>
  <c r="EL81" i="8"/>
  <c r="EC81" i="8"/>
  <c r="EB81" i="8"/>
  <c r="EA81" i="8"/>
  <c r="EP31" i="8"/>
  <c r="EO31" i="8"/>
  <c r="EN31" i="8"/>
  <c r="EM31" i="8"/>
  <c r="EP56" i="8"/>
  <c r="EL31" i="8"/>
  <c r="EO56" i="8"/>
  <c r="EK31" i="8"/>
  <c r="EN56" i="8"/>
  <c r="EJ31" i="8"/>
  <c r="EM56" i="8"/>
  <c r="EI31" i="8"/>
  <c r="EP81" i="8"/>
  <c r="EL56" i="8"/>
  <c r="EH31" i="8"/>
  <c r="EB29" i="8"/>
  <c r="EC79" i="8"/>
  <c r="EK79" i="8"/>
  <c r="EM79" i="8"/>
  <c r="EL79" i="8"/>
  <c r="EJ79" i="8"/>
  <c r="EI79" i="8"/>
  <c r="EH79" i="8"/>
  <c r="EG79" i="8"/>
  <c r="EF79" i="8"/>
  <c r="EE79" i="8"/>
  <c r="ED79" i="8"/>
  <c r="EB79" i="8"/>
  <c r="EA79" i="8"/>
  <c r="EJ29" i="8"/>
  <c r="EI29" i="8"/>
  <c r="EH29" i="8"/>
  <c r="EN29" i="8"/>
  <c r="EG29" i="8"/>
  <c r="EK29" i="8"/>
  <c r="EF29" i="8"/>
  <c r="EO29" i="8"/>
  <c r="EM29" i="8"/>
  <c r="EL29" i="8"/>
  <c r="EP79" i="8"/>
  <c r="EE29" i="8"/>
  <c r="EP29" i="8"/>
  <c r="EO79" i="8"/>
  <c r="ED29" i="8"/>
  <c r="EN79" i="8"/>
  <c r="EC29" i="8"/>
  <c r="EN80" i="8"/>
  <c r="EJ55" i="8"/>
  <c r="EF30" i="8"/>
  <c r="EM80" i="8"/>
  <c r="EI55" i="8"/>
  <c r="EE30" i="8"/>
  <c r="EL80" i="8"/>
  <c r="EH55" i="8"/>
  <c r="ED30" i="8"/>
  <c r="EK80" i="8"/>
  <c r="EG55" i="8"/>
  <c r="EC30" i="8"/>
  <c r="EJ80" i="8"/>
  <c r="EF55" i="8"/>
  <c r="EB30" i="8"/>
  <c r="EI80" i="8"/>
  <c r="EE55" i="8"/>
  <c r="EA30" i="8"/>
  <c r="EH80" i="8"/>
  <c r="ED55" i="8"/>
  <c r="EG80" i="8"/>
  <c r="EC55" i="8"/>
  <c r="EF80" i="8"/>
  <c r="EB55" i="8"/>
  <c r="EE80" i="8"/>
  <c r="EA55" i="8"/>
  <c r="ED80" i="8"/>
  <c r="EC80" i="8"/>
  <c r="EB80" i="8"/>
  <c r="EA80" i="8"/>
  <c r="EP30" i="8"/>
  <c r="EO30" i="8"/>
  <c r="EN30" i="8"/>
  <c r="EM30" i="8"/>
  <c r="EP55" i="8"/>
  <c r="EL30" i="8"/>
  <c r="EO55" i="8"/>
  <c r="EK30" i="8"/>
  <c r="EN55" i="8"/>
  <c r="EJ30" i="8"/>
  <c r="EM55" i="8"/>
  <c r="EI30" i="8"/>
  <c r="EP80" i="8"/>
  <c r="EL55" i="8"/>
  <c r="EH30" i="8"/>
  <c r="EO80" i="8"/>
  <c r="EK55" i="8"/>
  <c r="EG30" i="8"/>
  <c r="HU57" i="4"/>
  <c r="M58" i="1"/>
  <c r="DL31" i="8"/>
  <c r="DJ54" i="8"/>
  <c r="DK54" i="8"/>
  <c r="DU81" i="8"/>
  <c r="DV56" i="8"/>
  <c r="DK81" i="8"/>
  <c r="DO31" i="8"/>
  <c r="DN31" i="8"/>
  <c r="DQ56" i="8"/>
  <c r="DV79" i="8"/>
  <c r="DU56" i="8"/>
  <c r="DV54" i="8"/>
  <c r="DU54" i="8"/>
  <c r="DO56" i="8"/>
  <c r="DL81" i="8"/>
  <c r="DL56" i="8"/>
  <c r="DV81" i="8"/>
  <c r="DM31" i="8"/>
  <c r="DN56" i="8"/>
  <c r="DL54" i="8"/>
  <c r="DK79" i="8"/>
  <c r="DP56" i="8"/>
  <c r="DZ54" i="8"/>
  <c r="DP80" i="8"/>
  <c r="DS31" i="8"/>
  <c r="DK31" i="8"/>
  <c r="DP54" i="8"/>
  <c r="DJ31" i="8"/>
  <c r="DT56" i="8"/>
  <c r="DT79" i="8"/>
  <c r="DS56" i="8"/>
  <c r="DR79" i="8"/>
  <c r="DR54" i="8"/>
  <c r="DQ54" i="8"/>
  <c r="DQ80" i="8"/>
  <c r="DK56" i="8"/>
  <c r="DQ30" i="8"/>
  <c r="DO80" i="8"/>
  <c r="DN80" i="8"/>
  <c r="DS79" i="8"/>
  <c r="DK30" i="8"/>
  <c r="DU79" i="8"/>
  <c r="DM29" i="8"/>
  <c r="DU55" i="8"/>
  <c r="DJ56" i="8"/>
  <c r="DY54" i="8"/>
  <c r="DW81" i="8"/>
  <c r="DL30" i="8"/>
  <c r="DK29" i="8"/>
  <c r="DM80" i="8"/>
  <c r="DS80" i="8"/>
  <c r="DN81" i="8"/>
  <c r="DX54" i="8"/>
  <c r="DT55" i="8"/>
  <c r="DK55" i="8"/>
  <c r="DM56" i="8"/>
  <c r="DW31" i="8"/>
  <c r="DJ55" i="8"/>
  <c r="DU30" i="8"/>
  <c r="DR31" i="8"/>
  <c r="DM81" i="8"/>
  <c r="DQ31" i="8"/>
  <c r="DW54" i="8"/>
  <c r="DR30" i="8"/>
  <c r="DU80" i="8"/>
  <c r="DO29" i="8"/>
  <c r="DN55" i="8"/>
  <c r="DT81" i="8"/>
  <c r="DJ79" i="8"/>
  <c r="DN29" i="8"/>
  <c r="DM55" i="8"/>
  <c r="DL55" i="8"/>
  <c r="DV31" i="8"/>
  <c r="DT80" i="8"/>
  <c r="DV80" i="8"/>
  <c r="DU31" i="8"/>
  <c r="DT31" i="8"/>
  <c r="DV30" i="8"/>
  <c r="DO79" i="8"/>
  <c r="DS29" i="8"/>
  <c r="DQ55" i="8"/>
  <c r="DQ29" i="8"/>
  <c r="DT30" i="8"/>
  <c r="DR29" i="8"/>
  <c r="DP55" i="8"/>
  <c r="DP29" i="8"/>
  <c r="DQ79" i="8"/>
  <c r="DO55" i="8"/>
  <c r="DP79" i="8"/>
  <c r="DN79" i="8"/>
  <c r="DM79" i="8"/>
  <c r="DS81" i="8"/>
  <c r="DR81" i="8"/>
  <c r="DP31" i="8"/>
  <c r="DO81" i="8"/>
  <c r="DL79" i="8"/>
  <c r="DP81" i="8"/>
  <c r="DR80" i="8"/>
  <c r="DS30" i="8"/>
  <c r="DL29" i="8"/>
  <c r="DQ81" i="8"/>
  <c r="DJ29" i="8"/>
  <c r="DT54" i="8"/>
  <c r="DS55" i="8"/>
  <c r="DS54" i="8"/>
  <c r="DN30" i="8"/>
  <c r="DY31" i="8"/>
  <c r="DJ80" i="8"/>
  <c r="DX29" i="8"/>
  <c r="DP30" i="8"/>
  <c r="DJ81" i="8"/>
  <c r="DV55" i="8"/>
  <c r="DX81" i="8"/>
  <c r="DO30" i="8"/>
  <c r="DL80" i="8"/>
  <c r="DM30" i="8"/>
  <c r="DK80" i="8"/>
  <c r="DR56" i="8"/>
  <c r="DW29" i="8"/>
  <c r="DO54" i="8"/>
  <c r="DV29" i="8"/>
  <c r="DJ30" i="8"/>
  <c r="DN54" i="8"/>
  <c r="DU29" i="8"/>
  <c r="DM54" i="8"/>
  <c r="DT29" i="8"/>
  <c r="DZ31" i="8"/>
  <c r="DZ29" i="8"/>
  <c r="DY56" i="8"/>
  <c r="DY81" i="8"/>
  <c r="DY79" i="8"/>
  <c r="DX56" i="8"/>
  <c r="DZ79" i="8"/>
  <c r="DX80" i="8"/>
  <c r="DX79" i="8"/>
  <c r="DR55" i="8"/>
  <c r="HU59" i="2"/>
  <c r="HU46" i="2"/>
  <c r="DZ56" i="8"/>
  <c r="DZ81" i="8"/>
  <c r="DZ30" i="8"/>
  <c r="DZ55" i="8"/>
  <c r="DZ80" i="8"/>
  <c r="DY55" i="8"/>
  <c r="DY30" i="8"/>
  <c r="DY80" i="8"/>
  <c r="DY29" i="8"/>
  <c r="DX31" i="8"/>
  <c r="DX30" i="8"/>
  <c r="DX55" i="8"/>
  <c r="DW56" i="8"/>
  <c r="DW30" i="8"/>
  <c r="DW80" i="8"/>
  <c r="DW55" i="8"/>
  <c r="DW79" i="8"/>
  <c r="M59" i="2"/>
  <c r="DH80" i="8"/>
  <c r="CY80" i="8"/>
  <c r="CX80" i="8"/>
  <c r="DC80" i="8"/>
  <c r="DE80" i="8"/>
  <c r="DI80" i="8"/>
  <c r="DG80" i="8"/>
  <c r="DA55" i="8"/>
  <c r="DC55" i="8"/>
  <c r="DF80" i="8"/>
  <c r="DD80" i="8"/>
  <c r="DA80" i="8"/>
  <c r="DB80" i="8"/>
  <c r="CZ80" i="8"/>
  <c r="DH55" i="8"/>
  <c r="DF30" i="8"/>
  <c r="DG55" i="8"/>
  <c r="DE30" i="8"/>
  <c r="CY55" i="8"/>
  <c r="DD30" i="8"/>
  <c r="CX55" i="8"/>
  <c r="DC30" i="8"/>
  <c r="DB30" i="8"/>
  <c r="CZ55" i="8"/>
  <c r="DF55" i="8"/>
  <c r="DB55" i="8"/>
  <c r="DE55" i="8"/>
  <c r="DD55" i="8"/>
  <c r="DI81" i="8"/>
  <c r="DI55" i="8"/>
  <c r="CZ30" i="8"/>
  <c r="CY30" i="8"/>
  <c r="CX30" i="8"/>
  <c r="DA30" i="8"/>
  <c r="DH30" i="8"/>
  <c r="DI30" i="8"/>
  <c r="DG30" i="8"/>
  <c r="DF56" i="8"/>
  <c r="DI56" i="8"/>
  <c r="DI31" i="8"/>
  <c r="DI54" i="8"/>
  <c r="DI29" i="8"/>
  <c r="DI79" i="8"/>
  <c r="DE56" i="8"/>
  <c r="DG31" i="8"/>
  <c r="DA31" i="8"/>
  <c r="CZ56" i="8"/>
  <c r="CY56" i="8"/>
  <c r="DA56" i="8"/>
  <c r="DE31" i="8"/>
  <c r="DB56" i="8"/>
  <c r="DB81" i="8"/>
  <c r="DH31" i="8"/>
  <c r="DF31" i="8"/>
  <c r="CY81" i="8"/>
  <c r="DH56" i="8"/>
  <c r="CZ54" i="8"/>
  <c r="CY54" i="8"/>
  <c r="DB79" i="8"/>
  <c r="DG29" i="8"/>
  <c r="DB54" i="8"/>
  <c r="DA29" i="8"/>
  <c r="DB29" i="8"/>
  <c r="DA54" i="8"/>
  <c r="CX29" i="8"/>
  <c r="CY79" i="8"/>
  <c r="DC54" i="8"/>
  <c r="DG56" i="8"/>
  <c r="DF29" i="8"/>
  <c r="DE29" i="8"/>
  <c r="DD56" i="8"/>
  <c r="DD29" i="8"/>
  <c r="DC56" i="8"/>
  <c r="DC29" i="8"/>
  <c r="DH29" i="8"/>
  <c r="DG54" i="8"/>
  <c r="DE54" i="8"/>
  <c r="DH54" i="8"/>
  <c r="DF54" i="8"/>
  <c r="DD54" i="8"/>
  <c r="DD31" i="8"/>
  <c r="DB31" i="8"/>
  <c r="DC31" i="8"/>
  <c r="CW79" i="8"/>
  <c r="CV79" i="8"/>
  <c r="CV29" i="8"/>
  <c r="DH79" i="8"/>
  <c r="CW29" i="8"/>
  <c r="DG79" i="8"/>
  <c r="DF79" i="8"/>
  <c r="DE79" i="8"/>
  <c r="DD79" i="8"/>
  <c r="CV54" i="8"/>
  <c r="CZ29" i="8"/>
  <c r="DC79" i="8"/>
  <c r="CZ79" i="8"/>
  <c r="CW54" i="8"/>
  <c r="DA79" i="8"/>
  <c r="CX54" i="8"/>
  <c r="CX79" i="8"/>
  <c r="CY29" i="8"/>
  <c r="DA81" i="8"/>
  <c r="DF81" i="8"/>
  <c r="DE81" i="8"/>
  <c r="DG81" i="8"/>
  <c r="DD81" i="8"/>
  <c r="DH81" i="8"/>
  <c r="CX81" i="8"/>
  <c r="DC81" i="8"/>
  <c r="CX56" i="8"/>
  <c r="CW56" i="8"/>
  <c r="CV31" i="8"/>
  <c r="CY31" i="8"/>
  <c r="CZ81" i="8"/>
  <c r="CZ31" i="8"/>
  <c r="CX31" i="8"/>
  <c r="CW31" i="8"/>
  <c r="CV56" i="8"/>
  <c r="CV81" i="8"/>
  <c r="CW81" i="8"/>
  <c r="HU32" i="1"/>
  <c r="HU33" i="4"/>
  <c r="DC93" i="2"/>
  <c r="DB88" i="2"/>
  <c r="CR10" i="8" s="1"/>
  <c r="DB74" i="4"/>
  <c r="CR12" i="8" s="1"/>
  <c r="DC74" i="4"/>
  <c r="CS12" i="8" s="1"/>
  <c r="DD74" i="4"/>
  <c r="CT12" i="8" s="1"/>
  <c r="DE74" i="4"/>
  <c r="CU12" i="8" s="1"/>
  <c r="DB75" i="4"/>
  <c r="CR37" i="8" s="1"/>
  <c r="DC75" i="4"/>
  <c r="CS37" i="8" s="1"/>
  <c r="DD75" i="4"/>
  <c r="CT37" i="8" s="1"/>
  <c r="DE75" i="4"/>
  <c r="CU37" i="8" s="1"/>
  <c r="DB76" i="4"/>
  <c r="CR62" i="8" s="1"/>
  <c r="DC76" i="4"/>
  <c r="CS62" i="8" s="1"/>
  <c r="DD76" i="4"/>
  <c r="CT62" i="8" s="1"/>
  <c r="CT81" i="8" s="1"/>
  <c r="DE76" i="4"/>
  <c r="CU62" i="8" s="1"/>
  <c r="DB78" i="4"/>
  <c r="CR17" i="8" s="1"/>
  <c r="DC78" i="4"/>
  <c r="CS17" i="8" s="1"/>
  <c r="DD78" i="4"/>
  <c r="CT17" i="8" s="1"/>
  <c r="DE78" i="4"/>
  <c r="CU17" i="8" s="1"/>
  <c r="DB79" i="4"/>
  <c r="CR42" i="8" s="1"/>
  <c r="DC79" i="4"/>
  <c r="CS42" i="8" s="1"/>
  <c r="DD79" i="4"/>
  <c r="CT42" i="8" s="1"/>
  <c r="DE79" i="4"/>
  <c r="CU42" i="8" s="1"/>
  <c r="DB80" i="4"/>
  <c r="CR67" i="8" s="1"/>
  <c r="DC80" i="4"/>
  <c r="CS67" i="8" s="1"/>
  <c r="DE80" i="4"/>
  <c r="CU67" i="8" s="1"/>
  <c r="DA38" i="6"/>
  <c r="CQ11" i="8" s="1"/>
  <c r="DB38" i="6"/>
  <c r="CR11" i="8" s="1"/>
  <c r="DC38" i="6"/>
  <c r="CS11" i="8" s="1"/>
  <c r="DD38" i="6"/>
  <c r="CT11" i="8" s="1"/>
  <c r="DE38" i="6"/>
  <c r="CU11" i="8" s="1"/>
  <c r="DB39" i="6"/>
  <c r="CR36" i="8" s="1"/>
  <c r="DC39" i="6"/>
  <c r="CS36" i="8" s="1"/>
  <c r="DD39" i="6"/>
  <c r="CT36" i="8" s="1"/>
  <c r="DE39" i="6"/>
  <c r="CU36" i="8" s="1"/>
  <c r="DB40" i="6"/>
  <c r="CR61" i="8" s="1"/>
  <c r="DC40" i="6"/>
  <c r="CS61" i="8" s="1"/>
  <c r="DD40" i="6"/>
  <c r="CT61" i="8" s="1"/>
  <c r="DE40" i="6"/>
  <c r="CU61" i="8" s="1"/>
  <c r="DB42" i="6"/>
  <c r="CR16" i="8" s="1"/>
  <c r="DC42" i="6"/>
  <c r="CS16" i="8" s="1"/>
  <c r="DD42" i="6"/>
  <c r="CT16" i="8" s="1"/>
  <c r="DE42" i="6"/>
  <c r="CU16" i="8" s="1"/>
  <c r="DB43" i="6"/>
  <c r="CR41" i="8" s="1"/>
  <c r="DC43" i="6"/>
  <c r="CS41" i="8" s="1"/>
  <c r="DD43" i="6"/>
  <c r="CT41" i="8" s="1"/>
  <c r="DE43" i="6"/>
  <c r="CU41" i="8" s="1"/>
  <c r="DB44" i="6"/>
  <c r="CR66" i="8" s="1"/>
  <c r="DC44" i="6"/>
  <c r="CS66" i="8" s="1"/>
  <c r="DD44" i="6"/>
  <c r="CT66" i="8" s="1"/>
  <c r="DE44" i="6"/>
  <c r="CU66" i="8" s="1"/>
  <c r="DC88" i="2"/>
  <c r="CS10" i="8" s="1"/>
  <c r="DD88" i="2"/>
  <c r="CT10" i="8" s="1"/>
  <c r="DE88" i="2"/>
  <c r="CU10" i="8" s="1"/>
  <c r="DF88" i="2"/>
  <c r="CV10" i="8" s="1"/>
  <c r="DG88" i="2"/>
  <c r="CW10" i="8" s="1"/>
  <c r="DB89" i="2"/>
  <c r="CR35" i="8" s="1"/>
  <c r="DC89" i="2"/>
  <c r="CS35" i="8" s="1"/>
  <c r="DD89" i="2"/>
  <c r="CT35" i="8" s="1"/>
  <c r="DE89" i="2"/>
  <c r="CU35" i="8" s="1"/>
  <c r="DF89" i="2"/>
  <c r="CV35" i="8" s="1"/>
  <c r="DG89" i="2"/>
  <c r="CW35" i="8" s="1"/>
  <c r="DB90" i="2"/>
  <c r="CR60" i="8" s="1"/>
  <c r="DC90" i="2"/>
  <c r="CS60" i="8" s="1"/>
  <c r="DD90" i="2"/>
  <c r="CT60" i="8" s="1"/>
  <c r="DE90" i="2"/>
  <c r="CU60" i="8" s="1"/>
  <c r="DF90" i="2"/>
  <c r="CV60" i="8" s="1"/>
  <c r="DG90" i="2"/>
  <c r="CW60" i="8" s="1"/>
  <c r="DB92" i="2"/>
  <c r="CR15" i="8" s="1"/>
  <c r="DC92" i="2"/>
  <c r="CS15" i="8" s="1"/>
  <c r="DD92" i="2"/>
  <c r="CT15" i="8" s="1"/>
  <c r="DE92" i="2"/>
  <c r="CU15" i="8" s="1"/>
  <c r="DF92" i="2"/>
  <c r="CV15" i="8" s="1"/>
  <c r="DG92" i="2"/>
  <c r="CW15" i="8" s="1"/>
  <c r="DB93" i="2"/>
  <c r="DD93" i="2"/>
  <c r="CT40" i="8" s="1"/>
  <c r="DE93" i="2"/>
  <c r="CU40" i="8" s="1"/>
  <c r="DF93" i="2"/>
  <c r="CV40" i="8" s="1"/>
  <c r="DG93" i="2"/>
  <c r="CW40" i="8" s="1"/>
  <c r="DB94" i="2"/>
  <c r="CR65" i="8" s="1"/>
  <c r="DC94" i="2"/>
  <c r="CS65" i="8" s="1"/>
  <c r="DD94" i="2"/>
  <c r="CT65" i="8" s="1"/>
  <c r="DE94" i="2"/>
  <c r="CU65" i="8" s="1"/>
  <c r="DF94" i="2"/>
  <c r="CV65" i="8" s="1"/>
  <c r="DG94" i="2"/>
  <c r="CW65" i="8" s="1"/>
  <c r="DB96" i="2"/>
  <c r="CR20" i="8" s="1"/>
  <c r="DC96" i="2"/>
  <c r="CS20" i="8" s="1"/>
  <c r="DD96" i="2"/>
  <c r="CT20" i="8" s="1"/>
  <c r="DE96" i="2"/>
  <c r="CU20" i="8" s="1"/>
  <c r="DF96" i="2"/>
  <c r="CV20" i="8" s="1"/>
  <c r="DG96" i="2"/>
  <c r="CW20" i="8" s="1"/>
  <c r="DB97" i="2"/>
  <c r="CR45" i="8" s="1"/>
  <c r="DC97" i="2"/>
  <c r="CS45" i="8" s="1"/>
  <c r="DD97" i="2"/>
  <c r="CT45" i="8" s="1"/>
  <c r="DE97" i="2"/>
  <c r="CU45" i="8" s="1"/>
  <c r="DF97" i="2"/>
  <c r="CV45" i="8" s="1"/>
  <c r="DG97" i="2"/>
  <c r="CW45" i="8" s="1"/>
  <c r="DB98" i="2"/>
  <c r="CR70" i="8" s="1"/>
  <c r="DC98" i="2"/>
  <c r="CS70" i="8" s="1"/>
  <c r="DD98" i="2"/>
  <c r="CT70" i="8" s="1"/>
  <c r="DE98" i="2"/>
  <c r="CU70" i="8" s="1"/>
  <c r="DF98" i="2"/>
  <c r="CV70" i="8" s="1"/>
  <c r="DG98" i="2"/>
  <c r="CW70" i="8" s="1"/>
  <c r="DE46" i="2"/>
  <c r="DD46" i="2"/>
  <c r="DC46" i="2"/>
  <c r="DB46" i="2"/>
  <c r="DA46" i="2"/>
  <c r="DE33" i="2"/>
  <c r="DD33" i="2"/>
  <c r="DC33" i="2"/>
  <c r="DB33" i="2"/>
  <c r="DA33" i="2"/>
  <c r="DE20" i="2"/>
  <c r="DD20" i="2"/>
  <c r="DC20" i="2"/>
  <c r="DB20" i="2"/>
  <c r="DA20" i="2"/>
  <c r="DE33" i="6"/>
  <c r="DD33" i="6"/>
  <c r="DC33" i="6"/>
  <c r="DB33" i="6"/>
  <c r="DA33" i="6"/>
  <c r="DE20" i="6"/>
  <c r="DD20" i="6"/>
  <c r="DC20" i="6"/>
  <c r="DB20" i="6"/>
  <c r="DA20" i="6"/>
  <c r="DA81" i="1"/>
  <c r="CQ64" i="8" s="1"/>
  <c r="DB75" i="1"/>
  <c r="CR9" i="8" s="1"/>
  <c r="DC75" i="1"/>
  <c r="DD75" i="1"/>
  <c r="CT9" i="8" s="1"/>
  <c r="DE75" i="1"/>
  <c r="CU9" i="8" s="1"/>
  <c r="DB76" i="1"/>
  <c r="CR34" i="8" s="1"/>
  <c r="DC76" i="1"/>
  <c r="CS34" i="8" s="1"/>
  <c r="DD76" i="1"/>
  <c r="CT34" i="8" s="1"/>
  <c r="CT54" i="8" s="1"/>
  <c r="DE76" i="1"/>
  <c r="CU34" i="8" s="1"/>
  <c r="DB77" i="1"/>
  <c r="CR59" i="8" s="1"/>
  <c r="DC77" i="1"/>
  <c r="CS59" i="8" s="1"/>
  <c r="DD77" i="1"/>
  <c r="CT59" i="8" s="1"/>
  <c r="DE77" i="1"/>
  <c r="CU59" i="8" s="1"/>
  <c r="DB79" i="1"/>
  <c r="CR14" i="8" s="1"/>
  <c r="DC79" i="1"/>
  <c r="CS14" i="8" s="1"/>
  <c r="DD79" i="1"/>
  <c r="CT14" i="8" s="1"/>
  <c r="DE79" i="1"/>
  <c r="CU14" i="8" s="1"/>
  <c r="DB80" i="1"/>
  <c r="CR39" i="8" s="1"/>
  <c r="DC80" i="1"/>
  <c r="CS39" i="8" s="1"/>
  <c r="DE80" i="1"/>
  <c r="CU39" i="8" s="1"/>
  <c r="DB81" i="1"/>
  <c r="CR64" i="8" s="1"/>
  <c r="DC81" i="1"/>
  <c r="CS64" i="8" s="1"/>
  <c r="DD81" i="1"/>
  <c r="CT64" i="8" s="1"/>
  <c r="DE81" i="1"/>
  <c r="CU64" i="8" s="1"/>
  <c r="DE45" i="1"/>
  <c r="DD45" i="1"/>
  <c r="DC45" i="1"/>
  <c r="DB45" i="1"/>
  <c r="DA45" i="1"/>
  <c r="DE32" i="1"/>
  <c r="DD32" i="1"/>
  <c r="DC32" i="1"/>
  <c r="DB32" i="1"/>
  <c r="DA32" i="1"/>
  <c r="DE19" i="1"/>
  <c r="DD19" i="1"/>
  <c r="DC19" i="1"/>
  <c r="DB19" i="1"/>
  <c r="DA19" i="1"/>
  <c r="DE45" i="4"/>
  <c r="DE33" i="4"/>
  <c r="DE20" i="4"/>
  <c r="DD45" i="4"/>
  <c r="DD33" i="4"/>
  <c r="DD20" i="4"/>
  <c r="DC45" i="4"/>
  <c r="DC33" i="4"/>
  <c r="DC20" i="4"/>
  <c r="DB45" i="4"/>
  <c r="DB33" i="4"/>
  <c r="DB20" i="4"/>
  <c r="DA45" i="4"/>
  <c r="DA33" i="4"/>
  <c r="DA20" i="4"/>
  <c r="CX45" i="1"/>
  <c r="CT55" i="8" l="1"/>
  <c r="CT80" i="8"/>
  <c r="CS80" i="8"/>
  <c r="CW80" i="8"/>
  <c r="CV80" i="8"/>
  <c r="CU80" i="8"/>
  <c r="CR80" i="8"/>
  <c r="CU30" i="8"/>
  <c r="CW55" i="8"/>
  <c r="CV55" i="8"/>
  <c r="CU55" i="8"/>
  <c r="CS30" i="8"/>
  <c r="CT30" i="8"/>
  <c r="CR30" i="8"/>
  <c r="CW30" i="8"/>
  <c r="CV30" i="8"/>
  <c r="CS54" i="8"/>
  <c r="CS79" i="8"/>
  <c r="CT29" i="8"/>
  <c r="CT79" i="8"/>
  <c r="CU54" i="8"/>
  <c r="CU29" i="8"/>
  <c r="CU79" i="8"/>
  <c r="CS9" i="8"/>
  <c r="CS29" i="8" s="1"/>
  <c r="CT56" i="8"/>
  <c r="CT31" i="8"/>
  <c r="CU56" i="8"/>
  <c r="CU31" i="8"/>
  <c r="CU81" i="8"/>
  <c r="CR29" i="8"/>
  <c r="CS31" i="8"/>
  <c r="CR31" i="8"/>
  <c r="CR54" i="8"/>
  <c r="CR79" i="8"/>
  <c r="CS81" i="8"/>
  <c r="CR81" i="8"/>
  <c r="CS56" i="8"/>
  <c r="CR56" i="8"/>
  <c r="HU45" i="4"/>
  <c r="CR40" i="8"/>
  <c r="CR55" i="8" s="1"/>
  <c r="CS40" i="8"/>
  <c r="CS55" i="8" s="1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O45" i="4"/>
  <c r="O33" i="4"/>
  <c r="M44" i="4"/>
  <c r="M43" i="4"/>
  <c r="M42" i="4"/>
  <c r="M41" i="4"/>
  <c r="M40" i="4"/>
  <c r="M39" i="4"/>
  <c r="M38" i="4"/>
  <c r="M37" i="4"/>
  <c r="M36" i="4"/>
  <c r="M35" i="4"/>
  <c r="M34" i="4"/>
  <c r="CS45" i="1"/>
  <c r="CR45" i="1"/>
  <c r="CE19" i="1"/>
  <c r="CD20" i="4"/>
  <c r="BY46" i="2"/>
  <c r="BM59" i="8"/>
  <c r="BM64" i="8"/>
  <c r="BM34" i="8"/>
  <c r="BM35" i="8"/>
  <c r="BM39" i="8"/>
  <c r="BM40" i="8"/>
  <c r="BM9" i="8"/>
  <c r="BM10" i="8"/>
  <c r="BM14" i="8"/>
  <c r="DA80" i="4"/>
  <c r="CQ67" i="8" s="1"/>
  <c r="CZ80" i="4"/>
  <c r="CP67" i="8" s="1"/>
  <c r="CY80" i="4"/>
  <c r="CO67" i="8" s="1"/>
  <c r="CX80" i="4"/>
  <c r="CN67" i="8" s="1"/>
  <c r="CW80" i="4"/>
  <c r="CM67" i="8" s="1"/>
  <c r="CV80" i="4"/>
  <c r="CL67" i="8" s="1"/>
  <c r="CU80" i="4"/>
  <c r="CK67" i="8" s="1"/>
  <c r="CT80" i="4"/>
  <c r="CJ67" i="8" s="1"/>
  <c r="CS80" i="4"/>
  <c r="CI67" i="8" s="1"/>
  <c r="CR80" i="4"/>
  <c r="CH67" i="8" s="1"/>
  <c r="CQ80" i="4"/>
  <c r="CG67" i="8" s="1"/>
  <c r="CP80" i="4"/>
  <c r="CF67" i="8" s="1"/>
  <c r="CO80" i="4"/>
  <c r="CE67" i="8" s="1"/>
  <c r="CN80" i="4"/>
  <c r="CD67" i="8" s="1"/>
  <c r="CM80" i="4"/>
  <c r="CC67" i="8" s="1"/>
  <c r="CL80" i="4"/>
  <c r="CB67" i="8" s="1"/>
  <c r="CK80" i="4"/>
  <c r="CA67" i="8" s="1"/>
  <c r="CJ80" i="4"/>
  <c r="BZ67" i="8" s="1"/>
  <c r="CI80" i="4"/>
  <c r="BY67" i="8" s="1"/>
  <c r="CH80" i="4"/>
  <c r="BX67" i="8" s="1"/>
  <c r="CG80" i="4"/>
  <c r="BW67" i="8" s="1"/>
  <c r="CF80" i="4"/>
  <c r="BV67" i="8" s="1"/>
  <c r="CE80" i="4"/>
  <c r="BU67" i="8" s="1"/>
  <c r="CD80" i="4"/>
  <c r="BT67" i="8" s="1"/>
  <c r="CC80" i="4"/>
  <c r="BS67" i="8" s="1"/>
  <c r="CB80" i="4"/>
  <c r="BR67" i="8" s="1"/>
  <c r="CA80" i="4"/>
  <c r="BQ67" i="8" s="1"/>
  <c r="BZ80" i="4"/>
  <c r="BP67" i="8" s="1"/>
  <c r="BY80" i="4"/>
  <c r="BO67" i="8" s="1"/>
  <c r="BX80" i="4"/>
  <c r="BN67" i="8" s="1"/>
  <c r="BW80" i="4"/>
  <c r="BM67" i="8" s="1"/>
  <c r="DA79" i="4"/>
  <c r="CQ42" i="8" s="1"/>
  <c r="CZ79" i="4"/>
  <c r="CP42" i="8" s="1"/>
  <c r="CY79" i="4"/>
  <c r="CO42" i="8" s="1"/>
  <c r="CX79" i="4"/>
  <c r="CN42" i="8" s="1"/>
  <c r="CW79" i="4"/>
  <c r="CM42" i="8" s="1"/>
  <c r="CV79" i="4"/>
  <c r="CL42" i="8" s="1"/>
  <c r="CU79" i="4"/>
  <c r="CK42" i="8" s="1"/>
  <c r="CT79" i="4"/>
  <c r="CJ42" i="8" s="1"/>
  <c r="CS79" i="4"/>
  <c r="CI42" i="8" s="1"/>
  <c r="CR79" i="4"/>
  <c r="CH42" i="8" s="1"/>
  <c r="CQ79" i="4"/>
  <c r="CG42" i="8" s="1"/>
  <c r="CP79" i="4"/>
  <c r="CF42" i="8" s="1"/>
  <c r="CO79" i="4"/>
  <c r="CE42" i="8" s="1"/>
  <c r="CN79" i="4"/>
  <c r="CD42" i="8" s="1"/>
  <c r="CM79" i="4"/>
  <c r="CC42" i="8" s="1"/>
  <c r="CL79" i="4"/>
  <c r="CB42" i="8" s="1"/>
  <c r="CK79" i="4"/>
  <c r="CA42" i="8" s="1"/>
  <c r="CJ79" i="4"/>
  <c r="BZ42" i="8" s="1"/>
  <c r="CI79" i="4"/>
  <c r="BY42" i="8" s="1"/>
  <c r="CH79" i="4"/>
  <c r="BX42" i="8" s="1"/>
  <c r="CG79" i="4"/>
  <c r="BW42" i="8" s="1"/>
  <c r="CF79" i="4"/>
  <c r="BV42" i="8" s="1"/>
  <c r="CE79" i="4"/>
  <c r="BU42" i="8" s="1"/>
  <c r="CD79" i="4"/>
  <c r="BT42" i="8" s="1"/>
  <c r="CC79" i="4"/>
  <c r="BS42" i="8" s="1"/>
  <c r="CB79" i="4"/>
  <c r="BR42" i="8" s="1"/>
  <c r="CA79" i="4"/>
  <c r="BQ42" i="8" s="1"/>
  <c r="BZ79" i="4"/>
  <c r="BP42" i="8" s="1"/>
  <c r="BY79" i="4"/>
  <c r="BO42" i="8" s="1"/>
  <c r="BX79" i="4"/>
  <c r="BN42" i="8" s="1"/>
  <c r="BW79" i="4"/>
  <c r="BM42" i="8" s="1"/>
  <c r="DA78" i="4"/>
  <c r="CQ17" i="8" s="1"/>
  <c r="CZ78" i="4"/>
  <c r="CP17" i="8" s="1"/>
  <c r="CY78" i="4"/>
  <c r="CO17" i="8" s="1"/>
  <c r="CX78" i="4"/>
  <c r="CN17" i="8" s="1"/>
  <c r="CW78" i="4"/>
  <c r="CM17" i="8" s="1"/>
  <c r="CV78" i="4"/>
  <c r="CL17" i="8" s="1"/>
  <c r="CU78" i="4"/>
  <c r="CK17" i="8" s="1"/>
  <c r="CT78" i="4"/>
  <c r="CJ17" i="8" s="1"/>
  <c r="CS78" i="4"/>
  <c r="CI17" i="8" s="1"/>
  <c r="CR78" i="4"/>
  <c r="CH17" i="8" s="1"/>
  <c r="CQ78" i="4"/>
  <c r="CG17" i="8" s="1"/>
  <c r="CP78" i="4"/>
  <c r="CF17" i="8" s="1"/>
  <c r="CO78" i="4"/>
  <c r="CE17" i="8" s="1"/>
  <c r="CN78" i="4"/>
  <c r="CD17" i="8" s="1"/>
  <c r="CM78" i="4"/>
  <c r="CC17" i="8" s="1"/>
  <c r="CL78" i="4"/>
  <c r="CB17" i="8" s="1"/>
  <c r="CK78" i="4"/>
  <c r="CA17" i="8" s="1"/>
  <c r="CJ78" i="4"/>
  <c r="BZ17" i="8" s="1"/>
  <c r="CI78" i="4"/>
  <c r="BY17" i="8" s="1"/>
  <c r="CH78" i="4"/>
  <c r="BX17" i="8" s="1"/>
  <c r="CG78" i="4"/>
  <c r="BW17" i="8" s="1"/>
  <c r="CF78" i="4"/>
  <c r="BV17" i="8" s="1"/>
  <c r="CE78" i="4"/>
  <c r="BU17" i="8" s="1"/>
  <c r="CD78" i="4"/>
  <c r="BT17" i="8" s="1"/>
  <c r="CC78" i="4"/>
  <c r="BS17" i="8" s="1"/>
  <c r="CB78" i="4"/>
  <c r="BR17" i="8" s="1"/>
  <c r="CA78" i="4"/>
  <c r="BQ17" i="8" s="1"/>
  <c r="BZ78" i="4"/>
  <c r="BP17" i="8" s="1"/>
  <c r="BY78" i="4"/>
  <c r="BO17" i="8" s="1"/>
  <c r="BX78" i="4"/>
  <c r="BN17" i="8" s="1"/>
  <c r="BW78" i="4"/>
  <c r="BM17" i="8" s="1"/>
  <c r="DA76" i="4"/>
  <c r="CQ62" i="8" s="1"/>
  <c r="CZ76" i="4"/>
  <c r="CP62" i="8" s="1"/>
  <c r="CY76" i="4"/>
  <c r="CO62" i="8" s="1"/>
  <c r="CX76" i="4"/>
  <c r="CN62" i="8" s="1"/>
  <c r="CW76" i="4"/>
  <c r="CM62" i="8" s="1"/>
  <c r="CV76" i="4"/>
  <c r="CL62" i="8" s="1"/>
  <c r="CU76" i="4"/>
  <c r="CK62" i="8" s="1"/>
  <c r="CT76" i="4"/>
  <c r="CJ62" i="8" s="1"/>
  <c r="CS76" i="4"/>
  <c r="CI62" i="8" s="1"/>
  <c r="CR76" i="4"/>
  <c r="CH62" i="8" s="1"/>
  <c r="CQ76" i="4"/>
  <c r="CG62" i="8" s="1"/>
  <c r="CP76" i="4"/>
  <c r="CF62" i="8" s="1"/>
  <c r="CO76" i="4"/>
  <c r="CE62" i="8" s="1"/>
  <c r="CN76" i="4"/>
  <c r="CD62" i="8" s="1"/>
  <c r="CM76" i="4"/>
  <c r="CC62" i="8" s="1"/>
  <c r="CL76" i="4"/>
  <c r="CB62" i="8" s="1"/>
  <c r="CK76" i="4"/>
  <c r="CA62" i="8" s="1"/>
  <c r="CJ76" i="4"/>
  <c r="BZ62" i="8" s="1"/>
  <c r="CI76" i="4"/>
  <c r="BY62" i="8" s="1"/>
  <c r="CH76" i="4"/>
  <c r="BX62" i="8" s="1"/>
  <c r="CG76" i="4"/>
  <c r="BW62" i="8" s="1"/>
  <c r="CF76" i="4"/>
  <c r="BV62" i="8" s="1"/>
  <c r="CE76" i="4"/>
  <c r="BU62" i="8" s="1"/>
  <c r="CD76" i="4"/>
  <c r="BT62" i="8" s="1"/>
  <c r="CC76" i="4"/>
  <c r="BS62" i="8" s="1"/>
  <c r="CB76" i="4"/>
  <c r="BR62" i="8" s="1"/>
  <c r="CA76" i="4"/>
  <c r="BQ62" i="8" s="1"/>
  <c r="BZ76" i="4"/>
  <c r="BP62" i="8" s="1"/>
  <c r="BY76" i="4"/>
  <c r="BO62" i="8" s="1"/>
  <c r="BX76" i="4"/>
  <c r="BN62" i="8" s="1"/>
  <c r="BW76" i="4"/>
  <c r="BM62" i="8" s="1"/>
  <c r="DA75" i="4"/>
  <c r="CZ75" i="4"/>
  <c r="CP37" i="8" s="1"/>
  <c r="CY75" i="4"/>
  <c r="CO37" i="8" s="1"/>
  <c r="CX75" i="4"/>
  <c r="CN37" i="8" s="1"/>
  <c r="CW75" i="4"/>
  <c r="CM37" i="8" s="1"/>
  <c r="CV75" i="4"/>
  <c r="CL37" i="8" s="1"/>
  <c r="CU75" i="4"/>
  <c r="CK37" i="8" s="1"/>
  <c r="CT75" i="4"/>
  <c r="CJ37" i="8" s="1"/>
  <c r="CS75" i="4"/>
  <c r="CI37" i="8" s="1"/>
  <c r="CR75" i="4"/>
  <c r="CH37" i="8" s="1"/>
  <c r="CQ75" i="4"/>
  <c r="CG37" i="8" s="1"/>
  <c r="CP75" i="4"/>
  <c r="CF37" i="8" s="1"/>
  <c r="CO75" i="4"/>
  <c r="CE37" i="8" s="1"/>
  <c r="CN75" i="4"/>
  <c r="CD37" i="8" s="1"/>
  <c r="CM75" i="4"/>
  <c r="CC37" i="8" s="1"/>
  <c r="CL75" i="4"/>
  <c r="CB37" i="8" s="1"/>
  <c r="CK75" i="4"/>
  <c r="CA37" i="8" s="1"/>
  <c r="CJ75" i="4"/>
  <c r="BZ37" i="8" s="1"/>
  <c r="CI75" i="4"/>
  <c r="BY37" i="8" s="1"/>
  <c r="CH75" i="4"/>
  <c r="BX37" i="8" s="1"/>
  <c r="CG75" i="4"/>
  <c r="BW37" i="8" s="1"/>
  <c r="CF75" i="4"/>
  <c r="BV37" i="8" s="1"/>
  <c r="CE75" i="4"/>
  <c r="BU37" i="8" s="1"/>
  <c r="CD75" i="4"/>
  <c r="BT37" i="8" s="1"/>
  <c r="CC75" i="4"/>
  <c r="BS37" i="8" s="1"/>
  <c r="CB75" i="4"/>
  <c r="BR37" i="8" s="1"/>
  <c r="CA75" i="4"/>
  <c r="BQ37" i="8" s="1"/>
  <c r="BZ75" i="4"/>
  <c r="BP37" i="8" s="1"/>
  <c r="BY75" i="4"/>
  <c r="BO37" i="8" s="1"/>
  <c r="BX75" i="4"/>
  <c r="BN37" i="8" s="1"/>
  <c r="BW75" i="4"/>
  <c r="BM37" i="8" s="1"/>
  <c r="DA74" i="4"/>
  <c r="CQ12" i="8" s="1"/>
  <c r="CZ74" i="4"/>
  <c r="CP12" i="8" s="1"/>
  <c r="CY74" i="4"/>
  <c r="CO12" i="8" s="1"/>
  <c r="CX74" i="4"/>
  <c r="CN12" i="8" s="1"/>
  <c r="CW74" i="4"/>
  <c r="CM12" i="8" s="1"/>
  <c r="CV74" i="4"/>
  <c r="CL12" i="8" s="1"/>
  <c r="CU74" i="4"/>
  <c r="CK12" i="8" s="1"/>
  <c r="CT74" i="4"/>
  <c r="CJ12" i="8" s="1"/>
  <c r="CS74" i="4"/>
  <c r="CI12" i="8" s="1"/>
  <c r="CR74" i="4"/>
  <c r="CH12" i="8" s="1"/>
  <c r="CQ74" i="4"/>
  <c r="CG12" i="8" s="1"/>
  <c r="CP74" i="4"/>
  <c r="CF12" i="8" s="1"/>
  <c r="CO74" i="4"/>
  <c r="CE12" i="8" s="1"/>
  <c r="CN74" i="4"/>
  <c r="CD12" i="8" s="1"/>
  <c r="CM74" i="4"/>
  <c r="CC12" i="8" s="1"/>
  <c r="CL74" i="4"/>
  <c r="CB12" i="8" s="1"/>
  <c r="CK74" i="4"/>
  <c r="CA12" i="8" s="1"/>
  <c r="CJ74" i="4"/>
  <c r="BZ12" i="8" s="1"/>
  <c r="CI74" i="4"/>
  <c r="BY12" i="8" s="1"/>
  <c r="CH74" i="4"/>
  <c r="BX12" i="8" s="1"/>
  <c r="CG74" i="4"/>
  <c r="BW12" i="8" s="1"/>
  <c r="CF74" i="4"/>
  <c r="BV12" i="8" s="1"/>
  <c r="CE74" i="4"/>
  <c r="BU12" i="8" s="1"/>
  <c r="CD74" i="4"/>
  <c r="BT12" i="8" s="1"/>
  <c r="CC74" i="4"/>
  <c r="BS12" i="8" s="1"/>
  <c r="CB74" i="4"/>
  <c r="BR12" i="8" s="1"/>
  <c r="CA74" i="4"/>
  <c r="BQ12" i="8" s="1"/>
  <c r="BZ74" i="4"/>
  <c r="BP12" i="8" s="1"/>
  <c r="BY74" i="4"/>
  <c r="BO12" i="8" s="1"/>
  <c r="BX74" i="4"/>
  <c r="BN12" i="8" s="1"/>
  <c r="BW74" i="4"/>
  <c r="BM12" i="8" s="1"/>
  <c r="CZ33" i="4"/>
  <c r="CY33" i="4"/>
  <c r="CX33" i="4"/>
  <c r="CW33" i="4"/>
  <c r="CV33" i="4"/>
  <c r="CU33" i="4"/>
  <c r="CT33" i="4"/>
  <c r="CS33" i="4"/>
  <c r="CR33" i="4"/>
  <c r="CQ33" i="4"/>
  <c r="CP33" i="4"/>
  <c r="CO33" i="4"/>
  <c r="CM33" i="4"/>
  <c r="CL33" i="4"/>
  <c r="CK33" i="4"/>
  <c r="CJ33" i="4"/>
  <c r="CI33" i="4"/>
  <c r="CH33" i="4"/>
  <c r="CG33" i="4"/>
  <c r="CE33" i="4"/>
  <c r="CD33" i="4"/>
  <c r="CC33" i="4"/>
  <c r="CB33" i="4"/>
  <c r="CA33" i="4"/>
  <c r="BZ33" i="4"/>
  <c r="BY33" i="4"/>
  <c r="BX33" i="4"/>
  <c r="CZ20" i="4"/>
  <c r="CY20" i="4"/>
  <c r="CX20" i="4"/>
  <c r="CW20" i="4"/>
  <c r="CV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C20" i="4"/>
  <c r="CB20" i="4"/>
  <c r="CA20" i="4"/>
  <c r="BZ20" i="4"/>
  <c r="BY20" i="4"/>
  <c r="BX20" i="4"/>
  <c r="DA98" i="2"/>
  <c r="CQ70" i="8" s="1"/>
  <c r="CZ98" i="2"/>
  <c r="CP70" i="8" s="1"/>
  <c r="CY98" i="2"/>
  <c r="CO70" i="8" s="1"/>
  <c r="CX98" i="2"/>
  <c r="CN70" i="8" s="1"/>
  <c r="CW98" i="2"/>
  <c r="CM70" i="8" s="1"/>
  <c r="CV98" i="2"/>
  <c r="CL70" i="8" s="1"/>
  <c r="CU98" i="2"/>
  <c r="CK70" i="8" s="1"/>
  <c r="CT98" i="2"/>
  <c r="CJ70" i="8" s="1"/>
  <c r="CS98" i="2"/>
  <c r="CI70" i="8" s="1"/>
  <c r="CR98" i="2"/>
  <c r="CH70" i="8" s="1"/>
  <c r="CQ98" i="2"/>
  <c r="CG70" i="8" s="1"/>
  <c r="CP98" i="2"/>
  <c r="CF70" i="8" s="1"/>
  <c r="CO98" i="2"/>
  <c r="CE70" i="8" s="1"/>
  <c r="CN98" i="2"/>
  <c r="CD70" i="8" s="1"/>
  <c r="CM98" i="2"/>
  <c r="CC70" i="8" s="1"/>
  <c r="CL98" i="2"/>
  <c r="CB70" i="8" s="1"/>
  <c r="CK98" i="2"/>
  <c r="CA70" i="8" s="1"/>
  <c r="CJ98" i="2"/>
  <c r="BZ70" i="8" s="1"/>
  <c r="CI98" i="2"/>
  <c r="BY70" i="8" s="1"/>
  <c r="CH98" i="2"/>
  <c r="BX70" i="8" s="1"/>
  <c r="CG98" i="2"/>
  <c r="BW70" i="8" s="1"/>
  <c r="CF98" i="2"/>
  <c r="BV70" i="8" s="1"/>
  <c r="CE98" i="2"/>
  <c r="BU70" i="8" s="1"/>
  <c r="CD98" i="2"/>
  <c r="BT70" i="8" s="1"/>
  <c r="CC98" i="2"/>
  <c r="BS70" i="8" s="1"/>
  <c r="CB98" i="2"/>
  <c r="BR70" i="8" s="1"/>
  <c r="CA98" i="2"/>
  <c r="BQ70" i="8" s="1"/>
  <c r="BZ98" i="2"/>
  <c r="BP70" i="8" s="1"/>
  <c r="BY98" i="2"/>
  <c r="BO70" i="8" s="1"/>
  <c r="BX98" i="2"/>
  <c r="BN70" i="8" s="1"/>
  <c r="BW98" i="2"/>
  <c r="DA97" i="2"/>
  <c r="CQ45" i="8" s="1"/>
  <c r="CZ97" i="2"/>
  <c r="CP45" i="8" s="1"/>
  <c r="CY97" i="2"/>
  <c r="CO45" i="8" s="1"/>
  <c r="CX97" i="2"/>
  <c r="CN45" i="8" s="1"/>
  <c r="CW97" i="2"/>
  <c r="CM45" i="8" s="1"/>
  <c r="CV97" i="2"/>
  <c r="CL45" i="8" s="1"/>
  <c r="CU97" i="2"/>
  <c r="CK45" i="8" s="1"/>
  <c r="CT97" i="2"/>
  <c r="CJ45" i="8" s="1"/>
  <c r="CS97" i="2"/>
  <c r="CI45" i="8" s="1"/>
  <c r="CR97" i="2"/>
  <c r="CH45" i="8" s="1"/>
  <c r="CQ97" i="2"/>
  <c r="CG45" i="8" s="1"/>
  <c r="CP97" i="2"/>
  <c r="CF45" i="8" s="1"/>
  <c r="CE45" i="8"/>
  <c r="CN97" i="2"/>
  <c r="CD45" i="8" s="1"/>
  <c r="CM97" i="2"/>
  <c r="CC45" i="8" s="1"/>
  <c r="CL97" i="2"/>
  <c r="CB45" i="8" s="1"/>
  <c r="CK97" i="2"/>
  <c r="CA45" i="8" s="1"/>
  <c r="CJ97" i="2"/>
  <c r="BZ45" i="8" s="1"/>
  <c r="CI97" i="2"/>
  <c r="BY45" i="8" s="1"/>
  <c r="CH97" i="2"/>
  <c r="BX45" i="8" s="1"/>
  <c r="CG97" i="2"/>
  <c r="BW45" i="8" s="1"/>
  <c r="CF97" i="2"/>
  <c r="BV45" i="8" s="1"/>
  <c r="CE97" i="2"/>
  <c r="BU45" i="8" s="1"/>
  <c r="CD97" i="2"/>
  <c r="BT45" i="8" s="1"/>
  <c r="CC97" i="2"/>
  <c r="BS45" i="8" s="1"/>
  <c r="CB97" i="2"/>
  <c r="BR45" i="8" s="1"/>
  <c r="CA97" i="2"/>
  <c r="BQ45" i="8" s="1"/>
  <c r="BZ97" i="2"/>
  <c r="BP45" i="8" s="1"/>
  <c r="BY97" i="2"/>
  <c r="BO45" i="8" s="1"/>
  <c r="BX97" i="2"/>
  <c r="BN45" i="8" s="1"/>
  <c r="BW97" i="2"/>
  <c r="DA96" i="2"/>
  <c r="CQ20" i="8" s="1"/>
  <c r="CZ96" i="2"/>
  <c r="CP20" i="8" s="1"/>
  <c r="CY96" i="2"/>
  <c r="CO20" i="8" s="1"/>
  <c r="CX96" i="2"/>
  <c r="CN20" i="8" s="1"/>
  <c r="CW96" i="2"/>
  <c r="CM20" i="8" s="1"/>
  <c r="CV96" i="2"/>
  <c r="CL20" i="8" s="1"/>
  <c r="CU96" i="2"/>
  <c r="CK20" i="8" s="1"/>
  <c r="CT96" i="2"/>
  <c r="CJ20" i="8" s="1"/>
  <c r="CS96" i="2"/>
  <c r="CI20" i="8" s="1"/>
  <c r="CR96" i="2"/>
  <c r="CH20" i="8" s="1"/>
  <c r="CQ96" i="2"/>
  <c r="CG20" i="8" s="1"/>
  <c r="CP96" i="2"/>
  <c r="CF20" i="8" s="1"/>
  <c r="CO96" i="2"/>
  <c r="CE20" i="8" s="1"/>
  <c r="CN96" i="2"/>
  <c r="CD20" i="8" s="1"/>
  <c r="CM96" i="2"/>
  <c r="CC20" i="8" s="1"/>
  <c r="CL96" i="2"/>
  <c r="CB20" i="8" s="1"/>
  <c r="CK96" i="2"/>
  <c r="CA20" i="8" s="1"/>
  <c r="CJ96" i="2"/>
  <c r="BZ20" i="8" s="1"/>
  <c r="CI96" i="2"/>
  <c r="BY20" i="8" s="1"/>
  <c r="CH96" i="2"/>
  <c r="BX20" i="8" s="1"/>
  <c r="CG96" i="2"/>
  <c r="BW20" i="8" s="1"/>
  <c r="CF96" i="2"/>
  <c r="BV20" i="8" s="1"/>
  <c r="CE96" i="2"/>
  <c r="BU20" i="8" s="1"/>
  <c r="CD96" i="2"/>
  <c r="BT20" i="8" s="1"/>
  <c r="CC96" i="2"/>
  <c r="BS20" i="8" s="1"/>
  <c r="CB96" i="2"/>
  <c r="BR20" i="8" s="1"/>
  <c r="CA96" i="2"/>
  <c r="BQ20" i="8" s="1"/>
  <c r="BZ96" i="2"/>
  <c r="BP20" i="8" s="1"/>
  <c r="BY96" i="2"/>
  <c r="BO20" i="8" s="1"/>
  <c r="BX96" i="2"/>
  <c r="BN20" i="8" s="1"/>
  <c r="BW96" i="2"/>
  <c r="DA94" i="2"/>
  <c r="CQ65" i="8" s="1"/>
  <c r="CZ94" i="2"/>
  <c r="CP65" i="8" s="1"/>
  <c r="CY94" i="2"/>
  <c r="CO65" i="8" s="1"/>
  <c r="CX94" i="2"/>
  <c r="CN65" i="8" s="1"/>
  <c r="CW94" i="2"/>
  <c r="CM65" i="8" s="1"/>
  <c r="CV94" i="2"/>
  <c r="CL65" i="8" s="1"/>
  <c r="CU94" i="2"/>
  <c r="CK65" i="8" s="1"/>
  <c r="CT94" i="2"/>
  <c r="CJ65" i="8" s="1"/>
  <c r="CS94" i="2"/>
  <c r="CI65" i="8" s="1"/>
  <c r="CR94" i="2"/>
  <c r="CH65" i="8" s="1"/>
  <c r="CQ94" i="2"/>
  <c r="CG65" i="8" s="1"/>
  <c r="CP94" i="2"/>
  <c r="CF65" i="8" s="1"/>
  <c r="CO94" i="2"/>
  <c r="CE65" i="8" s="1"/>
  <c r="CN94" i="2"/>
  <c r="CD65" i="8" s="1"/>
  <c r="CM94" i="2"/>
  <c r="CC65" i="8" s="1"/>
  <c r="CL94" i="2"/>
  <c r="CB65" i="8" s="1"/>
  <c r="CK94" i="2"/>
  <c r="CA65" i="8" s="1"/>
  <c r="CJ94" i="2"/>
  <c r="BZ65" i="8" s="1"/>
  <c r="CI94" i="2"/>
  <c r="BY65" i="8" s="1"/>
  <c r="CH94" i="2"/>
  <c r="BX65" i="8" s="1"/>
  <c r="CG94" i="2"/>
  <c r="BW65" i="8" s="1"/>
  <c r="CF94" i="2"/>
  <c r="BV65" i="8" s="1"/>
  <c r="CE94" i="2"/>
  <c r="BU65" i="8" s="1"/>
  <c r="CD94" i="2"/>
  <c r="BT65" i="8" s="1"/>
  <c r="CC94" i="2"/>
  <c r="BS65" i="8" s="1"/>
  <c r="CB94" i="2"/>
  <c r="BR65" i="8" s="1"/>
  <c r="CA94" i="2"/>
  <c r="BQ65" i="8" s="1"/>
  <c r="BZ94" i="2"/>
  <c r="BP65" i="8" s="1"/>
  <c r="BY94" i="2"/>
  <c r="BO65" i="8" s="1"/>
  <c r="BX94" i="2"/>
  <c r="BN65" i="8" s="1"/>
  <c r="BW94" i="2"/>
  <c r="BM65" i="8" s="1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DA92" i="2"/>
  <c r="CQ15" i="8" s="1"/>
  <c r="CZ92" i="2"/>
  <c r="CP15" i="8" s="1"/>
  <c r="CY92" i="2"/>
  <c r="CO15" i="8" s="1"/>
  <c r="CX92" i="2"/>
  <c r="CN15" i="8" s="1"/>
  <c r="CW92" i="2"/>
  <c r="CM15" i="8" s="1"/>
  <c r="CV92" i="2"/>
  <c r="CL15" i="8" s="1"/>
  <c r="CU92" i="2"/>
  <c r="CK15" i="8" s="1"/>
  <c r="CT92" i="2"/>
  <c r="CJ15" i="8" s="1"/>
  <c r="CS92" i="2"/>
  <c r="CI15" i="8" s="1"/>
  <c r="CR92" i="2"/>
  <c r="CH15" i="8" s="1"/>
  <c r="CQ92" i="2"/>
  <c r="CG15" i="8" s="1"/>
  <c r="CP92" i="2"/>
  <c r="CF15" i="8" s="1"/>
  <c r="CO92" i="2"/>
  <c r="CE15" i="8" s="1"/>
  <c r="CN92" i="2"/>
  <c r="CD15" i="8" s="1"/>
  <c r="CM92" i="2"/>
  <c r="CC15" i="8" s="1"/>
  <c r="CL92" i="2"/>
  <c r="CB15" i="8" s="1"/>
  <c r="CK92" i="2"/>
  <c r="CA15" i="8" s="1"/>
  <c r="CJ92" i="2"/>
  <c r="BZ15" i="8" s="1"/>
  <c r="CI92" i="2"/>
  <c r="BY15" i="8" s="1"/>
  <c r="CH92" i="2"/>
  <c r="BX15" i="8" s="1"/>
  <c r="CG92" i="2"/>
  <c r="BW15" i="8" s="1"/>
  <c r="CF92" i="2"/>
  <c r="BV15" i="8" s="1"/>
  <c r="CE92" i="2"/>
  <c r="BU15" i="8" s="1"/>
  <c r="CD92" i="2"/>
  <c r="BT15" i="8" s="1"/>
  <c r="CC92" i="2"/>
  <c r="BS15" i="8" s="1"/>
  <c r="CB92" i="2"/>
  <c r="BR15" i="8" s="1"/>
  <c r="CA92" i="2"/>
  <c r="BQ15" i="8" s="1"/>
  <c r="BZ92" i="2"/>
  <c r="BP15" i="8" s="1"/>
  <c r="BY92" i="2"/>
  <c r="BO15" i="8" s="1"/>
  <c r="BX92" i="2"/>
  <c r="BN15" i="8" s="1"/>
  <c r="BW92" i="2"/>
  <c r="DA90" i="2"/>
  <c r="CQ60" i="8" s="1"/>
  <c r="CZ90" i="2"/>
  <c r="CP60" i="8" s="1"/>
  <c r="CY90" i="2"/>
  <c r="CO60" i="8" s="1"/>
  <c r="CX90" i="2"/>
  <c r="CN60" i="8" s="1"/>
  <c r="CW90" i="2"/>
  <c r="CM60" i="8" s="1"/>
  <c r="CV90" i="2"/>
  <c r="CL60" i="8" s="1"/>
  <c r="CU90" i="2"/>
  <c r="CK60" i="8" s="1"/>
  <c r="CT90" i="2"/>
  <c r="CJ60" i="8" s="1"/>
  <c r="CS90" i="2"/>
  <c r="CI60" i="8" s="1"/>
  <c r="CR90" i="2"/>
  <c r="CH60" i="8" s="1"/>
  <c r="CQ90" i="2"/>
  <c r="CG60" i="8" s="1"/>
  <c r="CP90" i="2"/>
  <c r="CF60" i="8" s="1"/>
  <c r="CN90" i="2"/>
  <c r="CD60" i="8" s="1"/>
  <c r="CM90" i="2"/>
  <c r="CC60" i="8" s="1"/>
  <c r="CL90" i="2"/>
  <c r="CB60" i="8" s="1"/>
  <c r="CK90" i="2"/>
  <c r="CA60" i="8" s="1"/>
  <c r="CJ90" i="2"/>
  <c r="BZ60" i="8" s="1"/>
  <c r="CI90" i="2"/>
  <c r="BY60" i="8" s="1"/>
  <c r="CH90" i="2"/>
  <c r="BX60" i="8" s="1"/>
  <c r="CG90" i="2"/>
  <c r="BW60" i="8" s="1"/>
  <c r="CF90" i="2"/>
  <c r="BV60" i="8" s="1"/>
  <c r="CE90" i="2"/>
  <c r="BU60" i="8" s="1"/>
  <c r="CD90" i="2"/>
  <c r="BT60" i="8" s="1"/>
  <c r="CC90" i="2"/>
  <c r="BS60" i="8" s="1"/>
  <c r="CB90" i="2"/>
  <c r="BR60" i="8" s="1"/>
  <c r="CA90" i="2"/>
  <c r="BQ60" i="8" s="1"/>
  <c r="BZ90" i="2"/>
  <c r="BP60" i="8" s="1"/>
  <c r="BY90" i="2"/>
  <c r="BO60" i="8" s="1"/>
  <c r="BX90" i="2"/>
  <c r="BN60" i="8" s="1"/>
  <c r="BW90" i="2"/>
  <c r="BM60" i="8" s="1"/>
  <c r="DA89" i="2"/>
  <c r="CQ35" i="8" s="1"/>
  <c r="CZ89" i="2"/>
  <c r="CP35" i="8" s="1"/>
  <c r="CY89" i="2"/>
  <c r="CO35" i="8" s="1"/>
  <c r="CX89" i="2"/>
  <c r="CN35" i="8" s="1"/>
  <c r="CW89" i="2"/>
  <c r="CM35" i="8" s="1"/>
  <c r="CV89" i="2"/>
  <c r="CL35" i="8" s="1"/>
  <c r="CU89" i="2"/>
  <c r="CK35" i="8" s="1"/>
  <c r="CT89" i="2"/>
  <c r="CJ35" i="8" s="1"/>
  <c r="CS89" i="2"/>
  <c r="CI35" i="8" s="1"/>
  <c r="CR89" i="2"/>
  <c r="CH35" i="8" s="1"/>
  <c r="CQ89" i="2"/>
  <c r="CG35" i="8" s="1"/>
  <c r="CP89" i="2"/>
  <c r="CF35" i="8" s="1"/>
  <c r="CN89" i="2"/>
  <c r="CD35" i="8" s="1"/>
  <c r="CM89" i="2"/>
  <c r="CC35" i="8" s="1"/>
  <c r="CL89" i="2"/>
  <c r="CB35" i="8" s="1"/>
  <c r="CK89" i="2"/>
  <c r="CA35" i="8" s="1"/>
  <c r="CJ89" i="2"/>
  <c r="BZ35" i="8" s="1"/>
  <c r="CI89" i="2"/>
  <c r="BY35" i="8" s="1"/>
  <c r="CH89" i="2"/>
  <c r="BX35" i="8" s="1"/>
  <c r="CG89" i="2"/>
  <c r="BW35" i="8" s="1"/>
  <c r="CF89" i="2"/>
  <c r="BV35" i="8" s="1"/>
  <c r="CE89" i="2"/>
  <c r="BU35" i="8" s="1"/>
  <c r="CD89" i="2"/>
  <c r="BT35" i="8" s="1"/>
  <c r="CC89" i="2"/>
  <c r="BS35" i="8" s="1"/>
  <c r="CB89" i="2"/>
  <c r="BR35" i="8" s="1"/>
  <c r="CA89" i="2"/>
  <c r="BQ35" i="8" s="1"/>
  <c r="BZ89" i="2"/>
  <c r="BP35" i="8" s="1"/>
  <c r="BY89" i="2"/>
  <c r="BO35" i="8" s="1"/>
  <c r="BX89" i="2"/>
  <c r="BN35" i="8" s="1"/>
  <c r="BW89" i="2"/>
  <c r="DA88" i="2"/>
  <c r="CQ10" i="8" s="1"/>
  <c r="CZ88" i="2"/>
  <c r="CP10" i="8" s="1"/>
  <c r="CY88" i="2"/>
  <c r="CO10" i="8" s="1"/>
  <c r="CX88" i="2"/>
  <c r="CN10" i="8" s="1"/>
  <c r="CW88" i="2"/>
  <c r="CM10" i="8" s="1"/>
  <c r="CV88" i="2"/>
  <c r="CL10" i="8" s="1"/>
  <c r="CU88" i="2"/>
  <c r="CK10" i="8" s="1"/>
  <c r="CT88" i="2"/>
  <c r="CJ10" i="8" s="1"/>
  <c r="CS88" i="2"/>
  <c r="CI10" i="8" s="1"/>
  <c r="CR88" i="2"/>
  <c r="CH10" i="8" s="1"/>
  <c r="CQ88" i="2"/>
  <c r="CG10" i="8" s="1"/>
  <c r="CP88" i="2"/>
  <c r="CF10" i="8" s="1"/>
  <c r="CO88" i="2"/>
  <c r="CE10" i="8" s="1"/>
  <c r="CN88" i="2"/>
  <c r="CD10" i="8" s="1"/>
  <c r="CM88" i="2"/>
  <c r="CC10" i="8" s="1"/>
  <c r="CL88" i="2"/>
  <c r="CB10" i="8" s="1"/>
  <c r="CK88" i="2"/>
  <c r="CA10" i="8" s="1"/>
  <c r="CJ88" i="2"/>
  <c r="BZ10" i="8" s="1"/>
  <c r="CI88" i="2"/>
  <c r="BY10" i="8" s="1"/>
  <c r="CH88" i="2"/>
  <c r="BX10" i="8" s="1"/>
  <c r="CG88" i="2"/>
  <c r="BW10" i="8" s="1"/>
  <c r="CF88" i="2"/>
  <c r="BV10" i="8" s="1"/>
  <c r="CE88" i="2"/>
  <c r="BU10" i="8" s="1"/>
  <c r="CD88" i="2"/>
  <c r="BT10" i="8" s="1"/>
  <c r="CC88" i="2"/>
  <c r="BS10" i="8" s="1"/>
  <c r="CB88" i="2"/>
  <c r="BR10" i="8" s="1"/>
  <c r="CA88" i="2"/>
  <c r="BQ10" i="8" s="1"/>
  <c r="BZ88" i="2"/>
  <c r="BP10" i="8" s="1"/>
  <c r="BY88" i="2"/>
  <c r="BO10" i="8" s="1"/>
  <c r="BX88" i="2"/>
  <c r="BN10" i="8" s="1"/>
  <c r="BW88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J46" i="2"/>
  <c r="CI46" i="2"/>
  <c r="CH46" i="2"/>
  <c r="CG46" i="2"/>
  <c r="CF46" i="2"/>
  <c r="CE46" i="2"/>
  <c r="CD46" i="2"/>
  <c r="CC46" i="2"/>
  <c r="CB46" i="2"/>
  <c r="CA46" i="2"/>
  <c r="BZ46" i="2"/>
  <c r="BX46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M33" i="2"/>
  <c r="CL33" i="2"/>
  <c r="CJ33" i="2"/>
  <c r="CI33" i="2"/>
  <c r="CH33" i="2"/>
  <c r="CG33" i="2"/>
  <c r="CF33" i="2"/>
  <c r="CE33" i="2"/>
  <c r="CD33" i="2"/>
  <c r="CB33" i="2"/>
  <c r="CA33" i="2"/>
  <c r="BZ33" i="2"/>
  <c r="BY33" i="2"/>
  <c r="BX33" i="2"/>
  <c r="CZ20" i="2"/>
  <c r="CY20" i="2"/>
  <c r="CX20" i="2"/>
  <c r="CW20" i="2"/>
  <c r="CV20" i="2"/>
  <c r="CU20" i="2"/>
  <c r="CT20" i="2"/>
  <c r="CS20" i="2"/>
  <c r="CR20" i="2"/>
  <c r="CQ20" i="2"/>
  <c r="CP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CO89" i="2"/>
  <c r="CE35" i="8" s="1"/>
  <c r="DA44" i="6"/>
  <c r="CQ66" i="8" s="1"/>
  <c r="CZ44" i="6"/>
  <c r="CP66" i="8" s="1"/>
  <c r="CY44" i="6"/>
  <c r="CO66" i="8" s="1"/>
  <c r="CX44" i="6"/>
  <c r="CN66" i="8" s="1"/>
  <c r="CW44" i="6"/>
  <c r="CM66" i="8" s="1"/>
  <c r="CV44" i="6"/>
  <c r="CL66" i="8" s="1"/>
  <c r="CU44" i="6"/>
  <c r="CK66" i="8" s="1"/>
  <c r="CT44" i="6"/>
  <c r="CJ66" i="8" s="1"/>
  <c r="CS44" i="6"/>
  <c r="CI66" i="8" s="1"/>
  <c r="CR44" i="6"/>
  <c r="CH66" i="8" s="1"/>
  <c r="CQ44" i="6"/>
  <c r="CG66" i="8" s="1"/>
  <c r="CP44" i="6"/>
  <c r="CF66" i="8" s="1"/>
  <c r="CO44" i="6"/>
  <c r="CE66" i="8" s="1"/>
  <c r="CN44" i="6"/>
  <c r="CD66" i="8" s="1"/>
  <c r="CM44" i="6"/>
  <c r="CC66" i="8" s="1"/>
  <c r="CL44" i="6"/>
  <c r="CB66" i="8" s="1"/>
  <c r="CK44" i="6"/>
  <c r="CA66" i="8" s="1"/>
  <c r="CJ44" i="6"/>
  <c r="BZ66" i="8" s="1"/>
  <c r="CI44" i="6"/>
  <c r="BY66" i="8" s="1"/>
  <c r="CH44" i="6"/>
  <c r="BX66" i="8" s="1"/>
  <c r="CG44" i="6"/>
  <c r="BW66" i="8" s="1"/>
  <c r="CF44" i="6"/>
  <c r="BV66" i="8" s="1"/>
  <c r="CE44" i="6"/>
  <c r="BU66" i="8" s="1"/>
  <c r="CD44" i="6"/>
  <c r="BT66" i="8" s="1"/>
  <c r="CC44" i="6"/>
  <c r="BS66" i="8" s="1"/>
  <c r="CB44" i="6"/>
  <c r="BR66" i="8" s="1"/>
  <c r="CA44" i="6"/>
  <c r="BQ66" i="8" s="1"/>
  <c r="BZ44" i="6"/>
  <c r="BP66" i="8" s="1"/>
  <c r="BY44" i="6"/>
  <c r="BO66" i="8" s="1"/>
  <c r="BX44" i="6"/>
  <c r="BN66" i="8" s="1"/>
  <c r="BW44" i="6"/>
  <c r="BM66" i="8" s="1"/>
  <c r="DA43" i="6"/>
  <c r="CQ41" i="8" s="1"/>
  <c r="CZ43" i="6"/>
  <c r="CP41" i="8" s="1"/>
  <c r="CY43" i="6"/>
  <c r="CO41" i="8" s="1"/>
  <c r="CX43" i="6"/>
  <c r="CN41" i="8" s="1"/>
  <c r="CW43" i="6"/>
  <c r="CM41" i="8" s="1"/>
  <c r="CV43" i="6"/>
  <c r="CL41" i="8" s="1"/>
  <c r="CU43" i="6"/>
  <c r="CK41" i="8" s="1"/>
  <c r="CT43" i="6"/>
  <c r="CJ41" i="8" s="1"/>
  <c r="CS43" i="6"/>
  <c r="CI41" i="8" s="1"/>
  <c r="CR43" i="6"/>
  <c r="CH41" i="8" s="1"/>
  <c r="CQ43" i="6"/>
  <c r="CG41" i="8" s="1"/>
  <c r="CP43" i="6"/>
  <c r="CF41" i="8" s="1"/>
  <c r="CO43" i="6"/>
  <c r="CE41" i="8" s="1"/>
  <c r="CN43" i="6"/>
  <c r="CD41" i="8" s="1"/>
  <c r="CM43" i="6"/>
  <c r="CC41" i="8" s="1"/>
  <c r="CL43" i="6"/>
  <c r="CB41" i="8" s="1"/>
  <c r="CK43" i="6"/>
  <c r="CA41" i="8" s="1"/>
  <c r="CJ43" i="6"/>
  <c r="BZ41" i="8" s="1"/>
  <c r="CI43" i="6"/>
  <c r="BY41" i="8" s="1"/>
  <c r="CH43" i="6"/>
  <c r="BX41" i="8" s="1"/>
  <c r="CG43" i="6"/>
  <c r="BW41" i="8" s="1"/>
  <c r="CF43" i="6"/>
  <c r="BV41" i="8" s="1"/>
  <c r="CE43" i="6"/>
  <c r="BU41" i="8" s="1"/>
  <c r="CD43" i="6"/>
  <c r="BT41" i="8" s="1"/>
  <c r="CC43" i="6"/>
  <c r="BS41" i="8" s="1"/>
  <c r="CB43" i="6"/>
  <c r="BR41" i="8" s="1"/>
  <c r="CA43" i="6"/>
  <c r="BQ41" i="8" s="1"/>
  <c r="BZ43" i="6"/>
  <c r="BP41" i="8" s="1"/>
  <c r="BY43" i="6"/>
  <c r="BO41" i="8" s="1"/>
  <c r="BX43" i="6"/>
  <c r="BN41" i="8" s="1"/>
  <c r="BW43" i="6"/>
  <c r="BM41" i="8" s="1"/>
  <c r="DA42" i="6"/>
  <c r="CQ16" i="8" s="1"/>
  <c r="CZ42" i="6"/>
  <c r="CP16" i="8" s="1"/>
  <c r="CY42" i="6"/>
  <c r="CO16" i="8" s="1"/>
  <c r="CX42" i="6"/>
  <c r="CN16" i="8" s="1"/>
  <c r="CW42" i="6"/>
  <c r="CM16" i="8" s="1"/>
  <c r="CV42" i="6"/>
  <c r="CL16" i="8" s="1"/>
  <c r="CU42" i="6"/>
  <c r="CK16" i="8" s="1"/>
  <c r="CT42" i="6"/>
  <c r="CJ16" i="8" s="1"/>
  <c r="CS42" i="6"/>
  <c r="CI16" i="8" s="1"/>
  <c r="CR42" i="6"/>
  <c r="CH16" i="8" s="1"/>
  <c r="CQ42" i="6"/>
  <c r="CG16" i="8" s="1"/>
  <c r="CP42" i="6"/>
  <c r="CF16" i="8" s="1"/>
  <c r="CO42" i="6"/>
  <c r="CE16" i="8" s="1"/>
  <c r="CN42" i="6"/>
  <c r="CD16" i="8" s="1"/>
  <c r="CM42" i="6"/>
  <c r="CC16" i="8" s="1"/>
  <c r="CL42" i="6"/>
  <c r="CB16" i="8" s="1"/>
  <c r="CK42" i="6"/>
  <c r="CA16" i="8" s="1"/>
  <c r="CJ42" i="6"/>
  <c r="BZ16" i="8" s="1"/>
  <c r="CI42" i="6"/>
  <c r="BY16" i="8" s="1"/>
  <c r="CH42" i="6"/>
  <c r="BX16" i="8" s="1"/>
  <c r="CG42" i="6"/>
  <c r="BW16" i="8" s="1"/>
  <c r="CF42" i="6"/>
  <c r="BV16" i="8" s="1"/>
  <c r="CE42" i="6"/>
  <c r="BU16" i="8" s="1"/>
  <c r="CD42" i="6"/>
  <c r="BT16" i="8" s="1"/>
  <c r="CC42" i="6"/>
  <c r="BS16" i="8" s="1"/>
  <c r="CB42" i="6"/>
  <c r="BR16" i="8" s="1"/>
  <c r="CA42" i="6"/>
  <c r="BQ16" i="8" s="1"/>
  <c r="BZ42" i="6"/>
  <c r="BP16" i="8" s="1"/>
  <c r="BY42" i="6"/>
  <c r="BO16" i="8" s="1"/>
  <c r="BX42" i="6"/>
  <c r="BN16" i="8" s="1"/>
  <c r="BW42" i="6"/>
  <c r="BM16" i="8" s="1"/>
  <c r="DA40" i="6"/>
  <c r="CQ61" i="8" s="1"/>
  <c r="CZ40" i="6"/>
  <c r="CP61" i="8" s="1"/>
  <c r="CY40" i="6"/>
  <c r="CO61" i="8" s="1"/>
  <c r="CX40" i="6"/>
  <c r="CN61" i="8" s="1"/>
  <c r="CW40" i="6"/>
  <c r="CM61" i="8" s="1"/>
  <c r="CV40" i="6"/>
  <c r="CL61" i="8" s="1"/>
  <c r="CU40" i="6"/>
  <c r="CK61" i="8" s="1"/>
  <c r="CT40" i="6"/>
  <c r="CJ61" i="8" s="1"/>
  <c r="CS40" i="6"/>
  <c r="CI61" i="8" s="1"/>
  <c r="CR40" i="6"/>
  <c r="CH61" i="8" s="1"/>
  <c r="CQ40" i="6"/>
  <c r="CG61" i="8" s="1"/>
  <c r="CP40" i="6"/>
  <c r="CF61" i="8" s="1"/>
  <c r="CO40" i="6"/>
  <c r="CE61" i="8" s="1"/>
  <c r="CN40" i="6"/>
  <c r="CD61" i="8" s="1"/>
  <c r="CM40" i="6"/>
  <c r="CC61" i="8" s="1"/>
  <c r="CL40" i="6"/>
  <c r="CB61" i="8" s="1"/>
  <c r="CK40" i="6"/>
  <c r="CA61" i="8" s="1"/>
  <c r="CJ40" i="6"/>
  <c r="BZ61" i="8" s="1"/>
  <c r="CI40" i="6"/>
  <c r="BY61" i="8" s="1"/>
  <c r="CH40" i="6"/>
  <c r="BX61" i="8" s="1"/>
  <c r="CG40" i="6"/>
  <c r="BW61" i="8" s="1"/>
  <c r="CF40" i="6"/>
  <c r="BV61" i="8" s="1"/>
  <c r="CE40" i="6"/>
  <c r="BU61" i="8" s="1"/>
  <c r="CD40" i="6"/>
  <c r="BT61" i="8" s="1"/>
  <c r="CC40" i="6"/>
  <c r="BS61" i="8" s="1"/>
  <c r="CB40" i="6"/>
  <c r="BR61" i="8" s="1"/>
  <c r="CA40" i="6"/>
  <c r="BQ61" i="8" s="1"/>
  <c r="BZ40" i="6"/>
  <c r="BP61" i="8" s="1"/>
  <c r="BY40" i="6"/>
  <c r="BO61" i="8" s="1"/>
  <c r="BX40" i="6"/>
  <c r="BN61" i="8" s="1"/>
  <c r="BW40" i="6"/>
  <c r="BM61" i="8" s="1"/>
  <c r="DA39" i="6"/>
  <c r="CQ36" i="8" s="1"/>
  <c r="CZ39" i="6"/>
  <c r="CP36" i="8" s="1"/>
  <c r="CY39" i="6"/>
  <c r="CO36" i="8" s="1"/>
  <c r="CX39" i="6"/>
  <c r="CN36" i="8" s="1"/>
  <c r="CW39" i="6"/>
  <c r="CM36" i="8" s="1"/>
  <c r="CV39" i="6"/>
  <c r="CL36" i="8" s="1"/>
  <c r="CU39" i="6"/>
  <c r="CK36" i="8" s="1"/>
  <c r="CT39" i="6"/>
  <c r="CJ36" i="8" s="1"/>
  <c r="CS39" i="6"/>
  <c r="CI36" i="8" s="1"/>
  <c r="CR39" i="6"/>
  <c r="CH36" i="8" s="1"/>
  <c r="CQ39" i="6"/>
  <c r="CG36" i="8" s="1"/>
  <c r="CP39" i="6"/>
  <c r="CF36" i="8" s="1"/>
  <c r="CO39" i="6"/>
  <c r="CE36" i="8" s="1"/>
  <c r="CN39" i="6"/>
  <c r="CD36" i="8" s="1"/>
  <c r="CM39" i="6"/>
  <c r="CC36" i="8" s="1"/>
  <c r="CL39" i="6"/>
  <c r="CB36" i="8" s="1"/>
  <c r="CK39" i="6"/>
  <c r="CA36" i="8" s="1"/>
  <c r="CJ39" i="6"/>
  <c r="BZ36" i="8" s="1"/>
  <c r="CI39" i="6"/>
  <c r="BY36" i="8" s="1"/>
  <c r="CH39" i="6"/>
  <c r="BX36" i="8" s="1"/>
  <c r="CG39" i="6"/>
  <c r="BW36" i="8" s="1"/>
  <c r="CF39" i="6"/>
  <c r="BV36" i="8" s="1"/>
  <c r="CE39" i="6"/>
  <c r="BU36" i="8" s="1"/>
  <c r="CD39" i="6"/>
  <c r="BT36" i="8" s="1"/>
  <c r="CC39" i="6"/>
  <c r="BS36" i="8" s="1"/>
  <c r="CB39" i="6"/>
  <c r="BR36" i="8" s="1"/>
  <c r="CA39" i="6"/>
  <c r="BQ36" i="8" s="1"/>
  <c r="BZ39" i="6"/>
  <c r="BP36" i="8" s="1"/>
  <c r="BY39" i="6"/>
  <c r="BO36" i="8" s="1"/>
  <c r="BX39" i="6"/>
  <c r="BN36" i="8" s="1"/>
  <c r="BW39" i="6"/>
  <c r="BM36" i="8" s="1"/>
  <c r="CZ38" i="6"/>
  <c r="CP11" i="8" s="1"/>
  <c r="CY38" i="6"/>
  <c r="CO11" i="8" s="1"/>
  <c r="CX38" i="6"/>
  <c r="CN11" i="8" s="1"/>
  <c r="CW38" i="6"/>
  <c r="CM11" i="8" s="1"/>
  <c r="CV38" i="6"/>
  <c r="CL11" i="8" s="1"/>
  <c r="CU38" i="6"/>
  <c r="CK11" i="8" s="1"/>
  <c r="CT38" i="6"/>
  <c r="CJ11" i="8" s="1"/>
  <c r="CS38" i="6"/>
  <c r="CI11" i="8" s="1"/>
  <c r="CR38" i="6"/>
  <c r="CH11" i="8" s="1"/>
  <c r="CQ38" i="6"/>
  <c r="CG11" i="8" s="1"/>
  <c r="CP38" i="6"/>
  <c r="CF11" i="8" s="1"/>
  <c r="CO38" i="6"/>
  <c r="CE11" i="8" s="1"/>
  <c r="CN38" i="6"/>
  <c r="CD11" i="8" s="1"/>
  <c r="CM38" i="6"/>
  <c r="CC11" i="8" s="1"/>
  <c r="CL38" i="6"/>
  <c r="CB11" i="8" s="1"/>
  <c r="CK38" i="6"/>
  <c r="CA11" i="8" s="1"/>
  <c r="CJ38" i="6"/>
  <c r="BZ11" i="8" s="1"/>
  <c r="CI38" i="6"/>
  <c r="BY11" i="8" s="1"/>
  <c r="CH38" i="6"/>
  <c r="BX11" i="8" s="1"/>
  <c r="CG38" i="6"/>
  <c r="BW11" i="8" s="1"/>
  <c r="CF38" i="6"/>
  <c r="BV11" i="8" s="1"/>
  <c r="CE38" i="6"/>
  <c r="BU11" i="8" s="1"/>
  <c r="CD38" i="6"/>
  <c r="BT11" i="8" s="1"/>
  <c r="CC38" i="6"/>
  <c r="BS11" i="8" s="1"/>
  <c r="CB38" i="6"/>
  <c r="BR11" i="8" s="1"/>
  <c r="CA38" i="6"/>
  <c r="BQ11" i="8" s="1"/>
  <c r="BZ38" i="6"/>
  <c r="BP11" i="8" s="1"/>
  <c r="BY38" i="6"/>
  <c r="BO11" i="8" s="1"/>
  <c r="BX38" i="6"/>
  <c r="BN11" i="8" s="1"/>
  <c r="BW38" i="6"/>
  <c r="BM11" i="8" s="1"/>
  <c r="CZ33" i="6"/>
  <c r="CY33" i="6"/>
  <c r="CX33" i="6"/>
  <c r="CW33" i="6"/>
  <c r="CV33" i="6"/>
  <c r="CT33" i="6"/>
  <c r="CS33" i="6"/>
  <c r="CR33" i="6"/>
  <c r="CQ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CZ81" i="1"/>
  <c r="CP64" i="8" s="1"/>
  <c r="CY81" i="1"/>
  <c r="CO64" i="8" s="1"/>
  <c r="CX81" i="1"/>
  <c r="CN64" i="8" s="1"/>
  <c r="CW81" i="1"/>
  <c r="CM64" i="8" s="1"/>
  <c r="CV81" i="1"/>
  <c r="CL64" i="8" s="1"/>
  <c r="CU81" i="1"/>
  <c r="CK64" i="8" s="1"/>
  <c r="CT81" i="1"/>
  <c r="CJ64" i="8" s="1"/>
  <c r="CS81" i="1"/>
  <c r="CI64" i="8" s="1"/>
  <c r="CR81" i="1"/>
  <c r="CH64" i="8" s="1"/>
  <c r="CQ81" i="1"/>
  <c r="CG64" i="8" s="1"/>
  <c r="CP81" i="1"/>
  <c r="CF64" i="8" s="1"/>
  <c r="CO81" i="1"/>
  <c r="CE64" i="8" s="1"/>
  <c r="CN81" i="1"/>
  <c r="CD64" i="8" s="1"/>
  <c r="CM81" i="1"/>
  <c r="CC64" i="8" s="1"/>
  <c r="CL81" i="1"/>
  <c r="CB64" i="8" s="1"/>
  <c r="CK81" i="1"/>
  <c r="CA64" i="8" s="1"/>
  <c r="CJ81" i="1"/>
  <c r="BZ64" i="8" s="1"/>
  <c r="CI81" i="1"/>
  <c r="BY64" i="8" s="1"/>
  <c r="CH81" i="1"/>
  <c r="BX64" i="8" s="1"/>
  <c r="CG81" i="1"/>
  <c r="BW64" i="8" s="1"/>
  <c r="CF81" i="1"/>
  <c r="BV64" i="8" s="1"/>
  <c r="CE81" i="1"/>
  <c r="BU64" i="8" s="1"/>
  <c r="CD81" i="1"/>
  <c r="BT64" i="8" s="1"/>
  <c r="CC81" i="1"/>
  <c r="BS64" i="8" s="1"/>
  <c r="CB81" i="1"/>
  <c r="BR64" i="8" s="1"/>
  <c r="CA81" i="1"/>
  <c r="BQ64" i="8" s="1"/>
  <c r="BZ81" i="1"/>
  <c r="BP64" i="8" s="1"/>
  <c r="BY81" i="1"/>
  <c r="BO64" i="8" s="1"/>
  <c r="BX81" i="1"/>
  <c r="BN64" i="8" s="1"/>
  <c r="DA80" i="1"/>
  <c r="CQ39" i="8" s="1"/>
  <c r="CZ80" i="1"/>
  <c r="CP39" i="8" s="1"/>
  <c r="CY80" i="1"/>
  <c r="CO39" i="8" s="1"/>
  <c r="CX80" i="1"/>
  <c r="CN39" i="8" s="1"/>
  <c r="CW80" i="1"/>
  <c r="CM39" i="8" s="1"/>
  <c r="CV80" i="1"/>
  <c r="CL39" i="8" s="1"/>
  <c r="CU80" i="1"/>
  <c r="CK39" i="8" s="1"/>
  <c r="CT80" i="1"/>
  <c r="CJ39" i="8" s="1"/>
  <c r="CS80" i="1"/>
  <c r="CI39" i="8" s="1"/>
  <c r="CR80" i="1"/>
  <c r="CH39" i="8" s="1"/>
  <c r="CQ80" i="1"/>
  <c r="CG39" i="8" s="1"/>
  <c r="CP80" i="1"/>
  <c r="CF39" i="8" s="1"/>
  <c r="CO80" i="1"/>
  <c r="CE39" i="8" s="1"/>
  <c r="CN80" i="1"/>
  <c r="CD39" i="8" s="1"/>
  <c r="CM80" i="1"/>
  <c r="CC39" i="8" s="1"/>
  <c r="CL80" i="1"/>
  <c r="CB39" i="8" s="1"/>
  <c r="CK80" i="1"/>
  <c r="CA39" i="8" s="1"/>
  <c r="CJ80" i="1"/>
  <c r="BZ39" i="8" s="1"/>
  <c r="CI80" i="1"/>
  <c r="BY39" i="8" s="1"/>
  <c r="CH80" i="1"/>
  <c r="BX39" i="8" s="1"/>
  <c r="CG80" i="1"/>
  <c r="BW39" i="8" s="1"/>
  <c r="CF80" i="1"/>
  <c r="BV39" i="8" s="1"/>
  <c r="CE80" i="1"/>
  <c r="BU39" i="8" s="1"/>
  <c r="CD80" i="1"/>
  <c r="BT39" i="8" s="1"/>
  <c r="CC80" i="1"/>
  <c r="BS39" i="8" s="1"/>
  <c r="CB80" i="1"/>
  <c r="BR39" i="8" s="1"/>
  <c r="CA80" i="1"/>
  <c r="BQ39" i="8" s="1"/>
  <c r="BZ80" i="1"/>
  <c r="BP39" i="8" s="1"/>
  <c r="BY80" i="1"/>
  <c r="BO39" i="8" s="1"/>
  <c r="BX80" i="1"/>
  <c r="BN39" i="8" s="1"/>
  <c r="DA79" i="1"/>
  <c r="CQ14" i="8" s="1"/>
  <c r="CZ79" i="1"/>
  <c r="CP14" i="8" s="1"/>
  <c r="CY79" i="1"/>
  <c r="CO14" i="8" s="1"/>
  <c r="CX79" i="1"/>
  <c r="CN14" i="8" s="1"/>
  <c r="CW79" i="1"/>
  <c r="CM14" i="8" s="1"/>
  <c r="CV79" i="1"/>
  <c r="CL14" i="8" s="1"/>
  <c r="CU79" i="1"/>
  <c r="CK14" i="8" s="1"/>
  <c r="CT79" i="1"/>
  <c r="CJ14" i="8" s="1"/>
  <c r="CS79" i="1"/>
  <c r="CI14" i="8" s="1"/>
  <c r="CR79" i="1"/>
  <c r="CH14" i="8" s="1"/>
  <c r="CQ79" i="1"/>
  <c r="CG14" i="8" s="1"/>
  <c r="CP79" i="1"/>
  <c r="CF14" i="8" s="1"/>
  <c r="CO79" i="1"/>
  <c r="CE14" i="8" s="1"/>
  <c r="CN79" i="1"/>
  <c r="CD14" i="8" s="1"/>
  <c r="CM79" i="1"/>
  <c r="CC14" i="8" s="1"/>
  <c r="CL79" i="1"/>
  <c r="CB14" i="8" s="1"/>
  <c r="CK79" i="1"/>
  <c r="CA14" i="8" s="1"/>
  <c r="CJ79" i="1"/>
  <c r="BZ14" i="8" s="1"/>
  <c r="CI79" i="1"/>
  <c r="BY14" i="8" s="1"/>
  <c r="CH79" i="1"/>
  <c r="BX14" i="8" s="1"/>
  <c r="CG79" i="1"/>
  <c r="BW14" i="8" s="1"/>
  <c r="CF79" i="1"/>
  <c r="BV14" i="8" s="1"/>
  <c r="CE79" i="1"/>
  <c r="BU14" i="8" s="1"/>
  <c r="CD79" i="1"/>
  <c r="BT14" i="8" s="1"/>
  <c r="CC79" i="1"/>
  <c r="BS14" i="8" s="1"/>
  <c r="CB79" i="1"/>
  <c r="BR14" i="8" s="1"/>
  <c r="CA79" i="1"/>
  <c r="BQ14" i="8" s="1"/>
  <c r="BZ79" i="1"/>
  <c r="BP14" i="8" s="1"/>
  <c r="BY79" i="1"/>
  <c r="BO14" i="8" s="1"/>
  <c r="BX79" i="1"/>
  <c r="BN14" i="8" s="1"/>
  <c r="DA77" i="1"/>
  <c r="CQ59" i="8" s="1"/>
  <c r="CQ79" i="8" s="1"/>
  <c r="CZ77" i="1"/>
  <c r="CP59" i="8" s="1"/>
  <c r="CY77" i="1"/>
  <c r="CO59" i="8" s="1"/>
  <c r="CX77" i="1"/>
  <c r="CN59" i="8" s="1"/>
  <c r="CW77" i="1"/>
  <c r="CM59" i="8" s="1"/>
  <c r="CV77" i="1"/>
  <c r="CL59" i="8" s="1"/>
  <c r="CU77" i="1"/>
  <c r="CK59" i="8" s="1"/>
  <c r="CT77" i="1"/>
  <c r="CJ59" i="8" s="1"/>
  <c r="CS77" i="1"/>
  <c r="CI59" i="8" s="1"/>
  <c r="CR77" i="1"/>
  <c r="CH59" i="8" s="1"/>
  <c r="CQ77" i="1"/>
  <c r="CG59" i="8" s="1"/>
  <c r="CP77" i="1"/>
  <c r="CF59" i="8" s="1"/>
  <c r="CO77" i="1"/>
  <c r="CE59" i="8" s="1"/>
  <c r="CN77" i="1"/>
  <c r="CD59" i="8" s="1"/>
  <c r="CM77" i="1"/>
  <c r="CC59" i="8" s="1"/>
  <c r="CL77" i="1"/>
  <c r="CB59" i="8" s="1"/>
  <c r="CK77" i="1"/>
  <c r="CA59" i="8" s="1"/>
  <c r="CJ77" i="1"/>
  <c r="BZ59" i="8" s="1"/>
  <c r="CI77" i="1"/>
  <c r="BY59" i="8" s="1"/>
  <c r="CH77" i="1"/>
  <c r="BX59" i="8" s="1"/>
  <c r="CG77" i="1"/>
  <c r="BW59" i="8" s="1"/>
  <c r="CF77" i="1"/>
  <c r="BV59" i="8" s="1"/>
  <c r="CE77" i="1"/>
  <c r="BU59" i="8" s="1"/>
  <c r="CD77" i="1"/>
  <c r="BT59" i="8" s="1"/>
  <c r="CC77" i="1"/>
  <c r="BS59" i="8" s="1"/>
  <c r="CB77" i="1"/>
  <c r="BR59" i="8" s="1"/>
  <c r="CA77" i="1"/>
  <c r="BQ59" i="8" s="1"/>
  <c r="BZ77" i="1"/>
  <c r="BP59" i="8" s="1"/>
  <c r="BY77" i="1"/>
  <c r="BO59" i="8" s="1"/>
  <c r="BX77" i="1"/>
  <c r="BN59" i="8" s="1"/>
  <c r="DA76" i="1"/>
  <c r="CQ34" i="8" s="1"/>
  <c r="CZ76" i="1"/>
  <c r="CP34" i="8" s="1"/>
  <c r="CY76" i="1"/>
  <c r="CO34" i="8" s="1"/>
  <c r="CX76" i="1"/>
  <c r="CN34" i="8" s="1"/>
  <c r="CW76" i="1"/>
  <c r="CM34" i="8" s="1"/>
  <c r="CV76" i="1"/>
  <c r="CL34" i="8" s="1"/>
  <c r="CU76" i="1"/>
  <c r="CK34" i="8" s="1"/>
  <c r="CT76" i="1"/>
  <c r="CJ34" i="8" s="1"/>
  <c r="CS76" i="1"/>
  <c r="CI34" i="8" s="1"/>
  <c r="CR76" i="1"/>
  <c r="CH34" i="8" s="1"/>
  <c r="CQ76" i="1"/>
  <c r="CG34" i="8" s="1"/>
  <c r="CP76" i="1"/>
  <c r="CF34" i="8" s="1"/>
  <c r="CO76" i="1"/>
  <c r="CE34" i="8" s="1"/>
  <c r="CN76" i="1"/>
  <c r="CD34" i="8" s="1"/>
  <c r="CM76" i="1"/>
  <c r="CC34" i="8" s="1"/>
  <c r="CL76" i="1"/>
  <c r="CB34" i="8" s="1"/>
  <c r="CK76" i="1"/>
  <c r="CA34" i="8" s="1"/>
  <c r="CJ76" i="1"/>
  <c r="BZ34" i="8" s="1"/>
  <c r="CI76" i="1"/>
  <c r="BY34" i="8" s="1"/>
  <c r="CH76" i="1"/>
  <c r="BX34" i="8" s="1"/>
  <c r="CG76" i="1"/>
  <c r="BW34" i="8" s="1"/>
  <c r="CF76" i="1"/>
  <c r="BV34" i="8" s="1"/>
  <c r="CE76" i="1"/>
  <c r="BU34" i="8" s="1"/>
  <c r="CD76" i="1"/>
  <c r="BT34" i="8" s="1"/>
  <c r="CC76" i="1"/>
  <c r="BS34" i="8" s="1"/>
  <c r="CB76" i="1"/>
  <c r="BR34" i="8" s="1"/>
  <c r="CA76" i="1"/>
  <c r="BQ34" i="8" s="1"/>
  <c r="BZ76" i="1"/>
  <c r="BP34" i="8" s="1"/>
  <c r="BY76" i="1"/>
  <c r="BO34" i="8" s="1"/>
  <c r="BX76" i="1"/>
  <c r="BN34" i="8" s="1"/>
  <c r="DA75" i="1"/>
  <c r="CQ9" i="8" s="1"/>
  <c r="CZ75" i="1"/>
  <c r="CP9" i="8" s="1"/>
  <c r="CY75" i="1"/>
  <c r="CO9" i="8" s="1"/>
  <c r="CX75" i="1"/>
  <c r="CN9" i="8" s="1"/>
  <c r="CW75" i="1"/>
  <c r="CM9" i="8" s="1"/>
  <c r="CV75" i="1"/>
  <c r="CL9" i="8" s="1"/>
  <c r="CU75" i="1"/>
  <c r="CK9" i="8" s="1"/>
  <c r="CT75" i="1"/>
  <c r="CJ9" i="8" s="1"/>
  <c r="CS75" i="1"/>
  <c r="CI9" i="8" s="1"/>
  <c r="CR75" i="1"/>
  <c r="CH9" i="8" s="1"/>
  <c r="CQ75" i="1"/>
  <c r="CG9" i="8" s="1"/>
  <c r="CP75" i="1"/>
  <c r="CF9" i="8" s="1"/>
  <c r="CO75" i="1"/>
  <c r="CE9" i="8" s="1"/>
  <c r="CN75" i="1"/>
  <c r="CD9" i="8" s="1"/>
  <c r="CM75" i="1"/>
  <c r="CC9" i="8" s="1"/>
  <c r="CL75" i="1"/>
  <c r="CB9" i="8" s="1"/>
  <c r="CK75" i="1"/>
  <c r="CA9" i="8" s="1"/>
  <c r="CJ75" i="1"/>
  <c r="BZ9" i="8" s="1"/>
  <c r="CI75" i="1"/>
  <c r="BY9" i="8" s="1"/>
  <c r="CH75" i="1"/>
  <c r="BX9" i="8" s="1"/>
  <c r="CG75" i="1"/>
  <c r="BW9" i="8" s="1"/>
  <c r="CF75" i="1"/>
  <c r="BV9" i="8" s="1"/>
  <c r="CE75" i="1"/>
  <c r="BU9" i="8" s="1"/>
  <c r="CD75" i="1"/>
  <c r="BT9" i="8" s="1"/>
  <c r="CC75" i="1"/>
  <c r="BS9" i="8" s="1"/>
  <c r="CB75" i="1"/>
  <c r="BR9" i="8" s="1"/>
  <c r="CA75" i="1"/>
  <c r="BQ9" i="8" s="1"/>
  <c r="BZ75" i="1"/>
  <c r="BP9" i="8" s="1"/>
  <c r="BY75" i="1"/>
  <c r="BO9" i="8" s="1"/>
  <c r="BX75" i="1"/>
  <c r="BN9" i="8" s="1"/>
  <c r="CZ45" i="1"/>
  <c r="CY45" i="1"/>
  <c r="CW45" i="1"/>
  <c r="CQ45" i="1"/>
  <c r="CP45" i="1"/>
  <c r="CO45" i="1"/>
  <c r="CN45" i="1"/>
  <c r="CM45" i="1"/>
  <c r="CL45" i="1"/>
  <c r="CK45" i="1"/>
  <c r="CI45" i="1"/>
  <c r="CG45" i="1"/>
  <c r="CF45" i="1"/>
  <c r="CD45" i="1"/>
  <c r="CB45" i="1"/>
  <c r="CA45" i="1"/>
  <c r="BZ45" i="1"/>
  <c r="BY45" i="1"/>
  <c r="BX45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G19" i="1"/>
  <c r="CF19" i="1"/>
  <c r="CD19" i="1"/>
  <c r="CC19" i="1"/>
  <c r="CB19" i="1"/>
  <c r="CA19" i="1"/>
  <c r="BZ19" i="1"/>
  <c r="BY19" i="1"/>
  <c r="BX19" i="1"/>
  <c r="BV45" i="1"/>
  <c r="BV32" i="1"/>
  <c r="BV19" i="1"/>
  <c r="BV33" i="6"/>
  <c r="BV20" i="6"/>
  <c r="BV33" i="4"/>
  <c r="BV20" i="4"/>
  <c r="BV46" i="2"/>
  <c r="BV33" i="2"/>
  <c r="BV9" i="2"/>
  <c r="BV20" i="2" s="1"/>
  <c r="L45" i="1"/>
  <c r="K45" i="1"/>
  <c r="J45" i="1"/>
  <c r="I45" i="1"/>
  <c r="H45" i="1"/>
  <c r="G45" i="1"/>
  <c r="F45" i="1"/>
  <c r="E45" i="1"/>
  <c r="M44" i="1"/>
  <c r="M43" i="1"/>
  <c r="M42" i="1"/>
  <c r="M41" i="1"/>
  <c r="M40" i="1"/>
  <c r="M39" i="1"/>
  <c r="M38" i="1"/>
  <c r="M37" i="1"/>
  <c r="M36" i="1"/>
  <c r="M35" i="1"/>
  <c r="M34" i="1"/>
  <c r="BT33" i="4"/>
  <c r="BU33" i="4"/>
  <c r="BT20" i="4"/>
  <c r="BU20" i="4"/>
  <c r="BT46" i="2"/>
  <c r="BU46" i="2"/>
  <c r="BT33" i="2"/>
  <c r="BU33" i="2"/>
  <c r="BT20" i="2"/>
  <c r="BU20" i="2"/>
  <c r="BT33" i="6"/>
  <c r="BU33" i="6"/>
  <c r="BT20" i="6"/>
  <c r="BU20" i="6"/>
  <c r="BT32" i="1"/>
  <c r="BU32" i="1"/>
  <c r="BT19" i="1"/>
  <c r="BU19" i="1"/>
  <c r="M92" i="4" l="1"/>
  <c r="M91" i="4"/>
  <c r="M90" i="4"/>
  <c r="CC80" i="8"/>
  <c r="CD80" i="8"/>
  <c r="BQ80" i="8"/>
  <c r="BR80" i="8"/>
  <c r="CP80" i="8"/>
  <c r="BS80" i="8"/>
  <c r="CP30" i="8"/>
  <c r="CQ80" i="8"/>
  <c r="CQ30" i="8"/>
  <c r="BR30" i="8"/>
  <c r="BS30" i="8"/>
  <c r="CB80" i="8"/>
  <c r="CH80" i="8"/>
  <c r="CF80" i="8"/>
  <c r="CJ80" i="8"/>
  <c r="CK80" i="8"/>
  <c r="CL80" i="8"/>
  <c r="CM80" i="8"/>
  <c r="CG80" i="8"/>
  <c r="CI80" i="8"/>
  <c r="BN80" i="8"/>
  <c r="BO80" i="8"/>
  <c r="CN80" i="8"/>
  <c r="BP80" i="8"/>
  <c r="CO80" i="8"/>
  <c r="BU80" i="8"/>
  <c r="BW80" i="8"/>
  <c r="BX80" i="8"/>
  <c r="BT80" i="8"/>
  <c r="BV80" i="8"/>
  <c r="BY80" i="8"/>
  <c r="BZ80" i="8"/>
  <c r="CA80" i="8"/>
  <c r="BQ30" i="8"/>
  <c r="CO30" i="8"/>
  <c r="BT30" i="8"/>
  <c r="BY30" i="8"/>
  <c r="BZ30" i="8"/>
  <c r="CA30" i="8"/>
  <c r="CD30" i="8"/>
  <c r="CE30" i="8"/>
  <c r="BU30" i="8"/>
  <c r="BV30" i="8"/>
  <c r="CH30" i="8"/>
  <c r="CG30" i="8"/>
  <c r="CJ30" i="8"/>
  <c r="CK30" i="8"/>
  <c r="BW30" i="8"/>
  <c r="CC30" i="8"/>
  <c r="CF30" i="8"/>
  <c r="CI30" i="8"/>
  <c r="BN30" i="8"/>
  <c r="BO30" i="8"/>
  <c r="CM30" i="8"/>
  <c r="BX30" i="8"/>
  <c r="CB30" i="8"/>
  <c r="CL30" i="8"/>
  <c r="BP30" i="8"/>
  <c r="CN30" i="8"/>
  <c r="BT81" i="8"/>
  <c r="BU81" i="8"/>
  <c r="BV81" i="8"/>
  <c r="CI81" i="8"/>
  <c r="CH81" i="8"/>
  <c r="CG81" i="8"/>
  <c r="CF29" i="8"/>
  <c r="BZ54" i="8"/>
  <c r="BT79" i="8"/>
  <c r="BW54" i="8"/>
  <c r="BQ79" i="8"/>
  <c r="CO79" i="8"/>
  <c r="CD29" i="8"/>
  <c r="CP79" i="8"/>
  <c r="CC29" i="8"/>
  <c r="CJ31" i="8"/>
  <c r="CC56" i="8"/>
  <c r="BX54" i="8"/>
  <c r="BR79" i="8"/>
  <c r="CE29" i="8"/>
  <c r="BY54" i="8"/>
  <c r="BS79" i="8"/>
  <c r="CN56" i="8"/>
  <c r="CO29" i="8"/>
  <c r="BX31" i="8"/>
  <c r="CD79" i="8"/>
  <c r="BP56" i="8"/>
  <c r="CO56" i="8"/>
  <c r="CP29" i="8"/>
  <c r="BR56" i="8"/>
  <c r="CA29" i="8"/>
  <c r="BU54" i="8"/>
  <c r="BO79" i="8"/>
  <c r="CM79" i="8"/>
  <c r="CH31" i="8"/>
  <c r="CA56" i="8"/>
  <c r="BW31" i="8"/>
  <c r="CC79" i="8"/>
  <c r="BQ56" i="8"/>
  <c r="BR29" i="8"/>
  <c r="CJ54" i="8"/>
  <c r="BY31" i="8"/>
  <c r="CP56" i="8"/>
  <c r="CB29" i="8"/>
  <c r="BV54" i="8"/>
  <c r="BP79" i="8"/>
  <c r="CN79" i="8"/>
  <c r="CI31" i="8"/>
  <c r="CB56" i="8"/>
  <c r="BW81" i="8"/>
  <c r="BN31" i="8"/>
  <c r="BU79" i="8"/>
  <c r="BP31" i="8"/>
  <c r="CN31" i="8"/>
  <c r="CG56" i="8"/>
  <c r="CH29" i="8"/>
  <c r="CB54" i="8"/>
  <c r="BV79" i="8"/>
  <c r="BQ31" i="8"/>
  <c r="CO31" i="8"/>
  <c r="CH56" i="8"/>
  <c r="CA81" i="8"/>
  <c r="CD56" i="8"/>
  <c r="CA54" i="8"/>
  <c r="CC54" i="8"/>
  <c r="CP31" i="8"/>
  <c r="CB81" i="8"/>
  <c r="CJ29" i="8"/>
  <c r="BX79" i="8"/>
  <c r="BS31" i="8"/>
  <c r="CQ31" i="8"/>
  <c r="CJ56" i="8"/>
  <c r="CC81" i="8"/>
  <c r="CF56" i="8"/>
  <c r="CI29" i="8"/>
  <c r="BW79" i="8"/>
  <c r="BR31" i="8"/>
  <c r="CI56" i="8"/>
  <c r="CD54" i="8"/>
  <c r="CK29" i="8"/>
  <c r="CE54" i="8"/>
  <c r="BY79" i="8"/>
  <c r="BT31" i="8"/>
  <c r="CK56" i="8"/>
  <c r="CD81" i="8"/>
  <c r="CL29" i="8"/>
  <c r="BZ79" i="8"/>
  <c r="BU31" i="8"/>
  <c r="BN56" i="8"/>
  <c r="CL56" i="8"/>
  <c r="CE81" i="8"/>
  <c r="BO29" i="8"/>
  <c r="CM29" i="8"/>
  <c r="CG54" i="8"/>
  <c r="CA79" i="8"/>
  <c r="BV31" i="8"/>
  <c r="BO56" i="8"/>
  <c r="CM56" i="8"/>
  <c r="CF81" i="8"/>
  <c r="CL31" i="8"/>
  <c r="BO31" i="8"/>
  <c r="CG29" i="8"/>
  <c r="BN29" i="8"/>
  <c r="CF54" i="8"/>
  <c r="BP29" i="8"/>
  <c r="CN29" i="8"/>
  <c r="CH54" i="8"/>
  <c r="CB79" i="8"/>
  <c r="BZ81" i="8"/>
  <c r="CB31" i="8"/>
  <c r="CL81" i="8"/>
  <c r="BX81" i="8"/>
  <c r="BY81" i="8"/>
  <c r="BQ29" i="8"/>
  <c r="CQ29" i="8"/>
  <c r="CE79" i="8"/>
  <c r="BS56" i="8"/>
  <c r="CJ81" i="8"/>
  <c r="BN54" i="8"/>
  <c r="BT56" i="8"/>
  <c r="CM54" i="8"/>
  <c r="BU56" i="8"/>
  <c r="CH79" i="8"/>
  <c r="BO81" i="8"/>
  <c r="BW29" i="8"/>
  <c r="CD31" i="8"/>
  <c r="BW56" i="8"/>
  <c r="BP81" i="8"/>
  <c r="CN81" i="8"/>
  <c r="CK31" i="8"/>
  <c r="BO54" i="8"/>
  <c r="CN54" i="8"/>
  <c r="BQ81" i="8"/>
  <c r="CE56" i="8"/>
  <c r="CM31" i="8"/>
  <c r="BS29" i="8"/>
  <c r="BZ31" i="8"/>
  <c r="CL54" i="8"/>
  <c r="CA31" i="8"/>
  <c r="CG79" i="8"/>
  <c r="BN81" i="8"/>
  <c r="BP54" i="8"/>
  <c r="BV56" i="8"/>
  <c r="CM81" i="8"/>
  <c r="BQ54" i="8"/>
  <c r="CI79" i="8"/>
  <c r="BR54" i="8"/>
  <c r="CJ79" i="8"/>
  <c r="CE31" i="8"/>
  <c r="BX56" i="8"/>
  <c r="CO81" i="8"/>
  <c r="BY29" i="8"/>
  <c r="BS54" i="8"/>
  <c r="CQ54" i="8"/>
  <c r="CK79" i="8"/>
  <c r="CF31" i="8"/>
  <c r="BY56" i="8"/>
  <c r="BR81" i="8"/>
  <c r="CP81" i="8"/>
  <c r="CI54" i="8"/>
  <c r="CK54" i="8"/>
  <c r="BT29" i="8"/>
  <c r="CF79" i="8"/>
  <c r="CK81" i="8"/>
  <c r="BU29" i="8"/>
  <c r="BV29" i="8"/>
  <c r="CC31" i="8"/>
  <c r="CO54" i="8"/>
  <c r="BX29" i="8"/>
  <c r="CP54" i="8"/>
  <c r="BZ29" i="8"/>
  <c r="BT54" i="8"/>
  <c r="BN79" i="8"/>
  <c r="CL79" i="8"/>
  <c r="CG31" i="8"/>
  <c r="BZ56" i="8"/>
  <c r="BS81" i="8"/>
  <c r="CQ81" i="8"/>
  <c r="BM29" i="8"/>
  <c r="BM30" i="8"/>
  <c r="BM31" i="8"/>
  <c r="CQ37" i="8"/>
  <c r="CQ56" i="8" s="1"/>
  <c r="CA40" i="8"/>
  <c r="CA55" i="8" s="1"/>
  <c r="CB40" i="8"/>
  <c r="CB55" i="8" s="1"/>
  <c r="CI40" i="8"/>
  <c r="CI55" i="8" s="1"/>
  <c r="CJ40" i="8"/>
  <c r="CJ55" i="8" s="1"/>
  <c r="CK40" i="8"/>
  <c r="CK55" i="8" s="1"/>
  <c r="BN40" i="8"/>
  <c r="BN55" i="8" s="1"/>
  <c r="CL40" i="8"/>
  <c r="CL55" i="8" s="1"/>
  <c r="BO40" i="8"/>
  <c r="BO55" i="8" s="1"/>
  <c r="CM40" i="8"/>
  <c r="CM55" i="8" s="1"/>
  <c r="BP40" i="8"/>
  <c r="BP55" i="8" s="1"/>
  <c r="CN40" i="8"/>
  <c r="CN55" i="8" s="1"/>
  <c r="BU40" i="8"/>
  <c r="BU55" i="8" s="1"/>
  <c r="BV40" i="8"/>
  <c r="BV55" i="8" s="1"/>
  <c r="CF40" i="8"/>
  <c r="CF55" i="8" s="1"/>
  <c r="BQ40" i="8"/>
  <c r="BQ55" i="8" s="1"/>
  <c r="CO40" i="8"/>
  <c r="CO55" i="8" s="1"/>
  <c r="CP40" i="8"/>
  <c r="CP55" i="8" s="1"/>
  <c r="BX40" i="8"/>
  <c r="BX55" i="8" s="1"/>
  <c r="CH40" i="8"/>
  <c r="CH55" i="8" s="1"/>
  <c r="BS40" i="8"/>
  <c r="BS55" i="8" s="1"/>
  <c r="CQ40" i="8"/>
  <c r="CQ55" i="8" s="1"/>
  <c r="BW40" i="8"/>
  <c r="BW55" i="8" s="1"/>
  <c r="BY40" i="8"/>
  <c r="BY55" i="8" s="1"/>
  <c r="CC40" i="8"/>
  <c r="CC55" i="8" s="1"/>
  <c r="CD40" i="8"/>
  <c r="CD55" i="8" s="1"/>
  <c r="CE40" i="8"/>
  <c r="CE55" i="8" s="1"/>
  <c r="CG40" i="8"/>
  <c r="CG55" i="8" s="1"/>
  <c r="BR40" i="8"/>
  <c r="BR55" i="8" s="1"/>
  <c r="BT40" i="8"/>
  <c r="BT55" i="8" s="1"/>
  <c r="BZ40" i="8"/>
  <c r="BZ55" i="8" s="1"/>
  <c r="HU20" i="6"/>
  <c r="BM80" i="8"/>
  <c r="BM55" i="8"/>
  <c r="BM79" i="8"/>
  <c r="BM54" i="8"/>
  <c r="BM56" i="8"/>
  <c r="BM81" i="8"/>
  <c r="CO90" i="2"/>
  <c r="CO20" i="2"/>
  <c r="M45" i="1"/>
  <c r="K93" i="8"/>
  <c r="E93" i="8"/>
  <c r="C93" i="8"/>
  <c r="CE60" i="8" l="1"/>
  <c r="CE80" i="8" s="1"/>
  <c r="F79" i="4"/>
  <c r="G79" i="4"/>
  <c r="H79" i="4"/>
  <c r="I79" i="4"/>
  <c r="J79" i="4"/>
  <c r="K79" i="4"/>
  <c r="L79" i="4"/>
  <c r="N79" i="4"/>
  <c r="O79" i="4"/>
  <c r="P79" i="4"/>
  <c r="F42" i="8" s="1"/>
  <c r="Q79" i="4"/>
  <c r="G42" i="8" s="1"/>
  <c r="R79" i="4"/>
  <c r="H42" i="8" s="1"/>
  <c r="S79" i="4"/>
  <c r="I42" i="8" s="1"/>
  <c r="T79" i="4"/>
  <c r="J42" i="8" s="1"/>
  <c r="U79" i="4"/>
  <c r="K42" i="8" s="1"/>
  <c r="V79" i="4"/>
  <c r="L42" i="8" s="1"/>
  <c r="W79" i="4"/>
  <c r="M42" i="8" s="1"/>
  <c r="X79" i="4"/>
  <c r="N42" i="8" s="1"/>
  <c r="Y79" i="4"/>
  <c r="O42" i="8" s="1"/>
  <c r="Z79" i="4"/>
  <c r="P42" i="8" s="1"/>
  <c r="AA79" i="4"/>
  <c r="Q42" i="8" s="1"/>
  <c r="AB79" i="4"/>
  <c r="R42" i="8" s="1"/>
  <c r="AC79" i="4"/>
  <c r="S42" i="8" s="1"/>
  <c r="AD79" i="4"/>
  <c r="T42" i="8" s="1"/>
  <c r="AE79" i="4"/>
  <c r="U42" i="8" s="1"/>
  <c r="AF79" i="4"/>
  <c r="V42" i="8" s="1"/>
  <c r="AG79" i="4"/>
  <c r="W42" i="8" s="1"/>
  <c r="AH79" i="4"/>
  <c r="X42" i="8" s="1"/>
  <c r="AI79" i="4"/>
  <c r="Y42" i="8" s="1"/>
  <c r="AJ79" i="4"/>
  <c r="Z42" i="8" s="1"/>
  <c r="AK79" i="4"/>
  <c r="AA42" i="8" s="1"/>
  <c r="AL79" i="4"/>
  <c r="AB42" i="8" s="1"/>
  <c r="AM79" i="4"/>
  <c r="AC42" i="8" s="1"/>
  <c r="AN79" i="4"/>
  <c r="AD42" i="8" s="1"/>
  <c r="AO79" i="4"/>
  <c r="AE42" i="8" s="1"/>
  <c r="AP79" i="4"/>
  <c r="AF42" i="8" s="1"/>
  <c r="AQ79" i="4"/>
  <c r="AR79" i="4"/>
  <c r="AS79" i="4"/>
  <c r="AI42" i="8" s="1"/>
  <c r="AT79" i="4"/>
  <c r="AJ42" i="8" s="1"/>
  <c r="AU79" i="4"/>
  <c r="AK42" i="8" s="1"/>
  <c r="AV79" i="4"/>
  <c r="AL42" i="8" s="1"/>
  <c r="AW79" i="4"/>
  <c r="AM42" i="8" s="1"/>
  <c r="AX79" i="4"/>
  <c r="AN42" i="8" s="1"/>
  <c r="AY79" i="4"/>
  <c r="AO42" i="8" s="1"/>
  <c r="AZ79" i="4"/>
  <c r="AP42" i="8" s="1"/>
  <c r="BA79" i="4"/>
  <c r="AQ42" i="8" s="1"/>
  <c r="BB79" i="4"/>
  <c r="AR42" i="8" s="1"/>
  <c r="BC79" i="4"/>
  <c r="AS42" i="8" s="1"/>
  <c r="BD79" i="4"/>
  <c r="AT42" i="8" s="1"/>
  <c r="BE79" i="4"/>
  <c r="AU42" i="8" s="1"/>
  <c r="BF79" i="4"/>
  <c r="AV42" i="8" s="1"/>
  <c r="BG79" i="4"/>
  <c r="AW42" i="8" s="1"/>
  <c r="BH79" i="4"/>
  <c r="AX42" i="8" s="1"/>
  <c r="BI79" i="4"/>
  <c r="AY42" i="8" s="1"/>
  <c r="BJ79" i="4"/>
  <c r="AZ42" i="8" s="1"/>
  <c r="BK79" i="4"/>
  <c r="BA42" i="8" s="1"/>
  <c r="BL79" i="4"/>
  <c r="BB42" i="8" s="1"/>
  <c r="BM79" i="4"/>
  <c r="BC42" i="8" s="1"/>
  <c r="BN79" i="4"/>
  <c r="BD42" i="8" s="1"/>
  <c r="BO79" i="4"/>
  <c r="BE42" i="8" s="1"/>
  <c r="BP79" i="4"/>
  <c r="BF42" i="8" s="1"/>
  <c r="BQ79" i="4"/>
  <c r="BG42" i="8" s="1"/>
  <c r="BR79" i="4"/>
  <c r="BH42" i="8" s="1"/>
  <c r="BS79" i="4"/>
  <c r="BI42" i="8" s="1"/>
  <c r="BT79" i="4"/>
  <c r="BJ42" i="8" s="1"/>
  <c r="BU79" i="4"/>
  <c r="BK42" i="8" s="1"/>
  <c r="BV79" i="4"/>
  <c r="BL42" i="8" s="1"/>
  <c r="F80" i="4"/>
  <c r="G80" i="4"/>
  <c r="H80" i="4"/>
  <c r="I80" i="4"/>
  <c r="J80" i="4"/>
  <c r="K80" i="4"/>
  <c r="L80" i="4"/>
  <c r="N80" i="4"/>
  <c r="O80" i="4"/>
  <c r="E67" i="8" s="1"/>
  <c r="P80" i="4"/>
  <c r="F67" i="8" s="1"/>
  <c r="Q80" i="4"/>
  <c r="G67" i="8" s="1"/>
  <c r="R80" i="4"/>
  <c r="H67" i="8" s="1"/>
  <c r="S80" i="4"/>
  <c r="I67" i="8" s="1"/>
  <c r="T80" i="4"/>
  <c r="J67" i="8" s="1"/>
  <c r="U80" i="4"/>
  <c r="K67" i="8" s="1"/>
  <c r="V80" i="4"/>
  <c r="L67" i="8" s="1"/>
  <c r="W80" i="4"/>
  <c r="M67" i="8" s="1"/>
  <c r="X80" i="4"/>
  <c r="N67" i="8" s="1"/>
  <c r="Y80" i="4"/>
  <c r="O67" i="8" s="1"/>
  <c r="Z80" i="4"/>
  <c r="P67" i="8" s="1"/>
  <c r="AA80" i="4"/>
  <c r="Q67" i="8" s="1"/>
  <c r="AB80" i="4"/>
  <c r="R67" i="8" s="1"/>
  <c r="AC80" i="4"/>
  <c r="S67" i="8" s="1"/>
  <c r="AD80" i="4"/>
  <c r="T67" i="8" s="1"/>
  <c r="AE80" i="4"/>
  <c r="U67" i="8" s="1"/>
  <c r="AF80" i="4"/>
  <c r="V67" i="8" s="1"/>
  <c r="AG80" i="4"/>
  <c r="W67" i="8" s="1"/>
  <c r="AH80" i="4"/>
  <c r="X67" i="8" s="1"/>
  <c r="AI80" i="4"/>
  <c r="Y67" i="8" s="1"/>
  <c r="AJ80" i="4"/>
  <c r="Z67" i="8" s="1"/>
  <c r="AK80" i="4"/>
  <c r="AA67" i="8" s="1"/>
  <c r="AL80" i="4"/>
  <c r="AB67" i="8" s="1"/>
  <c r="AM80" i="4"/>
  <c r="AC67" i="8" s="1"/>
  <c r="AN80" i="4"/>
  <c r="AD67" i="8" s="1"/>
  <c r="AO80" i="4"/>
  <c r="AE67" i="8" s="1"/>
  <c r="AP80" i="4"/>
  <c r="AF67" i="8" s="1"/>
  <c r="AQ80" i="4"/>
  <c r="AG67" i="8" s="1"/>
  <c r="AR80" i="4"/>
  <c r="AH67" i="8" s="1"/>
  <c r="AS80" i="4"/>
  <c r="AI67" i="8" s="1"/>
  <c r="AT80" i="4"/>
  <c r="AJ67" i="8" s="1"/>
  <c r="AU80" i="4"/>
  <c r="AK67" i="8" s="1"/>
  <c r="AV80" i="4"/>
  <c r="AL67" i="8" s="1"/>
  <c r="AW80" i="4"/>
  <c r="AM67" i="8" s="1"/>
  <c r="AX80" i="4"/>
  <c r="AN67" i="8" s="1"/>
  <c r="AY80" i="4"/>
  <c r="AO67" i="8" s="1"/>
  <c r="AZ80" i="4"/>
  <c r="AP67" i="8" s="1"/>
  <c r="BA80" i="4"/>
  <c r="AQ67" i="8" s="1"/>
  <c r="BB80" i="4"/>
  <c r="AR67" i="8" s="1"/>
  <c r="BC80" i="4"/>
  <c r="AS67" i="8" s="1"/>
  <c r="BD80" i="4"/>
  <c r="AT67" i="8" s="1"/>
  <c r="BE80" i="4"/>
  <c r="AU67" i="8" s="1"/>
  <c r="BF80" i="4"/>
  <c r="AV67" i="8" s="1"/>
  <c r="BG80" i="4"/>
  <c r="AW67" i="8" s="1"/>
  <c r="BH80" i="4"/>
  <c r="AX67" i="8" s="1"/>
  <c r="BI80" i="4"/>
  <c r="AY67" i="8" s="1"/>
  <c r="BJ80" i="4"/>
  <c r="AZ67" i="8" s="1"/>
  <c r="BK80" i="4"/>
  <c r="BA67" i="8" s="1"/>
  <c r="BL80" i="4"/>
  <c r="BB67" i="8" s="1"/>
  <c r="BM80" i="4"/>
  <c r="BC67" i="8" s="1"/>
  <c r="BN80" i="4"/>
  <c r="BD67" i="8" s="1"/>
  <c r="BO80" i="4"/>
  <c r="BE67" i="8" s="1"/>
  <c r="BP80" i="4"/>
  <c r="BF67" i="8" s="1"/>
  <c r="BQ80" i="4"/>
  <c r="BG67" i="8" s="1"/>
  <c r="BR80" i="4"/>
  <c r="BH67" i="8" s="1"/>
  <c r="BS80" i="4"/>
  <c r="BI67" i="8" s="1"/>
  <c r="BT80" i="4"/>
  <c r="BJ67" i="8" s="1"/>
  <c r="BU80" i="4"/>
  <c r="BK67" i="8" s="1"/>
  <c r="BV80" i="4"/>
  <c r="BL67" i="8" s="1"/>
  <c r="F75" i="4"/>
  <c r="G75" i="4"/>
  <c r="H75" i="4"/>
  <c r="I75" i="4"/>
  <c r="J75" i="4"/>
  <c r="K75" i="4"/>
  <c r="L75" i="4"/>
  <c r="N75" i="4"/>
  <c r="O75" i="4"/>
  <c r="P75" i="4"/>
  <c r="F37" i="8" s="1"/>
  <c r="Q75" i="4"/>
  <c r="G37" i="8" s="1"/>
  <c r="R75" i="4"/>
  <c r="H37" i="8" s="1"/>
  <c r="S75" i="4"/>
  <c r="I37" i="8" s="1"/>
  <c r="T75" i="4"/>
  <c r="J37" i="8" s="1"/>
  <c r="U75" i="4"/>
  <c r="K37" i="8" s="1"/>
  <c r="V75" i="4"/>
  <c r="L37" i="8" s="1"/>
  <c r="W75" i="4"/>
  <c r="M37" i="8" s="1"/>
  <c r="X75" i="4"/>
  <c r="N37" i="8" s="1"/>
  <c r="Y75" i="4"/>
  <c r="O37" i="8" s="1"/>
  <c r="Z75" i="4"/>
  <c r="P37" i="8" s="1"/>
  <c r="AA75" i="4"/>
  <c r="Q37" i="8" s="1"/>
  <c r="AB75" i="4"/>
  <c r="R37" i="8" s="1"/>
  <c r="AC75" i="4"/>
  <c r="S37" i="8" s="1"/>
  <c r="AD75" i="4"/>
  <c r="T37" i="8" s="1"/>
  <c r="AE75" i="4"/>
  <c r="U37" i="8" s="1"/>
  <c r="AF75" i="4"/>
  <c r="V37" i="8" s="1"/>
  <c r="AG75" i="4"/>
  <c r="W37" i="8" s="1"/>
  <c r="AH75" i="4"/>
  <c r="X37" i="8" s="1"/>
  <c r="AI75" i="4"/>
  <c r="Y37" i="8" s="1"/>
  <c r="AJ75" i="4"/>
  <c r="Z37" i="8" s="1"/>
  <c r="AK75" i="4"/>
  <c r="AA37" i="8" s="1"/>
  <c r="AL75" i="4"/>
  <c r="AB37" i="8" s="1"/>
  <c r="AM75" i="4"/>
  <c r="AC37" i="8" s="1"/>
  <c r="AN75" i="4"/>
  <c r="AD37" i="8" s="1"/>
  <c r="AO75" i="4"/>
  <c r="AE37" i="8" s="1"/>
  <c r="AP75" i="4"/>
  <c r="AF37" i="8" s="1"/>
  <c r="AQ75" i="4"/>
  <c r="AR75" i="4"/>
  <c r="AS75" i="4"/>
  <c r="AI37" i="8" s="1"/>
  <c r="AT75" i="4"/>
  <c r="AJ37" i="8" s="1"/>
  <c r="AU75" i="4"/>
  <c r="AK37" i="8" s="1"/>
  <c r="AV75" i="4"/>
  <c r="AL37" i="8" s="1"/>
  <c r="AW75" i="4"/>
  <c r="AM37" i="8" s="1"/>
  <c r="AX75" i="4"/>
  <c r="AN37" i="8" s="1"/>
  <c r="AY75" i="4"/>
  <c r="AO37" i="8" s="1"/>
  <c r="AZ75" i="4"/>
  <c r="AP37" i="8" s="1"/>
  <c r="BA75" i="4"/>
  <c r="AQ37" i="8" s="1"/>
  <c r="BB75" i="4"/>
  <c r="AR37" i="8" s="1"/>
  <c r="BC75" i="4"/>
  <c r="AS37" i="8" s="1"/>
  <c r="BD75" i="4"/>
  <c r="AT37" i="8" s="1"/>
  <c r="BE75" i="4"/>
  <c r="AU37" i="8" s="1"/>
  <c r="BF75" i="4"/>
  <c r="AV37" i="8" s="1"/>
  <c r="BG75" i="4"/>
  <c r="AW37" i="8" s="1"/>
  <c r="BH75" i="4"/>
  <c r="AX37" i="8" s="1"/>
  <c r="BI75" i="4"/>
  <c r="AY37" i="8" s="1"/>
  <c r="BJ75" i="4"/>
  <c r="AZ37" i="8" s="1"/>
  <c r="BK75" i="4"/>
  <c r="BA37" i="8" s="1"/>
  <c r="BL75" i="4"/>
  <c r="BB37" i="8" s="1"/>
  <c r="BM75" i="4"/>
  <c r="BC37" i="8" s="1"/>
  <c r="BN75" i="4"/>
  <c r="BD37" i="8" s="1"/>
  <c r="BO75" i="4"/>
  <c r="BE37" i="8" s="1"/>
  <c r="BP75" i="4"/>
  <c r="BF37" i="8" s="1"/>
  <c r="BQ75" i="4"/>
  <c r="BG37" i="8" s="1"/>
  <c r="BR75" i="4"/>
  <c r="BH37" i="8" s="1"/>
  <c r="BS75" i="4"/>
  <c r="BI37" i="8" s="1"/>
  <c r="BT75" i="4"/>
  <c r="BJ37" i="8" s="1"/>
  <c r="BU75" i="4"/>
  <c r="BK37" i="8" s="1"/>
  <c r="BV75" i="4"/>
  <c r="BL37" i="8" s="1"/>
  <c r="F76" i="4"/>
  <c r="G76" i="4"/>
  <c r="H76" i="4"/>
  <c r="I76" i="4"/>
  <c r="J76" i="4"/>
  <c r="K76" i="4"/>
  <c r="L76" i="4"/>
  <c r="N76" i="4"/>
  <c r="O76" i="4"/>
  <c r="E62" i="8" s="1"/>
  <c r="P76" i="4"/>
  <c r="F62" i="8" s="1"/>
  <c r="Q76" i="4"/>
  <c r="G62" i="8" s="1"/>
  <c r="R76" i="4"/>
  <c r="H62" i="8" s="1"/>
  <c r="S76" i="4"/>
  <c r="I62" i="8" s="1"/>
  <c r="T76" i="4"/>
  <c r="J62" i="8" s="1"/>
  <c r="U76" i="4"/>
  <c r="K62" i="8" s="1"/>
  <c r="V76" i="4"/>
  <c r="L62" i="8" s="1"/>
  <c r="W76" i="4"/>
  <c r="M62" i="8" s="1"/>
  <c r="X76" i="4"/>
  <c r="N62" i="8" s="1"/>
  <c r="Y76" i="4"/>
  <c r="O62" i="8" s="1"/>
  <c r="Z76" i="4"/>
  <c r="P62" i="8" s="1"/>
  <c r="AA76" i="4"/>
  <c r="Q62" i="8" s="1"/>
  <c r="AB76" i="4"/>
  <c r="R62" i="8" s="1"/>
  <c r="AC76" i="4"/>
  <c r="S62" i="8" s="1"/>
  <c r="AD76" i="4"/>
  <c r="T62" i="8" s="1"/>
  <c r="AE76" i="4"/>
  <c r="U62" i="8" s="1"/>
  <c r="AF76" i="4"/>
  <c r="V62" i="8" s="1"/>
  <c r="AG76" i="4"/>
  <c r="W62" i="8" s="1"/>
  <c r="AH76" i="4"/>
  <c r="X62" i="8" s="1"/>
  <c r="AI76" i="4"/>
  <c r="Y62" i="8" s="1"/>
  <c r="AJ76" i="4"/>
  <c r="Z62" i="8" s="1"/>
  <c r="AK76" i="4"/>
  <c r="AA62" i="8" s="1"/>
  <c r="AL76" i="4"/>
  <c r="AB62" i="8" s="1"/>
  <c r="AM76" i="4"/>
  <c r="AC62" i="8" s="1"/>
  <c r="AN76" i="4"/>
  <c r="AD62" i="8" s="1"/>
  <c r="AO76" i="4"/>
  <c r="AE62" i="8" s="1"/>
  <c r="AP76" i="4"/>
  <c r="AF62" i="8" s="1"/>
  <c r="AQ76" i="4"/>
  <c r="AG62" i="8" s="1"/>
  <c r="AR76" i="4"/>
  <c r="AH62" i="8" s="1"/>
  <c r="AS76" i="4"/>
  <c r="AI62" i="8" s="1"/>
  <c r="AT76" i="4"/>
  <c r="AJ62" i="8" s="1"/>
  <c r="AU76" i="4"/>
  <c r="AK62" i="8" s="1"/>
  <c r="AV76" i="4"/>
  <c r="AL62" i="8" s="1"/>
  <c r="AW76" i="4"/>
  <c r="AM62" i="8" s="1"/>
  <c r="AX76" i="4"/>
  <c r="AN62" i="8" s="1"/>
  <c r="AY76" i="4"/>
  <c r="AO62" i="8" s="1"/>
  <c r="AZ76" i="4"/>
  <c r="AP62" i="8" s="1"/>
  <c r="BA76" i="4"/>
  <c r="AQ62" i="8" s="1"/>
  <c r="BB76" i="4"/>
  <c r="AR62" i="8" s="1"/>
  <c r="BC76" i="4"/>
  <c r="AS62" i="8" s="1"/>
  <c r="BD76" i="4"/>
  <c r="AT62" i="8" s="1"/>
  <c r="BE76" i="4"/>
  <c r="AU62" i="8" s="1"/>
  <c r="BF76" i="4"/>
  <c r="AV62" i="8" s="1"/>
  <c r="BG76" i="4"/>
  <c r="AW62" i="8" s="1"/>
  <c r="BH76" i="4"/>
  <c r="AX62" i="8" s="1"/>
  <c r="BI76" i="4"/>
  <c r="AY62" i="8" s="1"/>
  <c r="BJ76" i="4"/>
  <c r="AZ62" i="8" s="1"/>
  <c r="BK76" i="4"/>
  <c r="BA62" i="8" s="1"/>
  <c r="BL76" i="4"/>
  <c r="BB62" i="8" s="1"/>
  <c r="BM76" i="4"/>
  <c r="BC62" i="8" s="1"/>
  <c r="BN76" i="4"/>
  <c r="BD62" i="8" s="1"/>
  <c r="BO76" i="4"/>
  <c r="BE62" i="8" s="1"/>
  <c r="BP76" i="4"/>
  <c r="BF62" i="8" s="1"/>
  <c r="BQ76" i="4"/>
  <c r="BG62" i="8" s="1"/>
  <c r="BR76" i="4"/>
  <c r="BH62" i="8" s="1"/>
  <c r="BS76" i="4"/>
  <c r="BI62" i="8" s="1"/>
  <c r="BT76" i="4"/>
  <c r="BJ62" i="8" s="1"/>
  <c r="BU76" i="4"/>
  <c r="BK62" i="8" s="1"/>
  <c r="BV76" i="4"/>
  <c r="BL62" i="8" s="1"/>
  <c r="E80" i="4"/>
  <c r="E79" i="4"/>
  <c r="E78" i="4"/>
  <c r="E76" i="4"/>
  <c r="E75" i="4"/>
  <c r="E74" i="4"/>
  <c r="F97" i="2"/>
  <c r="G97" i="2"/>
  <c r="H97" i="2"/>
  <c r="I97" i="2"/>
  <c r="J97" i="2"/>
  <c r="K97" i="2"/>
  <c r="L97" i="2"/>
  <c r="N97" i="2"/>
  <c r="O97" i="2"/>
  <c r="E45" i="8" s="1"/>
  <c r="P97" i="2"/>
  <c r="F45" i="8" s="1"/>
  <c r="Q97" i="2"/>
  <c r="G45" i="8" s="1"/>
  <c r="R97" i="2"/>
  <c r="H45" i="8" s="1"/>
  <c r="S97" i="2"/>
  <c r="I45" i="8" s="1"/>
  <c r="T97" i="2"/>
  <c r="J45" i="8" s="1"/>
  <c r="U97" i="2"/>
  <c r="K45" i="8" s="1"/>
  <c r="V97" i="2"/>
  <c r="L45" i="8" s="1"/>
  <c r="W97" i="2"/>
  <c r="M45" i="8" s="1"/>
  <c r="X97" i="2"/>
  <c r="N45" i="8" s="1"/>
  <c r="Y97" i="2"/>
  <c r="O45" i="8" s="1"/>
  <c r="Z97" i="2"/>
  <c r="P45" i="8" s="1"/>
  <c r="AA97" i="2"/>
  <c r="Q45" i="8" s="1"/>
  <c r="AB97" i="2"/>
  <c r="R45" i="8" s="1"/>
  <c r="AC97" i="2"/>
  <c r="S45" i="8" s="1"/>
  <c r="AD97" i="2"/>
  <c r="T45" i="8" s="1"/>
  <c r="AE97" i="2"/>
  <c r="U45" i="8" s="1"/>
  <c r="AF97" i="2"/>
  <c r="V45" i="8" s="1"/>
  <c r="AG97" i="2"/>
  <c r="W45" i="8" s="1"/>
  <c r="AH97" i="2"/>
  <c r="X45" i="8" s="1"/>
  <c r="AI97" i="2"/>
  <c r="Y45" i="8" s="1"/>
  <c r="AJ97" i="2"/>
  <c r="Z45" i="8" s="1"/>
  <c r="AK97" i="2"/>
  <c r="AA45" i="8" s="1"/>
  <c r="AL97" i="2"/>
  <c r="AB45" i="8" s="1"/>
  <c r="AM97" i="2"/>
  <c r="AC45" i="8" s="1"/>
  <c r="AN97" i="2"/>
  <c r="AD45" i="8" s="1"/>
  <c r="AO97" i="2"/>
  <c r="AE45" i="8" s="1"/>
  <c r="AP97" i="2"/>
  <c r="AF45" i="8" s="1"/>
  <c r="AQ97" i="2"/>
  <c r="AR97" i="2"/>
  <c r="AH45" i="8" s="1"/>
  <c r="AS97" i="2"/>
  <c r="AI45" i="8" s="1"/>
  <c r="AT97" i="2"/>
  <c r="AJ45" i="8" s="1"/>
  <c r="AU97" i="2"/>
  <c r="AK45" i="8" s="1"/>
  <c r="AV97" i="2"/>
  <c r="AL45" i="8" s="1"/>
  <c r="AW97" i="2"/>
  <c r="AM45" i="8" s="1"/>
  <c r="AX97" i="2"/>
  <c r="AN45" i="8" s="1"/>
  <c r="AY97" i="2"/>
  <c r="AO45" i="8" s="1"/>
  <c r="AZ97" i="2"/>
  <c r="AP45" i="8" s="1"/>
  <c r="BA97" i="2"/>
  <c r="AQ45" i="8" s="1"/>
  <c r="BB97" i="2"/>
  <c r="AR45" i="8" s="1"/>
  <c r="BC97" i="2"/>
  <c r="AS45" i="8" s="1"/>
  <c r="BD97" i="2"/>
  <c r="AT45" i="8" s="1"/>
  <c r="BE97" i="2"/>
  <c r="AU45" i="8" s="1"/>
  <c r="BF97" i="2"/>
  <c r="AV45" i="8" s="1"/>
  <c r="BG97" i="2"/>
  <c r="AW45" i="8" s="1"/>
  <c r="BH97" i="2"/>
  <c r="AX45" i="8" s="1"/>
  <c r="BI97" i="2"/>
  <c r="AY45" i="8" s="1"/>
  <c r="BJ97" i="2"/>
  <c r="AZ45" i="8" s="1"/>
  <c r="BK97" i="2"/>
  <c r="BA45" i="8" s="1"/>
  <c r="BL97" i="2"/>
  <c r="BB45" i="8" s="1"/>
  <c r="BM97" i="2"/>
  <c r="BC45" i="8" s="1"/>
  <c r="BN97" i="2"/>
  <c r="BO97" i="2"/>
  <c r="BE45" i="8" s="1"/>
  <c r="BP97" i="2"/>
  <c r="BF45" i="8" s="1"/>
  <c r="BQ97" i="2"/>
  <c r="BG45" i="8" s="1"/>
  <c r="BR97" i="2"/>
  <c r="BH45" i="8" s="1"/>
  <c r="BS97" i="2"/>
  <c r="BI45" i="8" s="1"/>
  <c r="BT97" i="2"/>
  <c r="BJ45" i="8" s="1"/>
  <c r="BU97" i="2"/>
  <c r="BK45" i="8" s="1"/>
  <c r="BV97" i="2"/>
  <c r="BL45" i="8" s="1"/>
  <c r="F98" i="2"/>
  <c r="G98" i="2"/>
  <c r="H98" i="2"/>
  <c r="I98" i="2"/>
  <c r="J98" i="2"/>
  <c r="K98" i="2"/>
  <c r="L98" i="2"/>
  <c r="N98" i="2"/>
  <c r="O98" i="2"/>
  <c r="E70" i="8" s="1"/>
  <c r="P98" i="2"/>
  <c r="F70" i="8" s="1"/>
  <c r="Q98" i="2"/>
  <c r="G70" i="8" s="1"/>
  <c r="R98" i="2"/>
  <c r="H70" i="8" s="1"/>
  <c r="S98" i="2"/>
  <c r="I70" i="8" s="1"/>
  <c r="T98" i="2"/>
  <c r="J70" i="8" s="1"/>
  <c r="U98" i="2"/>
  <c r="K70" i="8" s="1"/>
  <c r="V98" i="2"/>
  <c r="L70" i="8" s="1"/>
  <c r="W98" i="2"/>
  <c r="M70" i="8" s="1"/>
  <c r="X98" i="2"/>
  <c r="N70" i="8" s="1"/>
  <c r="Y98" i="2"/>
  <c r="O70" i="8" s="1"/>
  <c r="Z98" i="2"/>
  <c r="P70" i="8" s="1"/>
  <c r="AA98" i="2"/>
  <c r="Q70" i="8" s="1"/>
  <c r="AB98" i="2"/>
  <c r="R70" i="8" s="1"/>
  <c r="AC98" i="2"/>
  <c r="S70" i="8" s="1"/>
  <c r="AD98" i="2"/>
  <c r="T70" i="8" s="1"/>
  <c r="AE98" i="2"/>
  <c r="U70" i="8" s="1"/>
  <c r="AF98" i="2"/>
  <c r="V70" i="8" s="1"/>
  <c r="AG98" i="2"/>
  <c r="W70" i="8" s="1"/>
  <c r="AH98" i="2"/>
  <c r="X70" i="8" s="1"/>
  <c r="AI98" i="2"/>
  <c r="Y70" i="8" s="1"/>
  <c r="AJ98" i="2"/>
  <c r="Z70" i="8" s="1"/>
  <c r="AK98" i="2"/>
  <c r="AA70" i="8" s="1"/>
  <c r="AL98" i="2"/>
  <c r="AB70" i="8" s="1"/>
  <c r="AM98" i="2"/>
  <c r="AC70" i="8" s="1"/>
  <c r="AN98" i="2"/>
  <c r="AD70" i="8" s="1"/>
  <c r="AO98" i="2"/>
  <c r="AE70" i="8" s="1"/>
  <c r="AP98" i="2"/>
  <c r="AF70" i="8" s="1"/>
  <c r="AQ98" i="2"/>
  <c r="AR98" i="2"/>
  <c r="AH70" i="8" s="1"/>
  <c r="AS98" i="2"/>
  <c r="AI70" i="8" s="1"/>
  <c r="AT98" i="2"/>
  <c r="AJ70" i="8" s="1"/>
  <c r="AU98" i="2"/>
  <c r="AK70" i="8" s="1"/>
  <c r="AV98" i="2"/>
  <c r="AL70" i="8" s="1"/>
  <c r="AW98" i="2"/>
  <c r="AM70" i="8" s="1"/>
  <c r="AX98" i="2"/>
  <c r="AN70" i="8" s="1"/>
  <c r="AY98" i="2"/>
  <c r="AO70" i="8" s="1"/>
  <c r="AZ98" i="2"/>
  <c r="AP70" i="8" s="1"/>
  <c r="BA98" i="2"/>
  <c r="AQ70" i="8" s="1"/>
  <c r="BB98" i="2"/>
  <c r="AR70" i="8" s="1"/>
  <c r="BC98" i="2"/>
  <c r="AS70" i="8" s="1"/>
  <c r="BD98" i="2"/>
  <c r="AT70" i="8" s="1"/>
  <c r="BE98" i="2"/>
  <c r="AU70" i="8" s="1"/>
  <c r="BF98" i="2"/>
  <c r="AV70" i="8" s="1"/>
  <c r="BG98" i="2"/>
  <c r="AW70" i="8" s="1"/>
  <c r="BH98" i="2"/>
  <c r="AX70" i="8" s="1"/>
  <c r="BI98" i="2"/>
  <c r="AY70" i="8" s="1"/>
  <c r="BJ98" i="2"/>
  <c r="AZ70" i="8" s="1"/>
  <c r="BK98" i="2"/>
  <c r="BA70" i="8" s="1"/>
  <c r="BL98" i="2"/>
  <c r="BB70" i="8" s="1"/>
  <c r="BM98" i="2"/>
  <c r="BC70" i="8" s="1"/>
  <c r="BN98" i="2"/>
  <c r="BO98" i="2"/>
  <c r="BE70" i="8" s="1"/>
  <c r="BP98" i="2"/>
  <c r="BF70" i="8" s="1"/>
  <c r="BQ98" i="2"/>
  <c r="BG70" i="8" s="1"/>
  <c r="BR98" i="2"/>
  <c r="BH70" i="8" s="1"/>
  <c r="BS98" i="2"/>
  <c r="BI70" i="8" s="1"/>
  <c r="BT98" i="2"/>
  <c r="BJ70" i="8" s="1"/>
  <c r="BU98" i="2"/>
  <c r="BK70" i="8" s="1"/>
  <c r="BV98" i="2"/>
  <c r="BL70" i="8" s="1"/>
  <c r="F93" i="2"/>
  <c r="G93" i="2"/>
  <c r="H93" i="2"/>
  <c r="I93" i="2"/>
  <c r="J93" i="2"/>
  <c r="K93" i="2"/>
  <c r="L93" i="2"/>
  <c r="N93" i="2"/>
  <c r="O93" i="2"/>
  <c r="E40" i="8" s="1"/>
  <c r="P93" i="2"/>
  <c r="F40" i="8" s="1"/>
  <c r="Q93" i="2"/>
  <c r="G40" i="8" s="1"/>
  <c r="R93" i="2"/>
  <c r="H40" i="8" s="1"/>
  <c r="S93" i="2"/>
  <c r="I40" i="8" s="1"/>
  <c r="T93" i="2"/>
  <c r="J40" i="8" s="1"/>
  <c r="U93" i="2"/>
  <c r="K40" i="8" s="1"/>
  <c r="V93" i="2"/>
  <c r="L40" i="8" s="1"/>
  <c r="W93" i="2"/>
  <c r="M40" i="8" s="1"/>
  <c r="X93" i="2"/>
  <c r="N40" i="8" s="1"/>
  <c r="Y93" i="2"/>
  <c r="O40" i="8" s="1"/>
  <c r="Z93" i="2"/>
  <c r="P40" i="8" s="1"/>
  <c r="AA93" i="2"/>
  <c r="Q40" i="8" s="1"/>
  <c r="AB93" i="2"/>
  <c r="R40" i="8" s="1"/>
  <c r="AC93" i="2"/>
  <c r="S40" i="8" s="1"/>
  <c r="AD93" i="2"/>
  <c r="T40" i="8" s="1"/>
  <c r="AE93" i="2"/>
  <c r="U40" i="8" s="1"/>
  <c r="AF93" i="2"/>
  <c r="V40" i="8" s="1"/>
  <c r="AG93" i="2"/>
  <c r="W40" i="8" s="1"/>
  <c r="AH93" i="2"/>
  <c r="X40" i="8" s="1"/>
  <c r="AI93" i="2"/>
  <c r="Y40" i="8" s="1"/>
  <c r="AJ93" i="2"/>
  <c r="Z40" i="8" s="1"/>
  <c r="AK93" i="2"/>
  <c r="AA40" i="8" s="1"/>
  <c r="AL93" i="2"/>
  <c r="AB40" i="8" s="1"/>
  <c r="AM93" i="2"/>
  <c r="AC40" i="8" s="1"/>
  <c r="AN93" i="2"/>
  <c r="AD40" i="8" s="1"/>
  <c r="AO93" i="2"/>
  <c r="AE40" i="8" s="1"/>
  <c r="AP93" i="2"/>
  <c r="AF40" i="8" s="1"/>
  <c r="AQ93" i="2"/>
  <c r="AR93" i="2"/>
  <c r="AH40" i="8" s="1"/>
  <c r="AS93" i="2"/>
  <c r="AI40" i="8" s="1"/>
  <c r="AT93" i="2"/>
  <c r="AJ40" i="8" s="1"/>
  <c r="AU93" i="2"/>
  <c r="AK40" i="8" s="1"/>
  <c r="AV93" i="2"/>
  <c r="AL40" i="8" s="1"/>
  <c r="AW93" i="2"/>
  <c r="AM40" i="8" s="1"/>
  <c r="AX93" i="2"/>
  <c r="AN40" i="8" s="1"/>
  <c r="AY93" i="2"/>
  <c r="AO40" i="8" s="1"/>
  <c r="AZ93" i="2"/>
  <c r="AP40" i="8" s="1"/>
  <c r="BA93" i="2"/>
  <c r="AQ40" i="8" s="1"/>
  <c r="BB93" i="2"/>
  <c r="AR40" i="8" s="1"/>
  <c r="BC93" i="2"/>
  <c r="AS40" i="8" s="1"/>
  <c r="BD93" i="2"/>
  <c r="AT40" i="8" s="1"/>
  <c r="BE93" i="2"/>
  <c r="AU40" i="8" s="1"/>
  <c r="BF93" i="2"/>
  <c r="AV40" i="8" s="1"/>
  <c r="BG93" i="2"/>
  <c r="AW40" i="8" s="1"/>
  <c r="BH93" i="2"/>
  <c r="AX40" i="8" s="1"/>
  <c r="BI93" i="2"/>
  <c r="AY40" i="8" s="1"/>
  <c r="BJ93" i="2"/>
  <c r="AZ40" i="8" s="1"/>
  <c r="BK93" i="2"/>
  <c r="BA40" i="8" s="1"/>
  <c r="BL93" i="2"/>
  <c r="BB40" i="8" s="1"/>
  <c r="BM93" i="2"/>
  <c r="BC40" i="8" s="1"/>
  <c r="BN93" i="2"/>
  <c r="BD40" i="8" s="1"/>
  <c r="BO93" i="2"/>
  <c r="BE40" i="8" s="1"/>
  <c r="BP93" i="2"/>
  <c r="BF40" i="8" s="1"/>
  <c r="BQ93" i="2"/>
  <c r="BG40" i="8" s="1"/>
  <c r="BR93" i="2"/>
  <c r="BH40" i="8" s="1"/>
  <c r="BS93" i="2"/>
  <c r="BI40" i="8" s="1"/>
  <c r="BT93" i="2"/>
  <c r="BJ40" i="8" s="1"/>
  <c r="BU93" i="2"/>
  <c r="BK40" i="8" s="1"/>
  <c r="BV93" i="2"/>
  <c r="BL40" i="8" s="1"/>
  <c r="F94" i="2"/>
  <c r="G94" i="2"/>
  <c r="H94" i="2"/>
  <c r="I94" i="2"/>
  <c r="J94" i="2"/>
  <c r="K94" i="2"/>
  <c r="L94" i="2"/>
  <c r="N94" i="2"/>
  <c r="O94" i="2"/>
  <c r="E65" i="8" s="1"/>
  <c r="P94" i="2"/>
  <c r="F65" i="8" s="1"/>
  <c r="Q94" i="2"/>
  <c r="G65" i="8" s="1"/>
  <c r="R94" i="2"/>
  <c r="H65" i="8" s="1"/>
  <c r="S94" i="2"/>
  <c r="I65" i="8" s="1"/>
  <c r="T94" i="2"/>
  <c r="J65" i="8" s="1"/>
  <c r="U94" i="2"/>
  <c r="K65" i="8" s="1"/>
  <c r="V94" i="2"/>
  <c r="L65" i="8" s="1"/>
  <c r="W94" i="2"/>
  <c r="M65" i="8" s="1"/>
  <c r="X94" i="2"/>
  <c r="N65" i="8" s="1"/>
  <c r="Y94" i="2"/>
  <c r="O65" i="8" s="1"/>
  <c r="Z94" i="2"/>
  <c r="P65" i="8" s="1"/>
  <c r="AA94" i="2"/>
  <c r="Q65" i="8" s="1"/>
  <c r="AB94" i="2"/>
  <c r="R65" i="8" s="1"/>
  <c r="AC94" i="2"/>
  <c r="S65" i="8" s="1"/>
  <c r="AD94" i="2"/>
  <c r="T65" i="8" s="1"/>
  <c r="AE94" i="2"/>
  <c r="U65" i="8" s="1"/>
  <c r="AF94" i="2"/>
  <c r="V65" i="8" s="1"/>
  <c r="AG94" i="2"/>
  <c r="W65" i="8" s="1"/>
  <c r="AH94" i="2"/>
  <c r="X65" i="8" s="1"/>
  <c r="AI94" i="2"/>
  <c r="Y65" i="8" s="1"/>
  <c r="AJ94" i="2"/>
  <c r="Z65" i="8" s="1"/>
  <c r="AK94" i="2"/>
  <c r="AA65" i="8" s="1"/>
  <c r="AL94" i="2"/>
  <c r="AB65" i="8" s="1"/>
  <c r="AM94" i="2"/>
  <c r="AC65" i="8" s="1"/>
  <c r="AN94" i="2"/>
  <c r="AD65" i="8" s="1"/>
  <c r="AO94" i="2"/>
  <c r="AE65" i="8" s="1"/>
  <c r="AP94" i="2"/>
  <c r="AF65" i="8" s="1"/>
  <c r="AQ94" i="2"/>
  <c r="AG65" i="8" s="1"/>
  <c r="AR94" i="2"/>
  <c r="AH65" i="8" s="1"/>
  <c r="AS94" i="2"/>
  <c r="AI65" i="8" s="1"/>
  <c r="AT94" i="2"/>
  <c r="AJ65" i="8" s="1"/>
  <c r="AU94" i="2"/>
  <c r="AK65" i="8" s="1"/>
  <c r="AV94" i="2"/>
  <c r="AL65" i="8" s="1"/>
  <c r="AW94" i="2"/>
  <c r="AM65" i="8" s="1"/>
  <c r="AX94" i="2"/>
  <c r="AN65" i="8" s="1"/>
  <c r="AY94" i="2"/>
  <c r="AO65" i="8" s="1"/>
  <c r="AZ94" i="2"/>
  <c r="AP65" i="8" s="1"/>
  <c r="BA94" i="2"/>
  <c r="AQ65" i="8" s="1"/>
  <c r="BB94" i="2"/>
  <c r="AR65" i="8" s="1"/>
  <c r="BC94" i="2"/>
  <c r="AS65" i="8" s="1"/>
  <c r="BD94" i="2"/>
  <c r="AT65" i="8" s="1"/>
  <c r="BE94" i="2"/>
  <c r="AU65" i="8" s="1"/>
  <c r="BF94" i="2"/>
  <c r="AV65" i="8" s="1"/>
  <c r="BG94" i="2"/>
  <c r="AW65" i="8" s="1"/>
  <c r="BH94" i="2"/>
  <c r="AX65" i="8" s="1"/>
  <c r="BI94" i="2"/>
  <c r="AY65" i="8" s="1"/>
  <c r="BJ94" i="2"/>
  <c r="AZ65" i="8" s="1"/>
  <c r="BK94" i="2"/>
  <c r="BA65" i="8" s="1"/>
  <c r="BL94" i="2"/>
  <c r="BB65" i="8" s="1"/>
  <c r="BM94" i="2"/>
  <c r="BC65" i="8" s="1"/>
  <c r="BN94" i="2"/>
  <c r="BD65" i="8" s="1"/>
  <c r="BO94" i="2"/>
  <c r="BE65" i="8" s="1"/>
  <c r="BP94" i="2"/>
  <c r="BF65" i="8" s="1"/>
  <c r="BQ94" i="2"/>
  <c r="BG65" i="8" s="1"/>
  <c r="BR94" i="2"/>
  <c r="BH65" i="8" s="1"/>
  <c r="BS94" i="2"/>
  <c r="BI65" i="8" s="1"/>
  <c r="BT94" i="2"/>
  <c r="BJ65" i="8" s="1"/>
  <c r="BU94" i="2"/>
  <c r="BK65" i="8" s="1"/>
  <c r="BV94" i="2"/>
  <c r="BL65" i="8" s="1"/>
  <c r="F89" i="2"/>
  <c r="G89" i="2"/>
  <c r="H89" i="2"/>
  <c r="I89" i="2"/>
  <c r="J89" i="2"/>
  <c r="K89" i="2"/>
  <c r="L89" i="2"/>
  <c r="N89" i="2"/>
  <c r="O89" i="2"/>
  <c r="E35" i="8" s="1"/>
  <c r="P89" i="2"/>
  <c r="F35" i="8" s="1"/>
  <c r="Q89" i="2"/>
  <c r="G35" i="8" s="1"/>
  <c r="R89" i="2"/>
  <c r="H35" i="8" s="1"/>
  <c r="S89" i="2"/>
  <c r="I35" i="8" s="1"/>
  <c r="T89" i="2"/>
  <c r="J35" i="8" s="1"/>
  <c r="U89" i="2"/>
  <c r="K35" i="8" s="1"/>
  <c r="V89" i="2"/>
  <c r="L35" i="8" s="1"/>
  <c r="W89" i="2"/>
  <c r="M35" i="8" s="1"/>
  <c r="X89" i="2"/>
  <c r="N35" i="8" s="1"/>
  <c r="Y89" i="2"/>
  <c r="O35" i="8" s="1"/>
  <c r="Z89" i="2"/>
  <c r="P35" i="8" s="1"/>
  <c r="AA89" i="2"/>
  <c r="Q35" i="8" s="1"/>
  <c r="AB89" i="2"/>
  <c r="R35" i="8" s="1"/>
  <c r="AC89" i="2"/>
  <c r="S35" i="8" s="1"/>
  <c r="AD89" i="2"/>
  <c r="T35" i="8" s="1"/>
  <c r="AE89" i="2"/>
  <c r="U35" i="8" s="1"/>
  <c r="AF89" i="2"/>
  <c r="V35" i="8" s="1"/>
  <c r="AG89" i="2"/>
  <c r="W35" i="8" s="1"/>
  <c r="AH89" i="2"/>
  <c r="X35" i="8" s="1"/>
  <c r="AI89" i="2"/>
  <c r="Y35" i="8" s="1"/>
  <c r="AJ89" i="2"/>
  <c r="Z35" i="8" s="1"/>
  <c r="AK89" i="2"/>
  <c r="AA35" i="8" s="1"/>
  <c r="AL89" i="2"/>
  <c r="AB35" i="8" s="1"/>
  <c r="AM89" i="2"/>
  <c r="AC35" i="8" s="1"/>
  <c r="AN89" i="2"/>
  <c r="AD35" i="8" s="1"/>
  <c r="AO89" i="2"/>
  <c r="AE35" i="8" s="1"/>
  <c r="AP89" i="2"/>
  <c r="AF35" i="8" s="1"/>
  <c r="AQ89" i="2"/>
  <c r="AR89" i="2"/>
  <c r="AH35" i="8" s="1"/>
  <c r="AS89" i="2"/>
  <c r="AI35" i="8" s="1"/>
  <c r="AT89" i="2"/>
  <c r="AJ35" i="8" s="1"/>
  <c r="AU89" i="2"/>
  <c r="AK35" i="8" s="1"/>
  <c r="AV89" i="2"/>
  <c r="AL35" i="8" s="1"/>
  <c r="AW89" i="2"/>
  <c r="AM35" i="8" s="1"/>
  <c r="AX89" i="2"/>
  <c r="AN35" i="8" s="1"/>
  <c r="AY89" i="2"/>
  <c r="AO35" i="8" s="1"/>
  <c r="AZ89" i="2"/>
  <c r="AP35" i="8" s="1"/>
  <c r="BA89" i="2"/>
  <c r="AQ35" i="8" s="1"/>
  <c r="BB89" i="2"/>
  <c r="AR35" i="8" s="1"/>
  <c r="BC89" i="2"/>
  <c r="AS35" i="8" s="1"/>
  <c r="BD89" i="2"/>
  <c r="AT35" i="8" s="1"/>
  <c r="BE89" i="2"/>
  <c r="AU35" i="8" s="1"/>
  <c r="BF89" i="2"/>
  <c r="AV35" i="8" s="1"/>
  <c r="BG89" i="2"/>
  <c r="AW35" i="8" s="1"/>
  <c r="BH89" i="2"/>
  <c r="AX35" i="8" s="1"/>
  <c r="BJ89" i="2"/>
  <c r="AZ35" i="8" s="1"/>
  <c r="BK89" i="2"/>
  <c r="BA35" i="8" s="1"/>
  <c r="BL89" i="2"/>
  <c r="BB35" i="8" s="1"/>
  <c r="BM89" i="2"/>
  <c r="BC35" i="8" s="1"/>
  <c r="BN89" i="2"/>
  <c r="BD35" i="8" s="1"/>
  <c r="BO89" i="2"/>
  <c r="BE35" i="8" s="1"/>
  <c r="BP89" i="2"/>
  <c r="BF35" i="8" s="1"/>
  <c r="BQ89" i="2"/>
  <c r="BG35" i="8" s="1"/>
  <c r="BR89" i="2"/>
  <c r="BH35" i="8" s="1"/>
  <c r="BS89" i="2"/>
  <c r="BI35" i="8" s="1"/>
  <c r="BT89" i="2"/>
  <c r="BJ35" i="8" s="1"/>
  <c r="F90" i="2"/>
  <c r="G90" i="2"/>
  <c r="H90" i="2"/>
  <c r="I90" i="2"/>
  <c r="J90" i="2"/>
  <c r="K90" i="2"/>
  <c r="L90" i="2"/>
  <c r="N90" i="2"/>
  <c r="O90" i="2"/>
  <c r="E60" i="8" s="1"/>
  <c r="P90" i="2"/>
  <c r="F60" i="8" s="1"/>
  <c r="Q90" i="2"/>
  <c r="G60" i="8" s="1"/>
  <c r="R90" i="2"/>
  <c r="H60" i="8" s="1"/>
  <c r="S90" i="2"/>
  <c r="I60" i="8" s="1"/>
  <c r="T90" i="2"/>
  <c r="J60" i="8" s="1"/>
  <c r="U90" i="2"/>
  <c r="K60" i="8" s="1"/>
  <c r="V90" i="2"/>
  <c r="L60" i="8" s="1"/>
  <c r="W90" i="2"/>
  <c r="M60" i="8" s="1"/>
  <c r="X90" i="2"/>
  <c r="N60" i="8" s="1"/>
  <c r="Y90" i="2"/>
  <c r="O60" i="8" s="1"/>
  <c r="Z90" i="2"/>
  <c r="P60" i="8" s="1"/>
  <c r="AA90" i="2"/>
  <c r="Q60" i="8" s="1"/>
  <c r="AB90" i="2"/>
  <c r="R60" i="8" s="1"/>
  <c r="AC90" i="2"/>
  <c r="S60" i="8" s="1"/>
  <c r="AD90" i="2"/>
  <c r="T60" i="8" s="1"/>
  <c r="AE90" i="2"/>
  <c r="U60" i="8" s="1"/>
  <c r="AF90" i="2"/>
  <c r="V60" i="8" s="1"/>
  <c r="AG90" i="2"/>
  <c r="W60" i="8" s="1"/>
  <c r="AH90" i="2"/>
  <c r="X60" i="8" s="1"/>
  <c r="AI90" i="2"/>
  <c r="Y60" i="8" s="1"/>
  <c r="AJ90" i="2"/>
  <c r="Z60" i="8" s="1"/>
  <c r="AK90" i="2"/>
  <c r="AA60" i="8" s="1"/>
  <c r="AL90" i="2"/>
  <c r="AB60" i="8" s="1"/>
  <c r="AM90" i="2"/>
  <c r="AC60" i="8" s="1"/>
  <c r="AN90" i="2"/>
  <c r="AD60" i="8" s="1"/>
  <c r="AO90" i="2"/>
  <c r="AE60" i="8" s="1"/>
  <c r="AP90" i="2"/>
  <c r="AF60" i="8" s="1"/>
  <c r="AQ90" i="2"/>
  <c r="AG60" i="8" s="1"/>
  <c r="AR90" i="2"/>
  <c r="AH60" i="8" s="1"/>
  <c r="AS90" i="2"/>
  <c r="AI60" i="8" s="1"/>
  <c r="AT90" i="2"/>
  <c r="AJ60" i="8" s="1"/>
  <c r="AU90" i="2"/>
  <c r="AK60" i="8" s="1"/>
  <c r="AV90" i="2"/>
  <c r="AL60" i="8" s="1"/>
  <c r="AW90" i="2"/>
  <c r="AM60" i="8" s="1"/>
  <c r="AX90" i="2"/>
  <c r="AN60" i="8" s="1"/>
  <c r="AY90" i="2"/>
  <c r="AO60" i="8" s="1"/>
  <c r="AZ90" i="2"/>
  <c r="AP60" i="8" s="1"/>
  <c r="BA90" i="2"/>
  <c r="AQ60" i="8" s="1"/>
  <c r="BB90" i="2"/>
  <c r="AR60" i="8" s="1"/>
  <c r="BC90" i="2"/>
  <c r="AS60" i="8" s="1"/>
  <c r="BD90" i="2"/>
  <c r="AT60" i="8" s="1"/>
  <c r="BE90" i="2"/>
  <c r="AU60" i="8" s="1"/>
  <c r="BF90" i="2"/>
  <c r="AV60" i="8" s="1"/>
  <c r="BG90" i="2"/>
  <c r="AW60" i="8" s="1"/>
  <c r="BH90" i="2"/>
  <c r="AX60" i="8" s="1"/>
  <c r="BJ90" i="2"/>
  <c r="AZ60" i="8" s="1"/>
  <c r="BK90" i="2"/>
  <c r="BA60" i="8" s="1"/>
  <c r="BL90" i="2"/>
  <c r="BB60" i="8" s="1"/>
  <c r="BM90" i="2"/>
  <c r="BC60" i="8" s="1"/>
  <c r="BN90" i="2"/>
  <c r="BD60" i="8" s="1"/>
  <c r="BO90" i="2"/>
  <c r="BE60" i="8" s="1"/>
  <c r="BP90" i="2"/>
  <c r="BF60" i="8" s="1"/>
  <c r="BQ90" i="2"/>
  <c r="BG60" i="8" s="1"/>
  <c r="BR90" i="2"/>
  <c r="BH60" i="8" s="1"/>
  <c r="BS90" i="2"/>
  <c r="BI60" i="8" s="1"/>
  <c r="BT90" i="2"/>
  <c r="BJ60" i="8" s="1"/>
  <c r="E98" i="2"/>
  <c r="E97" i="2"/>
  <c r="E94" i="2"/>
  <c r="E93" i="2"/>
  <c r="E90" i="2"/>
  <c r="E89" i="2"/>
  <c r="BU89" i="2"/>
  <c r="BK35" i="8" s="1"/>
  <c r="BV89" i="2"/>
  <c r="BL35" i="8" s="1"/>
  <c r="BU90" i="2"/>
  <c r="BK60" i="8" s="1"/>
  <c r="BV90" i="2"/>
  <c r="BL60" i="8" s="1"/>
  <c r="F43" i="6"/>
  <c r="G43" i="6"/>
  <c r="H43" i="6"/>
  <c r="I43" i="6"/>
  <c r="J43" i="6"/>
  <c r="K43" i="6"/>
  <c r="L43" i="6"/>
  <c r="N43" i="6"/>
  <c r="O43" i="6"/>
  <c r="P43" i="6"/>
  <c r="F41" i="8" s="1"/>
  <c r="Q43" i="6"/>
  <c r="G41" i="8" s="1"/>
  <c r="R43" i="6"/>
  <c r="H41" i="8" s="1"/>
  <c r="S43" i="6"/>
  <c r="I41" i="8" s="1"/>
  <c r="T43" i="6"/>
  <c r="J41" i="8" s="1"/>
  <c r="U43" i="6"/>
  <c r="K41" i="8" s="1"/>
  <c r="V43" i="6"/>
  <c r="L41" i="8" s="1"/>
  <c r="W43" i="6"/>
  <c r="M41" i="8" s="1"/>
  <c r="X43" i="6"/>
  <c r="N41" i="8" s="1"/>
  <c r="Y43" i="6"/>
  <c r="O41" i="8" s="1"/>
  <c r="Z43" i="6"/>
  <c r="P41" i="8" s="1"/>
  <c r="AA43" i="6"/>
  <c r="Q41" i="8" s="1"/>
  <c r="AB43" i="6"/>
  <c r="R41" i="8" s="1"/>
  <c r="AC43" i="6"/>
  <c r="S41" i="8" s="1"/>
  <c r="AD43" i="6"/>
  <c r="T41" i="8" s="1"/>
  <c r="AE43" i="6"/>
  <c r="U41" i="8" s="1"/>
  <c r="AF43" i="6"/>
  <c r="V41" i="8" s="1"/>
  <c r="AG43" i="6"/>
  <c r="W41" i="8" s="1"/>
  <c r="AH43" i="6"/>
  <c r="X41" i="8" s="1"/>
  <c r="AI43" i="6"/>
  <c r="Y41" i="8" s="1"/>
  <c r="AJ43" i="6"/>
  <c r="Z41" i="8" s="1"/>
  <c r="AK43" i="6"/>
  <c r="AA41" i="8" s="1"/>
  <c r="AL43" i="6"/>
  <c r="AB41" i="8" s="1"/>
  <c r="AM43" i="6"/>
  <c r="AC41" i="8" s="1"/>
  <c r="AN43" i="6"/>
  <c r="AD41" i="8" s="1"/>
  <c r="AO43" i="6"/>
  <c r="AE41" i="8" s="1"/>
  <c r="AP43" i="6"/>
  <c r="AF41" i="8" s="1"/>
  <c r="AQ43" i="6"/>
  <c r="AR43" i="6"/>
  <c r="AS43" i="6"/>
  <c r="AI41" i="8" s="1"/>
  <c r="AT43" i="6"/>
  <c r="AJ41" i="8" s="1"/>
  <c r="AU43" i="6"/>
  <c r="AK41" i="8" s="1"/>
  <c r="AV43" i="6"/>
  <c r="AL41" i="8" s="1"/>
  <c r="AW43" i="6"/>
  <c r="AM41" i="8" s="1"/>
  <c r="AX43" i="6"/>
  <c r="AN41" i="8" s="1"/>
  <c r="AY43" i="6"/>
  <c r="AO41" i="8" s="1"/>
  <c r="AZ43" i="6"/>
  <c r="AP41" i="8" s="1"/>
  <c r="BA43" i="6"/>
  <c r="AQ41" i="8" s="1"/>
  <c r="BB43" i="6"/>
  <c r="AR41" i="8" s="1"/>
  <c r="BC43" i="6"/>
  <c r="AS41" i="8" s="1"/>
  <c r="BD43" i="6"/>
  <c r="AT41" i="8" s="1"/>
  <c r="BE43" i="6"/>
  <c r="AU41" i="8" s="1"/>
  <c r="BF43" i="6"/>
  <c r="AV41" i="8" s="1"/>
  <c r="BG43" i="6"/>
  <c r="AW41" i="8" s="1"/>
  <c r="BH43" i="6"/>
  <c r="AX41" i="8" s="1"/>
  <c r="BI43" i="6"/>
  <c r="AY41" i="8" s="1"/>
  <c r="BJ43" i="6"/>
  <c r="AZ41" i="8" s="1"/>
  <c r="BK43" i="6"/>
  <c r="BA41" i="8" s="1"/>
  <c r="BL43" i="6"/>
  <c r="BB41" i="8" s="1"/>
  <c r="BM43" i="6"/>
  <c r="BC41" i="8" s="1"/>
  <c r="BN43" i="6"/>
  <c r="BD41" i="8" s="1"/>
  <c r="BO43" i="6"/>
  <c r="BE41" i="8" s="1"/>
  <c r="BP43" i="6"/>
  <c r="BF41" i="8" s="1"/>
  <c r="BQ43" i="6"/>
  <c r="BG41" i="8" s="1"/>
  <c r="BR43" i="6"/>
  <c r="BH41" i="8" s="1"/>
  <c r="BS43" i="6"/>
  <c r="BI41" i="8" s="1"/>
  <c r="BT43" i="6"/>
  <c r="BJ41" i="8" s="1"/>
  <c r="BU43" i="6"/>
  <c r="BK41" i="8" s="1"/>
  <c r="BV43" i="6"/>
  <c r="BL41" i="8" s="1"/>
  <c r="F44" i="6"/>
  <c r="G44" i="6"/>
  <c r="H44" i="6"/>
  <c r="I44" i="6"/>
  <c r="J44" i="6"/>
  <c r="K44" i="6"/>
  <c r="L44" i="6"/>
  <c r="N44" i="6"/>
  <c r="O44" i="6"/>
  <c r="E66" i="8" s="1"/>
  <c r="P44" i="6"/>
  <c r="F66" i="8" s="1"/>
  <c r="Q44" i="6"/>
  <c r="G66" i="8" s="1"/>
  <c r="R44" i="6"/>
  <c r="H66" i="8" s="1"/>
  <c r="S44" i="6"/>
  <c r="I66" i="8" s="1"/>
  <c r="T44" i="6"/>
  <c r="J66" i="8" s="1"/>
  <c r="U44" i="6"/>
  <c r="K66" i="8" s="1"/>
  <c r="V44" i="6"/>
  <c r="L66" i="8" s="1"/>
  <c r="W44" i="6"/>
  <c r="M66" i="8" s="1"/>
  <c r="X44" i="6"/>
  <c r="N66" i="8" s="1"/>
  <c r="Y44" i="6"/>
  <c r="O66" i="8" s="1"/>
  <c r="Z44" i="6"/>
  <c r="P66" i="8" s="1"/>
  <c r="AA44" i="6"/>
  <c r="Q66" i="8" s="1"/>
  <c r="AB44" i="6"/>
  <c r="R66" i="8" s="1"/>
  <c r="AC44" i="6"/>
  <c r="S66" i="8" s="1"/>
  <c r="AD44" i="6"/>
  <c r="T66" i="8" s="1"/>
  <c r="AE44" i="6"/>
  <c r="U66" i="8" s="1"/>
  <c r="AF44" i="6"/>
  <c r="V66" i="8" s="1"/>
  <c r="AG44" i="6"/>
  <c r="W66" i="8" s="1"/>
  <c r="AH44" i="6"/>
  <c r="X66" i="8" s="1"/>
  <c r="AI44" i="6"/>
  <c r="Y66" i="8" s="1"/>
  <c r="AJ44" i="6"/>
  <c r="Z66" i="8" s="1"/>
  <c r="AK44" i="6"/>
  <c r="AA66" i="8" s="1"/>
  <c r="AL44" i="6"/>
  <c r="AB66" i="8" s="1"/>
  <c r="AM44" i="6"/>
  <c r="AC66" i="8" s="1"/>
  <c r="AN44" i="6"/>
  <c r="AD66" i="8" s="1"/>
  <c r="AO44" i="6"/>
  <c r="AE66" i="8" s="1"/>
  <c r="AP44" i="6"/>
  <c r="AF66" i="8" s="1"/>
  <c r="AQ44" i="6"/>
  <c r="AG66" i="8" s="1"/>
  <c r="AR44" i="6"/>
  <c r="AH66" i="8" s="1"/>
  <c r="AS44" i="6"/>
  <c r="AI66" i="8" s="1"/>
  <c r="AT44" i="6"/>
  <c r="AJ66" i="8" s="1"/>
  <c r="AU44" i="6"/>
  <c r="AK66" i="8" s="1"/>
  <c r="AV44" i="6"/>
  <c r="AL66" i="8" s="1"/>
  <c r="AW44" i="6"/>
  <c r="AM66" i="8" s="1"/>
  <c r="AX44" i="6"/>
  <c r="AN66" i="8" s="1"/>
  <c r="AY44" i="6"/>
  <c r="AO66" i="8" s="1"/>
  <c r="AZ44" i="6"/>
  <c r="AP66" i="8" s="1"/>
  <c r="BA44" i="6"/>
  <c r="AQ66" i="8" s="1"/>
  <c r="BB44" i="6"/>
  <c r="AR66" i="8" s="1"/>
  <c r="BC44" i="6"/>
  <c r="AS66" i="8" s="1"/>
  <c r="BD44" i="6"/>
  <c r="AT66" i="8" s="1"/>
  <c r="BE44" i="6"/>
  <c r="AU66" i="8" s="1"/>
  <c r="BF44" i="6"/>
  <c r="AV66" i="8" s="1"/>
  <c r="BG44" i="6"/>
  <c r="AW66" i="8" s="1"/>
  <c r="BH44" i="6"/>
  <c r="AX66" i="8" s="1"/>
  <c r="BI44" i="6"/>
  <c r="AY66" i="8" s="1"/>
  <c r="BJ44" i="6"/>
  <c r="AZ66" i="8" s="1"/>
  <c r="BK44" i="6"/>
  <c r="BA66" i="8" s="1"/>
  <c r="BL44" i="6"/>
  <c r="BB66" i="8" s="1"/>
  <c r="BM44" i="6"/>
  <c r="BC66" i="8" s="1"/>
  <c r="BN44" i="6"/>
  <c r="BD66" i="8" s="1"/>
  <c r="BO44" i="6"/>
  <c r="BE66" i="8" s="1"/>
  <c r="BP44" i="6"/>
  <c r="BF66" i="8" s="1"/>
  <c r="BQ44" i="6"/>
  <c r="BG66" i="8" s="1"/>
  <c r="BR44" i="6"/>
  <c r="BH66" i="8" s="1"/>
  <c r="BS44" i="6"/>
  <c r="BI66" i="8" s="1"/>
  <c r="BT44" i="6"/>
  <c r="BJ66" i="8" s="1"/>
  <c r="BU44" i="6"/>
  <c r="BK66" i="8" s="1"/>
  <c r="BV44" i="6"/>
  <c r="BL66" i="8" s="1"/>
  <c r="F39" i="6"/>
  <c r="G39" i="6"/>
  <c r="H39" i="6"/>
  <c r="I39" i="6"/>
  <c r="J39" i="6"/>
  <c r="K39" i="6"/>
  <c r="L39" i="6"/>
  <c r="N39" i="6"/>
  <c r="O39" i="6"/>
  <c r="P39" i="6"/>
  <c r="F36" i="8" s="1"/>
  <c r="Q39" i="6"/>
  <c r="G36" i="8" s="1"/>
  <c r="R39" i="6"/>
  <c r="H36" i="8" s="1"/>
  <c r="S39" i="6"/>
  <c r="I36" i="8" s="1"/>
  <c r="T39" i="6"/>
  <c r="J36" i="8" s="1"/>
  <c r="U39" i="6"/>
  <c r="K36" i="8" s="1"/>
  <c r="V39" i="6"/>
  <c r="L36" i="8" s="1"/>
  <c r="W39" i="6"/>
  <c r="M36" i="8" s="1"/>
  <c r="X39" i="6"/>
  <c r="N36" i="8" s="1"/>
  <c r="Y39" i="6"/>
  <c r="O36" i="8" s="1"/>
  <c r="Z39" i="6"/>
  <c r="P36" i="8" s="1"/>
  <c r="AA39" i="6"/>
  <c r="Q36" i="8" s="1"/>
  <c r="AB39" i="6"/>
  <c r="R36" i="8" s="1"/>
  <c r="AC39" i="6"/>
  <c r="S36" i="8" s="1"/>
  <c r="AD39" i="6"/>
  <c r="T36" i="8" s="1"/>
  <c r="AE39" i="6"/>
  <c r="U36" i="8" s="1"/>
  <c r="AF39" i="6"/>
  <c r="V36" i="8" s="1"/>
  <c r="AG39" i="6"/>
  <c r="W36" i="8" s="1"/>
  <c r="AH39" i="6"/>
  <c r="X36" i="8" s="1"/>
  <c r="AI39" i="6"/>
  <c r="Y36" i="8" s="1"/>
  <c r="AJ39" i="6"/>
  <c r="Z36" i="8" s="1"/>
  <c r="AK39" i="6"/>
  <c r="AA36" i="8" s="1"/>
  <c r="AL39" i="6"/>
  <c r="AB36" i="8" s="1"/>
  <c r="AM39" i="6"/>
  <c r="AC36" i="8" s="1"/>
  <c r="AN39" i="6"/>
  <c r="AD36" i="8" s="1"/>
  <c r="AO39" i="6"/>
  <c r="AE36" i="8" s="1"/>
  <c r="AP39" i="6"/>
  <c r="AF36" i="8" s="1"/>
  <c r="AQ39" i="6"/>
  <c r="AR39" i="6"/>
  <c r="AS39" i="6"/>
  <c r="AI36" i="8" s="1"/>
  <c r="AT39" i="6"/>
  <c r="AJ36" i="8" s="1"/>
  <c r="AU39" i="6"/>
  <c r="AK36" i="8" s="1"/>
  <c r="AV39" i="6"/>
  <c r="AL36" i="8" s="1"/>
  <c r="AW39" i="6"/>
  <c r="AM36" i="8" s="1"/>
  <c r="AX39" i="6"/>
  <c r="AN36" i="8" s="1"/>
  <c r="AY39" i="6"/>
  <c r="AO36" i="8" s="1"/>
  <c r="AZ39" i="6"/>
  <c r="AP36" i="8" s="1"/>
  <c r="BA39" i="6"/>
  <c r="AQ36" i="8" s="1"/>
  <c r="BB39" i="6"/>
  <c r="AR36" i="8" s="1"/>
  <c r="BC39" i="6"/>
  <c r="AS36" i="8" s="1"/>
  <c r="BD39" i="6"/>
  <c r="AT36" i="8" s="1"/>
  <c r="BE39" i="6"/>
  <c r="AU36" i="8" s="1"/>
  <c r="BF39" i="6"/>
  <c r="AV36" i="8" s="1"/>
  <c r="BG39" i="6"/>
  <c r="AW36" i="8" s="1"/>
  <c r="BH39" i="6"/>
  <c r="AX36" i="8" s="1"/>
  <c r="BI39" i="6"/>
  <c r="AY36" i="8" s="1"/>
  <c r="BJ39" i="6"/>
  <c r="AZ36" i="8" s="1"/>
  <c r="BK39" i="6"/>
  <c r="BA36" i="8" s="1"/>
  <c r="BL39" i="6"/>
  <c r="BB36" i="8" s="1"/>
  <c r="BM39" i="6"/>
  <c r="BC36" i="8" s="1"/>
  <c r="BN39" i="6"/>
  <c r="BD36" i="8" s="1"/>
  <c r="BO39" i="6"/>
  <c r="BE36" i="8" s="1"/>
  <c r="BP39" i="6"/>
  <c r="BF36" i="8" s="1"/>
  <c r="BQ39" i="6"/>
  <c r="BG36" i="8" s="1"/>
  <c r="BR39" i="6"/>
  <c r="BH36" i="8" s="1"/>
  <c r="BS39" i="6"/>
  <c r="BI36" i="8" s="1"/>
  <c r="BT39" i="6"/>
  <c r="BJ36" i="8" s="1"/>
  <c r="BU39" i="6"/>
  <c r="BK36" i="8" s="1"/>
  <c r="BV39" i="6"/>
  <c r="BL36" i="8" s="1"/>
  <c r="F40" i="6"/>
  <c r="G40" i="6"/>
  <c r="H40" i="6"/>
  <c r="I40" i="6"/>
  <c r="J40" i="6"/>
  <c r="K40" i="6"/>
  <c r="L40" i="6"/>
  <c r="N40" i="6"/>
  <c r="O40" i="6"/>
  <c r="E61" i="8" s="1"/>
  <c r="P40" i="6"/>
  <c r="F61" i="8" s="1"/>
  <c r="Q40" i="6"/>
  <c r="G61" i="8" s="1"/>
  <c r="R40" i="6"/>
  <c r="H61" i="8" s="1"/>
  <c r="S40" i="6"/>
  <c r="I61" i="8" s="1"/>
  <c r="T40" i="6"/>
  <c r="J61" i="8" s="1"/>
  <c r="U40" i="6"/>
  <c r="K61" i="8" s="1"/>
  <c r="V40" i="6"/>
  <c r="L61" i="8" s="1"/>
  <c r="W40" i="6"/>
  <c r="M61" i="8" s="1"/>
  <c r="X40" i="6"/>
  <c r="N61" i="8" s="1"/>
  <c r="Y40" i="6"/>
  <c r="O61" i="8" s="1"/>
  <c r="Z40" i="6"/>
  <c r="P61" i="8" s="1"/>
  <c r="AA40" i="6"/>
  <c r="Q61" i="8" s="1"/>
  <c r="AB40" i="6"/>
  <c r="R61" i="8" s="1"/>
  <c r="AC40" i="6"/>
  <c r="S61" i="8" s="1"/>
  <c r="AD40" i="6"/>
  <c r="T61" i="8" s="1"/>
  <c r="AE40" i="6"/>
  <c r="U61" i="8" s="1"/>
  <c r="AF40" i="6"/>
  <c r="V61" i="8" s="1"/>
  <c r="AG40" i="6"/>
  <c r="W61" i="8" s="1"/>
  <c r="AH40" i="6"/>
  <c r="X61" i="8" s="1"/>
  <c r="AI40" i="6"/>
  <c r="Y61" i="8" s="1"/>
  <c r="AJ40" i="6"/>
  <c r="Z61" i="8" s="1"/>
  <c r="AK40" i="6"/>
  <c r="AA61" i="8" s="1"/>
  <c r="AL40" i="6"/>
  <c r="AB61" i="8" s="1"/>
  <c r="AM40" i="6"/>
  <c r="AC61" i="8" s="1"/>
  <c r="AN40" i="6"/>
  <c r="AD61" i="8" s="1"/>
  <c r="AO40" i="6"/>
  <c r="AE61" i="8" s="1"/>
  <c r="AP40" i="6"/>
  <c r="AF61" i="8" s="1"/>
  <c r="AQ40" i="6"/>
  <c r="AG61" i="8" s="1"/>
  <c r="AR40" i="6"/>
  <c r="AH61" i="8" s="1"/>
  <c r="AS40" i="6"/>
  <c r="AI61" i="8" s="1"/>
  <c r="AT40" i="6"/>
  <c r="AJ61" i="8" s="1"/>
  <c r="AU40" i="6"/>
  <c r="AK61" i="8" s="1"/>
  <c r="AV40" i="6"/>
  <c r="AL61" i="8" s="1"/>
  <c r="AW40" i="6"/>
  <c r="AM61" i="8" s="1"/>
  <c r="AX40" i="6"/>
  <c r="AN61" i="8" s="1"/>
  <c r="AY40" i="6"/>
  <c r="AO61" i="8" s="1"/>
  <c r="AZ40" i="6"/>
  <c r="AP61" i="8" s="1"/>
  <c r="BA40" i="6"/>
  <c r="AQ61" i="8" s="1"/>
  <c r="BB40" i="6"/>
  <c r="AR61" i="8" s="1"/>
  <c r="BC40" i="6"/>
  <c r="AS61" i="8" s="1"/>
  <c r="BD40" i="6"/>
  <c r="AT61" i="8" s="1"/>
  <c r="BE40" i="6"/>
  <c r="AU61" i="8" s="1"/>
  <c r="BF40" i="6"/>
  <c r="AV61" i="8" s="1"/>
  <c r="BG40" i="6"/>
  <c r="AW61" i="8" s="1"/>
  <c r="BH40" i="6"/>
  <c r="AX61" i="8" s="1"/>
  <c r="BI40" i="6"/>
  <c r="AY61" i="8" s="1"/>
  <c r="BJ40" i="6"/>
  <c r="AZ61" i="8" s="1"/>
  <c r="BK40" i="6"/>
  <c r="BA61" i="8" s="1"/>
  <c r="BL40" i="6"/>
  <c r="BB61" i="8" s="1"/>
  <c r="BM40" i="6"/>
  <c r="BC61" i="8" s="1"/>
  <c r="BN40" i="6"/>
  <c r="BD61" i="8" s="1"/>
  <c r="BO40" i="6"/>
  <c r="BE61" i="8" s="1"/>
  <c r="BP40" i="6"/>
  <c r="BF61" i="8" s="1"/>
  <c r="BQ40" i="6"/>
  <c r="BG61" i="8" s="1"/>
  <c r="BR40" i="6"/>
  <c r="BH61" i="8" s="1"/>
  <c r="BS40" i="6"/>
  <c r="BI61" i="8" s="1"/>
  <c r="BT40" i="6"/>
  <c r="BJ61" i="8" s="1"/>
  <c r="BU40" i="6"/>
  <c r="BK61" i="8" s="1"/>
  <c r="BV40" i="6"/>
  <c r="BL61" i="8" s="1"/>
  <c r="E44" i="6"/>
  <c r="E43" i="6"/>
  <c r="E40" i="6"/>
  <c r="E39" i="6"/>
  <c r="F80" i="1"/>
  <c r="G80" i="1"/>
  <c r="H80" i="1"/>
  <c r="I80" i="1"/>
  <c r="J80" i="1"/>
  <c r="K80" i="1"/>
  <c r="L80" i="1"/>
  <c r="N80" i="1"/>
  <c r="O80" i="1"/>
  <c r="P80" i="1"/>
  <c r="F39" i="8" s="1"/>
  <c r="Q80" i="1"/>
  <c r="G39" i="8" s="1"/>
  <c r="R80" i="1"/>
  <c r="H39" i="8" s="1"/>
  <c r="S80" i="1"/>
  <c r="I39" i="8" s="1"/>
  <c r="T80" i="1"/>
  <c r="J39" i="8" s="1"/>
  <c r="U80" i="1"/>
  <c r="K39" i="8" s="1"/>
  <c r="V80" i="1"/>
  <c r="L39" i="8" s="1"/>
  <c r="W80" i="1"/>
  <c r="M39" i="8" s="1"/>
  <c r="X80" i="1"/>
  <c r="N39" i="8" s="1"/>
  <c r="Y80" i="1"/>
  <c r="O39" i="8" s="1"/>
  <c r="Z80" i="1"/>
  <c r="P39" i="8" s="1"/>
  <c r="AA80" i="1"/>
  <c r="Q39" i="8" s="1"/>
  <c r="AB80" i="1"/>
  <c r="R39" i="8" s="1"/>
  <c r="AC80" i="1"/>
  <c r="S39" i="8" s="1"/>
  <c r="AD80" i="1"/>
  <c r="T39" i="8" s="1"/>
  <c r="AE80" i="1"/>
  <c r="U39" i="8" s="1"/>
  <c r="AF80" i="1"/>
  <c r="V39" i="8" s="1"/>
  <c r="AG80" i="1"/>
  <c r="W39" i="8" s="1"/>
  <c r="AH80" i="1"/>
  <c r="X39" i="8" s="1"/>
  <c r="AI80" i="1"/>
  <c r="Y39" i="8" s="1"/>
  <c r="AJ80" i="1"/>
  <c r="Z39" i="8" s="1"/>
  <c r="AK80" i="1"/>
  <c r="AA39" i="8" s="1"/>
  <c r="AL80" i="1"/>
  <c r="AB39" i="8" s="1"/>
  <c r="AM80" i="1"/>
  <c r="AC39" i="8" s="1"/>
  <c r="AN80" i="1"/>
  <c r="AD39" i="8" s="1"/>
  <c r="AO80" i="1"/>
  <c r="AE39" i="8" s="1"/>
  <c r="AP80" i="1"/>
  <c r="AF39" i="8" s="1"/>
  <c r="AQ80" i="1"/>
  <c r="AR80" i="1"/>
  <c r="AS80" i="1"/>
  <c r="AI39" i="8" s="1"/>
  <c r="AT80" i="1"/>
  <c r="AJ39" i="8" s="1"/>
  <c r="AU80" i="1"/>
  <c r="AK39" i="8" s="1"/>
  <c r="AV80" i="1"/>
  <c r="AL39" i="8" s="1"/>
  <c r="AW80" i="1"/>
  <c r="AM39" i="8" s="1"/>
  <c r="AX80" i="1"/>
  <c r="AN39" i="8" s="1"/>
  <c r="AY80" i="1"/>
  <c r="AO39" i="8" s="1"/>
  <c r="AZ80" i="1"/>
  <c r="AP39" i="8" s="1"/>
  <c r="BA80" i="1"/>
  <c r="AQ39" i="8" s="1"/>
  <c r="BB80" i="1"/>
  <c r="AR39" i="8" s="1"/>
  <c r="BC80" i="1"/>
  <c r="AS39" i="8" s="1"/>
  <c r="BD80" i="1"/>
  <c r="AT39" i="8" s="1"/>
  <c r="BE80" i="1"/>
  <c r="AU39" i="8" s="1"/>
  <c r="BF80" i="1"/>
  <c r="AV39" i="8" s="1"/>
  <c r="BG80" i="1"/>
  <c r="AW39" i="8" s="1"/>
  <c r="BH80" i="1"/>
  <c r="AX39" i="8" s="1"/>
  <c r="BI80" i="1"/>
  <c r="AY39" i="8" s="1"/>
  <c r="BJ80" i="1"/>
  <c r="AZ39" i="8" s="1"/>
  <c r="BK80" i="1"/>
  <c r="BA39" i="8" s="1"/>
  <c r="BL80" i="1"/>
  <c r="BB39" i="8" s="1"/>
  <c r="BM80" i="1"/>
  <c r="BC39" i="8" s="1"/>
  <c r="BN80" i="1"/>
  <c r="BD39" i="8" s="1"/>
  <c r="BO80" i="1"/>
  <c r="BE39" i="8" s="1"/>
  <c r="BP80" i="1"/>
  <c r="BF39" i="8" s="1"/>
  <c r="BQ80" i="1"/>
  <c r="BG39" i="8" s="1"/>
  <c r="BR80" i="1"/>
  <c r="BH39" i="8" s="1"/>
  <c r="BS80" i="1"/>
  <c r="BI39" i="8" s="1"/>
  <c r="BT80" i="1"/>
  <c r="BJ39" i="8" s="1"/>
  <c r="BU80" i="1"/>
  <c r="BK39" i="8" s="1"/>
  <c r="BV80" i="1"/>
  <c r="BL39" i="8" s="1"/>
  <c r="F81" i="1"/>
  <c r="G81" i="1"/>
  <c r="H81" i="1"/>
  <c r="I81" i="1"/>
  <c r="J81" i="1"/>
  <c r="K81" i="1"/>
  <c r="L81" i="1"/>
  <c r="N81" i="1"/>
  <c r="O81" i="1"/>
  <c r="E64" i="8" s="1"/>
  <c r="P81" i="1"/>
  <c r="F64" i="8" s="1"/>
  <c r="Q81" i="1"/>
  <c r="G64" i="8" s="1"/>
  <c r="R81" i="1"/>
  <c r="H64" i="8" s="1"/>
  <c r="S81" i="1"/>
  <c r="I64" i="8" s="1"/>
  <c r="T81" i="1"/>
  <c r="J64" i="8" s="1"/>
  <c r="U81" i="1"/>
  <c r="K64" i="8" s="1"/>
  <c r="V81" i="1"/>
  <c r="L64" i="8" s="1"/>
  <c r="W81" i="1"/>
  <c r="M64" i="8" s="1"/>
  <c r="X81" i="1"/>
  <c r="N64" i="8" s="1"/>
  <c r="Y81" i="1"/>
  <c r="O64" i="8" s="1"/>
  <c r="Z81" i="1"/>
  <c r="P64" i="8" s="1"/>
  <c r="AA81" i="1"/>
  <c r="Q64" i="8" s="1"/>
  <c r="AB81" i="1"/>
  <c r="R64" i="8" s="1"/>
  <c r="AC81" i="1"/>
  <c r="S64" i="8" s="1"/>
  <c r="AD81" i="1"/>
  <c r="T64" i="8" s="1"/>
  <c r="AE81" i="1"/>
  <c r="U64" i="8" s="1"/>
  <c r="AF81" i="1"/>
  <c r="V64" i="8" s="1"/>
  <c r="AG81" i="1"/>
  <c r="W64" i="8" s="1"/>
  <c r="AH81" i="1"/>
  <c r="X64" i="8" s="1"/>
  <c r="AI81" i="1"/>
  <c r="Y64" i="8" s="1"/>
  <c r="AJ81" i="1"/>
  <c r="Z64" i="8" s="1"/>
  <c r="AK81" i="1"/>
  <c r="AA64" i="8" s="1"/>
  <c r="AL81" i="1"/>
  <c r="AB64" i="8" s="1"/>
  <c r="AM81" i="1"/>
  <c r="AC64" i="8" s="1"/>
  <c r="AN81" i="1"/>
  <c r="AD64" i="8" s="1"/>
  <c r="AO81" i="1"/>
  <c r="AE64" i="8" s="1"/>
  <c r="AP81" i="1"/>
  <c r="AF64" i="8" s="1"/>
  <c r="AQ81" i="1"/>
  <c r="AG64" i="8" s="1"/>
  <c r="AR81" i="1"/>
  <c r="AH64" i="8" s="1"/>
  <c r="AS81" i="1"/>
  <c r="AI64" i="8" s="1"/>
  <c r="AT81" i="1"/>
  <c r="AJ64" i="8" s="1"/>
  <c r="AU81" i="1"/>
  <c r="AK64" i="8" s="1"/>
  <c r="AV81" i="1"/>
  <c r="AL64" i="8" s="1"/>
  <c r="AW81" i="1"/>
  <c r="AM64" i="8" s="1"/>
  <c r="AX81" i="1"/>
  <c r="AN64" i="8" s="1"/>
  <c r="AY81" i="1"/>
  <c r="AO64" i="8" s="1"/>
  <c r="AZ81" i="1"/>
  <c r="AP64" i="8" s="1"/>
  <c r="BA81" i="1"/>
  <c r="AQ64" i="8" s="1"/>
  <c r="BB81" i="1"/>
  <c r="AR64" i="8" s="1"/>
  <c r="BC81" i="1"/>
  <c r="AS64" i="8" s="1"/>
  <c r="BD81" i="1"/>
  <c r="AT64" i="8" s="1"/>
  <c r="BE81" i="1"/>
  <c r="AU64" i="8" s="1"/>
  <c r="BF81" i="1"/>
  <c r="AV64" i="8" s="1"/>
  <c r="BG81" i="1"/>
  <c r="AW64" i="8" s="1"/>
  <c r="BH81" i="1"/>
  <c r="AX64" i="8" s="1"/>
  <c r="BI81" i="1"/>
  <c r="AY64" i="8" s="1"/>
  <c r="BJ81" i="1"/>
  <c r="AZ64" i="8" s="1"/>
  <c r="BK81" i="1"/>
  <c r="BA64" i="8" s="1"/>
  <c r="BL81" i="1"/>
  <c r="BB64" i="8" s="1"/>
  <c r="BM81" i="1"/>
  <c r="BC64" i="8" s="1"/>
  <c r="BN81" i="1"/>
  <c r="BD64" i="8" s="1"/>
  <c r="BO81" i="1"/>
  <c r="BE64" i="8" s="1"/>
  <c r="BP81" i="1"/>
  <c r="BF64" i="8" s="1"/>
  <c r="BQ81" i="1"/>
  <c r="BG64" i="8" s="1"/>
  <c r="BR81" i="1"/>
  <c r="BH64" i="8" s="1"/>
  <c r="BS81" i="1"/>
  <c r="BI64" i="8" s="1"/>
  <c r="BT81" i="1"/>
  <c r="BJ64" i="8" s="1"/>
  <c r="BU81" i="1"/>
  <c r="BK64" i="8" s="1"/>
  <c r="BV81" i="1"/>
  <c r="BL64" i="8" s="1"/>
  <c r="F76" i="1"/>
  <c r="G76" i="1"/>
  <c r="H76" i="1"/>
  <c r="I76" i="1"/>
  <c r="J76" i="1"/>
  <c r="K76" i="1"/>
  <c r="L76" i="1"/>
  <c r="N76" i="1"/>
  <c r="O76" i="1"/>
  <c r="P76" i="1"/>
  <c r="F34" i="8" s="1"/>
  <c r="Q76" i="1"/>
  <c r="G34" i="8" s="1"/>
  <c r="R76" i="1"/>
  <c r="H34" i="8" s="1"/>
  <c r="S76" i="1"/>
  <c r="I34" i="8" s="1"/>
  <c r="T76" i="1"/>
  <c r="J34" i="8" s="1"/>
  <c r="U76" i="1"/>
  <c r="K34" i="8" s="1"/>
  <c r="V76" i="1"/>
  <c r="L34" i="8" s="1"/>
  <c r="W76" i="1"/>
  <c r="M34" i="8" s="1"/>
  <c r="X76" i="1"/>
  <c r="N34" i="8" s="1"/>
  <c r="Y76" i="1"/>
  <c r="O34" i="8" s="1"/>
  <c r="Z76" i="1"/>
  <c r="P34" i="8" s="1"/>
  <c r="AA76" i="1"/>
  <c r="Q34" i="8" s="1"/>
  <c r="AB76" i="1"/>
  <c r="R34" i="8" s="1"/>
  <c r="AC76" i="1"/>
  <c r="S34" i="8" s="1"/>
  <c r="AD76" i="1"/>
  <c r="T34" i="8" s="1"/>
  <c r="AE76" i="1"/>
  <c r="U34" i="8" s="1"/>
  <c r="AF76" i="1"/>
  <c r="V34" i="8" s="1"/>
  <c r="AG76" i="1"/>
  <c r="W34" i="8" s="1"/>
  <c r="AH76" i="1"/>
  <c r="X34" i="8" s="1"/>
  <c r="AI76" i="1"/>
  <c r="Y34" i="8" s="1"/>
  <c r="AJ76" i="1"/>
  <c r="Z34" i="8" s="1"/>
  <c r="AK76" i="1"/>
  <c r="AA34" i="8" s="1"/>
  <c r="AL76" i="1"/>
  <c r="AB34" i="8" s="1"/>
  <c r="AM76" i="1"/>
  <c r="AC34" i="8" s="1"/>
  <c r="AN76" i="1"/>
  <c r="AD34" i="8" s="1"/>
  <c r="AO76" i="1"/>
  <c r="AE34" i="8" s="1"/>
  <c r="AP76" i="1"/>
  <c r="AF34" i="8" s="1"/>
  <c r="AQ76" i="1"/>
  <c r="AR76" i="1"/>
  <c r="AS76" i="1"/>
  <c r="AI34" i="8" s="1"/>
  <c r="AT76" i="1"/>
  <c r="AJ34" i="8" s="1"/>
  <c r="AU76" i="1"/>
  <c r="AK34" i="8" s="1"/>
  <c r="AV76" i="1"/>
  <c r="AL34" i="8" s="1"/>
  <c r="AW76" i="1"/>
  <c r="AM34" i="8" s="1"/>
  <c r="AX76" i="1"/>
  <c r="AN34" i="8" s="1"/>
  <c r="AY76" i="1"/>
  <c r="AO34" i="8" s="1"/>
  <c r="AZ76" i="1"/>
  <c r="AP34" i="8" s="1"/>
  <c r="BA76" i="1"/>
  <c r="AQ34" i="8" s="1"/>
  <c r="BB76" i="1"/>
  <c r="AR34" i="8" s="1"/>
  <c r="BC76" i="1"/>
  <c r="AS34" i="8" s="1"/>
  <c r="BD76" i="1"/>
  <c r="AT34" i="8" s="1"/>
  <c r="BE76" i="1"/>
  <c r="AU34" i="8" s="1"/>
  <c r="BF76" i="1"/>
  <c r="AV34" i="8" s="1"/>
  <c r="BG76" i="1"/>
  <c r="AW34" i="8" s="1"/>
  <c r="BH76" i="1"/>
  <c r="AX34" i="8" s="1"/>
  <c r="BI76" i="1"/>
  <c r="AY34" i="8" s="1"/>
  <c r="BJ76" i="1"/>
  <c r="AZ34" i="8" s="1"/>
  <c r="BK76" i="1"/>
  <c r="BA34" i="8" s="1"/>
  <c r="BL76" i="1"/>
  <c r="BB34" i="8" s="1"/>
  <c r="BM76" i="1"/>
  <c r="BC34" i="8" s="1"/>
  <c r="BN76" i="1"/>
  <c r="BD34" i="8" s="1"/>
  <c r="BO76" i="1"/>
  <c r="BE34" i="8" s="1"/>
  <c r="BP76" i="1"/>
  <c r="BF34" i="8" s="1"/>
  <c r="BQ76" i="1"/>
  <c r="BG34" i="8" s="1"/>
  <c r="BR76" i="1"/>
  <c r="BH34" i="8" s="1"/>
  <c r="BS76" i="1"/>
  <c r="BI34" i="8" s="1"/>
  <c r="BT76" i="1"/>
  <c r="BJ34" i="8" s="1"/>
  <c r="BU76" i="1"/>
  <c r="BK34" i="8" s="1"/>
  <c r="BV76" i="1"/>
  <c r="BL34" i="8" s="1"/>
  <c r="F77" i="1"/>
  <c r="G77" i="1"/>
  <c r="H77" i="1"/>
  <c r="I77" i="1"/>
  <c r="J77" i="1"/>
  <c r="K77" i="1"/>
  <c r="L77" i="1"/>
  <c r="N77" i="1"/>
  <c r="O77" i="1"/>
  <c r="E59" i="8" s="1"/>
  <c r="P77" i="1"/>
  <c r="F59" i="8" s="1"/>
  <c r="Q77" i="1"/>
  <c r="G59" i="8" s="1"/>
  <c r="R77" i="1"/>
  <c r="H59" i="8" s="1"/>
  <c r="S77" i="1"/>
  <c r="I59" i="8" s="1"/>
  <c r="T77" i="1"/>
  <c r="J59" i="8" s="1"/>
  <c r="U77" i="1"/>
  <c r="K59" i="8" s="1"/>
  <c r="V77" i="1"/>
  <c r="L59" i="8" s="1"/>
  <c r="W77" i="1"/>
  <c r="M59" i="8" s="1"/>
  <c r="X77" i="1"/>
  <c r="N59" i="8" s="1"/>
  <c r="Y77" i="1"/>
  <c r="O59" i="8" s="1"/>
  <c r="Z77" i="1"/>
  <c r="P59" i="8" s="1"/>
  <c r="AA77" i="1"/>
  <c r="Q59" i="8" s="1"/>
  <c r="AB77" i="1"/>
  <c r="R59" i="8" s="1"/>
  <c r="AC77" i="1"/>
  <c r="S59" i="8" s="1"/>
  <c r="AD77" i="1"/>
  <c r="T59" i="8" s="1"/>
  <c r="AE77" i="1"/>
  <c r="U59" i="8" s="1"/>
  <c r="AF77" i="1"/>
  <c r="V59" i="8" s="1"/>
  <c r="AG77" i="1"/>
  <c r="W59" i="8" s="1"/>
  <c r="AH77" i="1"/>
  <c r="X59" i="8" s="1"/>
  <c r="AI77" i="1"/>
  <c r="Y59" i="8" s="1"/>
  <c r="AJ77" i="1"/>
  <c r="Z59" i="8" s="1"/>
  <c r="AK77" i="1"/>
  <c r="AA59" i="8" s="1"/>
  <c r="AL77" i="1"/>
  <c r="AB59" i="8" s="1"/>
  <c r="AM77" i="1"/>
  <c r="AC59" i="8" s="1"/>
  <c r="AN77" i="1"/>
  <c r="AD59" i="8" s="1"/>
  <c r="AO77" i="1"/>
  <c r="AE59" i="8" s="1"/>
  <c r="AP77" i="1"/>
  <c r="AF59" i="8" s="1"/>
  <c r="AQ77" i="1"/>
  <c r="AG59" i="8" s="1"/>
  <c r="AR77" i="1"/>
  <c r="AH59" i="8" s="1"/>
  <c r="AS77" i="1"/>
  <c r="AI59" i="8" s="1"/>
  <c r="AT77" i="1"/>
  <c r="AJ59" i="8" s="1"/>
  <c r="AU77" i="1"/>
  <c r="AK59" i="8" s="1"/>
  <c r="AV77" i="1"/>
  <c r="AL59" i="8" s="1"/>
  <c r="AW77" i="1"/>
  <c r="AM59" i="8" s="1"/>
  <c r="AX77" i="1"/>
  <c r="AN59" i="8" s="1"/>
  <c r="AY77" i="1"/>
  <c r="AO59" i="8" s="1"/>
  <c r="AZ77" i="1"/>
  <c r="AP59" i="8" s="1"/>
  <c r="BA77" i="1"/>
  <c r="AQ59" i="8" s="1"/>
  <c r="BB77" i="1"/>
  <c r="AR59" i="8" s="1"/>
  <c r="BC77" i="1"/>
  <c r="AS59" i="8" s="1"/>
  <c r="BD77" i="1"/>
  <c r="AT59" i="8" s="1"/>
  <c r="BE77" i="1"/>
  <c r="AU59" i="8" s="1"/>
  <c r="BF77" i="1"/>
  <c r="AV59" i="8" s="1"/>
  <c r="BG77" i="1"/>
  <c r="AW59" i="8" s="1"/>
  <c r="BH77" i="1"/>
  <c r="AX59" i="8" s="1"/>
  <c r="BI77" i="1"/>
  <c r="AY59" i="8" s="1"/>
  <c r="BJ77" i="1"/>
  <c r="AZ59" i="8" s="1"/>
  <c r="BK77" i="1"/>
  <c r="BA59" i="8" s="1"/>
  <c r="BL77" i="1"/>
  <c r="BB59" i="8" s="1"/>
  <c r="BM77" i="1"/>
  <c r="BC59" i="8" s="1"/>
  <c r="BN77" i="1"/>
  <c r="BD59" i="8" s="1"/>
  <c r="BO77" i="1"/>
  <c r="BE59" i="8" s="1"/>
  <c r="BP77" i="1"/>
  <c r="BF59" i="8" s="1"/>
  <c r="BQ77" i="1"/>
  <c r="BG59" i="8" s="1"/>
  <c r="BR77" i="1"/>
  <c r="BH59" i="8" s="1"/>
  <c r="BS77" i="1"/>
  <c r="BI59" i="8" s="1"/>
  <c r="BT77" i="1"/>
  <c r="BJ59" i="8" s="1"/>
  <c r="BU77" i="1"/>
  <c r="BK59" i="8" s="1"/>
  <c r="BV77" i="1"/>
  <c r="BL59" i="8" s="1"/>
  <c r="E81" i="1"/>
  <c r="E80" i="1"/>
  <c r="E77" i="1"/>
  <c r="E76" i="1"/>
  <c r="AV56" i="8" l="1"/>
  <c r="AB81" i="8"/>
  <c r="X56" i="8"/>
  <c r="AY81" i="8"/>
  <c r="AA81" i="8"/>
  <c r="AU56" i="8"/>
  <c r="E81" i="8"/>
  <c r="AW56" i="8"/>
  <c r="Y56" i="8"/>
  <c r="AC81" i="8"/>
  <c r="AX81" i="8"/>
  <c r="AT56" i="8"/>
  <c r="Z81" i="8"/>
  <c r="V56" i="8"/>
  <c r="Z56" i="8"/>
  <c r="AR55" i="8"/>
  <c r="AX80" i="8"/>
  <c r="Z80" i="8"/>
  <c r="AQ55" i="8"/>
  <c r="S55" i="8"/>
  <c r="AB80" i="8"/>
  <c r="U55" i="8"/>
  <c r="AV80" i="8"/>
  <c r="X80" i="8"/>
  <c r="S54" i="8"/>
  <c r="AU79" i="8"/>
  <c r="W79" i="8"/>
  <c r="AQ54" i="8"/>
  <c r="AN55" i="8"/>
  <c r="P55" i="8"/>
  <c r="AW80" i="8"/>
  <c r="AS55" i="8"/>
  <c r="AA80" i="8"/>
  <c r="Y80" i="8"/>
  <c r="BL80" i="8"/>
  <c r="AU80" i="8"/>
  <c r="W80" i="8"/>
  <c r="AT80" i="8"/>
  <c r="V80" i="8"/>
  <c r="AZ80" i="8"/>
  <c r="T55" i="8"/>
  <c r="AM55" i="8"/>
  <c r="AS80" i="8"/>
  <c r="U80" i="8"/>
  <c r="BA80" i="8"/>
  <c r="BK80" i="8"/>
  <c r="O55" i="8"/>
  <c r="BK55" i="8"/>
  <c r="AR80" i="8"/>
  <c r="T80" i="8"/>
  <c r="AQ80" i="8"/>
  <c r="R80" i="8"/>
  <c r="S80" i="8"/>
  <c r="AP80" i="8"/>
  <c r="AO80" i="8"/>
  <c r="Q80" i="8"/>
  <c r="AN80" i="8"/>
  <c r="P80" i="8"/>
  <c r="AM80" i="8"/>
  <c r="O80" i="8"/>
  <c r="AL80" i="8"/>
  <c r="M80" i="8"/>
  <c r="BI80" i="8"/>
  <c r="K80" i="8"/>
  <c r="AH80" i="8"/>
  <c r="BF80" i="8"/>
  <c r="I80" i="8"/>
  <c r="N80" i="8"/>
  <c r="AK80" i="8"/>
  <c r="L80" i="8"/>
  <c r="BH80" i="8"/>
  <c r="BG80" i="8"/>
  <c r="BE80" i="8"/>
  <c r="AF80" i="8"/>
  <c r="H80" i="8"/>
  <c r="BJ80" i="8"/>
  <c r="AJ80" i="8"/>
  <c r="AI80" i="8"/>
  <c r="J80" i="8"/>
  <c r="AE80" i="8"/>
  <c r="G80" i="8"/>
  <c r="BC80" i="8"/>
  <c r="AD80" i="8"/>
  <c r="F80" i="8"/>
  <c r="BB80" i="8"/>
  <c r="AC80" i="8"/>
  <c r="E80" i="8"/>
  <c r="W56" i="8"/>
  <c r="AO55" i="8"/>
  <c r="AJ55" i="8"/>
  <c r="Q55" i="8"/>
  <c r="BJ55" i="8"/>
  <c r="L55" i="8"/>
  <c r="AI55" i="8"/>
  <c r="BL55" i="8"/>
  <c r="AK55" i="8"/>
  <c r="BH55" i="8"/>
  <c r="K55" i="8"/>
  <c r="BG55" i="8"/>
  <c r="J55" i="8"/>
  <c r="AP55" i="8"/>
  <c r="R55" i="8"/>
  <c r="N55" i="8"/>
  <c r="M55" i="8"/>
  <c r="BF55" i="8"/>
  <c r="I55" i="8"/>
  <c r="BE55" i="8"/>
  <c r="AF55" i="8"/>
  <c r="H55" i="8"/>
  <c r="AL55" i="8"/>
  <c r="BI55" i="8"/>
  <c r="AE55" i="8"/>
  <c r="G55" i="8"/>
  <c r="AD55" i="8"/>
  <c r="F55" i="8"/>
  <c r="BC55" i="8"/>
  <c r="BB55" i="8"/>
  <c r="AC55" i="8"/>
  <c r="BA55" i="8"/>
  <c r="AB55" i="8"/>
  <c r="AZ55" i="8"/>
  <c r="AA55" i="8"/>
  <c r="Z55" i="8"/>
  <c r="AW55" i="8"/>
  <c r="AV55" i="8"/>
  <c r="X55" i="8"/>
  <c r="AU55" i="8"/>
  <c r="W55" i="8"/>
  <c r="AX55" i="8"/>
  <c r="Y55" i="8"/>
  <c r="AT55" i="8"/>
  <c r="V55" i="8"/>
  <c r="AP54" i="8"/>
  <c r="R54" i="8"/>
  <c r="AV79" i="8"/>
  <c r="AS54" i="8"/>
  <c r="X79" i="8"/>
  <c r="AS79" i="8"/>
  <c r="U79" i="8"/>
  <c r="AO54" i="8"/>
  <c r="Q54" i="8"/>
  <c r="AR79" i="8"/>
  <c r="BL54" i="8"/>
  <c r="AQ79" i="8"/>
  <c r="S79" i="8"/>
  <c r="BK54" i="8"/>
  <c r="AM54" i="8"/>
  <c r="O54" i="8"/>
  <c r="U54" i="8"/>
  <c r="AW79" i="8"/>
  <c r="AR54" i="8"/>
  <c r="T54" i="8"/>
  <c r="Y79" i="8"/>
  <c r="T79" i="8"/>
  <c r="AN54" i="8"/>
  <c r="P54" i="8"/>
  <c r="V79" i="8"/>
  <c r="AY56" i="8"/>
  <c r="AZ81" i="8"/>
  <c r="AW81" i="8"/>
  <c r="AS56" i="8"/>
  <c r="Y81" i="8"/>
  <c r="AE81" i="8"/>
  <c r="U56" i="8"/>
  <c r="BB81" i="8"/>
  <c r="AD81" i="8"/>
  <c r="G81" i="8"/>
  <c r="AA56" i="8"/>
  <c r="F81" i="8"/>
  <c r="AX56" i="8"/>
  <c r="BC81" i="8"/>
  <c r="BA81" i="8"/>
  <c r="AG45" i="8"/>
  <c r="BD70" i="8"/>
  <c r="BD80" i="8" s="1"/>
  <c r="AG20" i="8"/>
  <c r="BD45" i="8"/>
  <c r="BD55" i="8" s="1"/>
  <c r="AP79" i="8"/>
  <c r="N54" i="8"/>
  <c r="X81" i="8"/>
  <c r="BJ54" i="8"/>
  <c r="AV81" i="8"/>
  <c r="AL54" i="8"/>
  <c r="AR56" i="8"/>
  <c r="R79" i="8"/>
  <c r="T56" i="8"/>
  <c r="AT79" i="8"/>
  <c r="BI54" i="8"/>
  <c r="P79" i="8"/>
  <c r="BK79" i="8"/>
  <c r="U81" i="8"/>
  <c r="AO56" i="8"/>
  <c r="Q56" i="8"/>
  <c r="BJ79" i="8"/>
  <c r="AL79" i="8"/>
  <c r="N79" i="8"/>
  <c r="BF54" i="8"/>
  <c r="J54" i="8"/>
  <c r="AR81" i="8"/>
  <c r="T81" i="8"/>
  <c r="BL56" i="8"/>
  <c r="AN56" i="8"/>
  <c r="P56" i="8"/>
  <c r="AE54" i="8"/>
  <c r="BL81" i="8"/>
  <c r="AJ56" i="8"/>
  <c r="BE79" i="8"/>
  <c r="I79" i="8"/>
  <c r="BA54" i="8"/>
  <c r="AC54" i="8"/>
  <c r="BK81" i="8"/>
  <c r="AM81" i="8"/>
  <c r="O81" i="8"/>
  <c r="BG56" i="8"/>
  <c r="AI56" i="8"/>
  <c r="K56" i="8"/>
  <c r="M54" i="8"/>
  <c r="BE54" i="8"/>
  <c r="S81" i="8"/>
  <c r="BH79" i="8"/>
  <c r="N56" i="8"/>
  <c r="AO79" i="8"/>
  <c r="AT81" i="8"/>
  <c r="BG54" i="8"/>
  <c r="BI79" i="8"/>
  <c r="AQ81" i="8"/>
  <c r="AJ79" i="8"/>
  <c r="R81" i="8"/>
  <c r="BC54" i="8"/>
  <c r="AD54" i="8"/>
  <c r="AL81" i="8"/>
  <c r="S56" i="8"/>
  <c r="BL79" i="8"/>
  <c r="R56" i="8"/>
  <c r="AS81" i="8"/>
  <c r="M56" i="8"/>
  <c r="Z54" i="8"/>
  <c r="BH81" i="8"/>
  <c r="AJ81" i="8"/>
  <c r="L81" i="8"/>
  <c r="BD56" i="8"/>
  <c r="AF56" i="8"/>
  <c r="H56" i="8"/>
  <c r="AQ56" i="8"/>
  <c r="AP56" i="8"/>
  <c r="K54" i="8"/>
  <c r="BD54" i="8"/>
  <c r="AL56" i="8"/>
  <c r="L54" i="8"/>
  <c r="O79" i="8"/>
  <c r="M79" i="8"/>
  <c r="O56" i="8"/>
  <c r="L79" i="8"/>
  <c r="AI79" i="8"/>
  <c r="AO81" i="8"/>
  <c r="AK56" i="8"/>
  <c r="BB54" i="8"/>
  <c r="BH56" i="8"/>
  <c r="BD79" i="8"/>
  <c r="AB54" i="8"/>
  <c r="BF56" i="8"/>
  <c r="BC79" i="8"/>
  <c r="AA54" i="8"/>
  <c r="AK81" i="8"/>
  <c r="I56" i="8"/>
  <c r="AX54" i="8"/>
  <c r="E79" i="8"/>
  <c r="BG81" i="8"/>
  <c r="BC56" i="8"/>
  <c r="AE56" i="8"/>
  <c r="G56" i="8"/>
  <c r="AZ79" i="8"/>
  <c r="AB79" i="8"/>
  <c r="AV54" i="8"/>
  <c r="X54" i="8"/>
  <c r="BF81" i="8"/>
  <c r="AH81" i="8"/>
  <c r="J81" i="8"/>
  <c r="BB56" i="8"/>
  <c r="AD56" i="8"/>
  <c r="F56" i="8"/>
  <c r="AK54" i="8"/>
  <c r="W81" i="8"/>
  <c r="BH54" i="8"/>
  <c r="AI54" i="8"/>
  <c r="AK79" i="8"/>
  <c r="AM56" i="8"/>
  <c r="H54" i="8"/>
  <c r="BJ56" i="8"/>
  <c r="K79" i="8"/>
  <c r="BI56" i="8"/>
  <c r="BF79" i="8"/>
  <c r="J79" i="8"/>
  <c r="P81" i="8"/>
  <c r="AF79" i="8"/>
  <c r="AZ54" i="8"/>
  <c r="BJ81" i="8"/>
  <c r="N81" i="8"/>
  <c r="G79" i="8"/>
  <c r="BI81" i="8"/>
  <c r="BE56" i="8"/>
  <c r="AD79" i="8"/>
  <c r="BA79" i="8"/>
  <c r="Y54" i="8"/>
  <c r="AI81" i="8"/>
  <c r="AY79" i="8"/>
  <c r="W54" i="8"/>
  <c r="BE81" i="8"/>
  <c r="I81" i="8"/>
  <c r="BA56" i="8"/>
  <c r="AC56" i="8"/>
  <c r="Q79" i="8"/>
  <c r="AU81" i="8"/>
  <c r="AN79" i="8"/>
  <c r="AJ54" i="8"/>
  <c r="V81" i="8"/>
  <c r="AM79" i="8"/>
  <c r="I54" i="8"/>
  <c r="BK56" i="8"/>
  <c r="AF54" i="8"/>
  <c r="AP81" i="8"/>
  <c r="BG79" i="8"/>
  <c r="G54" i="8"/>
  <c r="Q81" i="8"/>
  <c r="AH79" i="8"/>
  <c r="F54" i="8"/>
  <c r="AN81" i="8"/>
  <c r="L56" i="8"/>
  <c r="H79" i="8"/>
  <c r="J56" i="8"/>
  <c r="AE79" i="8"/>
  <c r="AY54" i="8"/>
  <c r="M81" i="8"/>
  <c r="BB79" i="8"/>
  <c r="F79" i="8"/>
  <c r="AC79" i="8"/>
  <c r="AW54" i="8"/>
  <c r="K81" i="8"/>
  <c r="AA79" i="8"/>
  <c r="AU54" i="8"/>
  <c r="AX79" i="8"/>
  <c r="Z79" i="8"/>
  <c r="AT54" i="8"/>
  <c r="V54" i="8"/>
  <c r="BD81" i="8"/>
  <c r="AF81" i="8"/>
  <c r="H81" i="8"/>
  <c r="AZ56" i="8"/>
  <c r="AB56" i="8"/>
  <c r="AG80" i="8"/>
  <c r="AG79" i="8"/>
  <c r="AG81" i="8"/>
  <c r="GZ81" i="8" l="1"/>
  <c r="GZ79" i="8"/>
  <c r="AH42" i="8"/>
  <c r="AG42" i="8"/>
  <c r="AH39" i="8"/>
  <c r="AG39" i="8"/>
  <c r="E37" i="8"/>
  <c r="AG35" i="8"/>
  <c r="F74" i="4"/>
  <c r="G74" i="4"/>
  <c r="H74" i="4"/>
  <c r="I74" i="4"/>
  <c r="J74" i="4"/>
  <c r="K74" i="4"/>
  <c r="L74" i="4"/>
  <c r="N74" i="4"/>
  <c r="O74" i="4"/>
  <c r="E12" i="8" s="1"/>
  <c r="P74" i="4"/>
  <c r="F12" i="8" s="1"/>
  <c r="Q74" i="4"/>
  <c r="G12" i="8" s="1"/>
  <c r="R74" i="4"/>
  <c r="H12" i="8" s="1"/>
  <c r="S74" i="4"/>
  <c r="I12" i="8" s="1"/>
  <c r="T74" i="4"/>
  <c r="J12" i="8" s="1"/>
  <c r="U74" i="4"/>
  <c r="K12" i="8" s="1"/>
  <c r="V74" i="4"/>
  <c r="L12" i="8" s="1"/>
  <c r="W74" i="4"/>
  <c r="M12" i="8" s="1"/>
  <c r="X74" i="4"/>
  <c r="N12" i="8" s="1"/>
  <c r="Y74" i="4"/>
  <c r="O12" i="8" s="1"/>
  <c r="Z74" i="4"/>
  <c r="P12" i="8" s="1"/>
  <c r="AA74" i="4"/>
  <c r="Q12" i="8" s="1"/>
  <c r="AB74" i="4"/>
  <c r="R12" i="8" s="1"/>
  <c r="AC74" i="4"/>
  <c r="S12" i="8" s="1"/>
  <c r="AD74" i="4"/>
  <c r="T12" i="8" s="1"/>
  <c r="AE74" i="4"/>
  <c r="U12" i="8" s="1"/>
  <c r="AF74" i="4"/>
  <c r="V12" i="8" s="1"/>
  <c r="AG74" i="4"/>
  <c r="W12" i="8" s="1"/>
  <c r="AH74" i="4"/>
  <c r="X12" i="8" s="1"/>
  <c r="AI74" i="4"/>
  <c r="Y12" i="8" s="1"/>
  <c r="AJ74" i="4"/>
  <c r="Z12" i="8" s="1"/>
  <c r="AK74" i="4"/>
  <c r="AA12" i="8" s="1"/>
  <c r="AL74" i="4"/>
  <c r="AB12" i="8" s="1"/>
  <c r="AM74" i="4"/>
  <c r="AC12" i="8" s="1"/>
  <c r="AN74" i="4"/>
  <c r="AD12" i="8" s="1"/>
  <c r="AO74" i="4"/>
  <c r="AE12" i="8" s="1"/>
  <c r="AP74" i="4"/>
  <c r="AF12" i="8" s="1"/>
  <c r="AQ74" i="4"/>
  <c r="AG12" i="8" s="1"/>
  <c r="AR74" i="4"/>
  <c r="AH12" i="8" s="1"/>
  <c r="AS74" i="4"/>
  <c r="AI12" i="8" s="1"/>
  <c r="AT74" i="4"/>
  <c r="AJ12" i="8" s="1"/>
  <c r="AU74" i="4"/>
  <c r="AK12" i="8" s="1"/>
  <c r="AV74" i="4"/>
  <c r="AL12" i="8" s="1"/>
  <c r="AW74" i="4"/>
  <c r="AM12" i="8" s="1"/>
  <c r="AX74" i="4"/>
  <c r="AN12" i="8" s="1"/>
  <c r="AY74" i="4"/>
  <c r="AO12" i="8" s="1"/>
  <c r="AZ74" i="4"/>
  <c r="AP12" i="8" s="1"/>
  <c r="BA74" i="4"/>
  <c r="AQ12" i="8" s="1"/>
  <c r="BB74" i="4"/>
  <c r="AR12" i="8" s="1"/>
  <c r="BC74" i="4"/>
  <c r="AS12" i="8" s="1"/>
  <c r="BD74" i="4"/>
  <c r="AT12" i="8" s="1"/>
  <c r="BE74" i="4"/>
  <c r="AU12" i="8" s="1"/>
  <c r="BF74" i="4"/>
  <c r="AV12" i="8" s="1"/>
  <c r="BG74" i="4"/>
  <c r="AW12" i="8" s="1"/>
  <c r="BH74" i="4"/>
  <c r="AX12" i="8" s="1"/>
  <c r="BI74" i="4"/>
  <c r="AY12" i="8" s="1"/>
  <c r="BJ74" i="4"/>
  <c r="AZ12" i="8" s="1"/>
  <c r="BK74" i="4"/>
  <c r="BA12" i="8" s="1"/>
  <c r="BL74" i="4"/>
  <c r="BB12" i="8" s="1"/>
  <c r="BM74" i="4"/>
  <c r="BC12" i="8" s="1"/>
  <c r="BN74" i="4"/>
  <c r="BD12" i="8" s="1"/>
  <c r="BO74" i="4"/>
  <c r="BE12" i="8" s="1"/>
  <c r="BP74" i="4"/>
  <c r="BF12" i="8" s="1"/>
  <c r="BQ74" i="4"/>
  <c r="BG12" i="8" s="1"/>
  <c r="BR74" i="4"/>
  <c r="BH12" i="8" s="1"/>
  <c r="BS74" i="4"/>
  <c r="BI12" i="8" s="1"/>
  <c r="BT74" i="4"/>
  <c r="BJ12" i="8" s="1"/>
  <c r="BU74" i="4"/>
  <c r="BK12" i="8" s="1"/>
  <c r="BV74" i="4"/>
  <c r="BL12" i="8" s="1"/>
  <c r="AG37" i="8"/>
  <c r="AH37" i="8"/>
  <c r="F78" i="4"/>
  <c r="G78" i="4"/>
  <c r="H78" i="4"/>
  <c r="I78" i="4"/>
  <c r="J78" i="4"/>
  <c r="K78" i="4"/>
  <c r="L78" i="4"/>
  <c r="N78" i="4"/>
  <c r="E17" i="8"/>
  <c r="P78" i="4"/>
  <c r="F17" i="8" s="1"/>
  <c r="Q78" i="4"/>
  <c r="G17" i="8" s="1"/>
  <c r="R78" i="4"/>
  <c r="H17" i="8" s="1"/>
  <c r="S78" i="4"/>
  <c r="I17" i="8" s="1"/>
  <c r="T78" i="4"/>
  <c r="J17" i="8" s="1"/>
  <c r="U78" i="4"/>
  <c r="K17" i="8" s="1"/>
  <c r="V78" i="4"/>
  <c r="L17" i="8" s="1"/>
  <c r="W78" i="4"/>
  <c r="M17" i="8" s="1"/>
  <c r="X78" i="4"/>
  <c r="N17" i="8" s="1"/>
  <c r="Y78" i="4"/>
  <c r="O17" i="8" s="1"/>
  <c r="Z78" i="4"/>
  <c r="P17" i="8" s="1"/>
  <c r="AA78" i="4"/>
  <c r="Q17" i="8" s="1"/>
  <c r="AB78" i="4"/>
  <c r="R17" i="8" s="1"/>
  <c r="AC78" i="4"/>
  <c r="S17" i="8" s="1"/>
  <c r="AD78" i="4"/>
  <c r="T17" i="8" s="1"/>
  <c r="AE78" i="4"/>
  <c r="U17" i="8" s="1"/>
  <c r="AF78" i="4"/>
  <c r="V17" i="8" s="1"/>
  <c r="AG78" i="4"/>
  <c r="W17" i="8" s="1"/>
  <c r="AH78" i="4"/>
  <c r="X17" i="8" s="1"/>
  <c r="AI78" i="4"/>
  <c r="Y17" i="8" s="1"/>
  <c r="AJ78" i="4"/>
  <c r="Z17" i="8" s="1"/>
  <c r="AK78" i="4"/>
  <c r="AA17" i="8" s="1"/>
  <c r="AL78" i="4"/>
  <c r="AB17" i="8" s="1"/>
  <c r="AM78" i="4"/>
  <c r="AC17" i="8" s="1"/>
  <c r="AN78" i="4"/>
  <c r="AD17" i="8" s="1"/>
  <c r="AO78" i="4"/>
  <c r="AE17" i="8" s="1"/>
  <c r="AP78" i="4"/>
  <c r="AF17" i="8" s="1"/>
  <c r="AQ78" i="4"/>
  <c r="AG17" i="8" s="1"/>
  <c r="AR78" i="4"/>
  <c r="AH17" i="8" s="1"/>
  <c r="AS78" i="4"/>
  <c r="AI17" i="8" s="1"/>
  <c r="AT78" i="4"/>
  <c r="AJ17" i="8" s="1"/>
  <c r="AU78" i="4"/>
  <c r="AK17" i="8" s="1"/>
  <c r="AV78" i="4"/>
  <c r="AL17" i="8" s="1"/>
  <c r="AW78" i="4"/>
  <c r="AM17" i="8" s="1"/>
  <c r="AX78" i="4"/>
  <c r="AN17" i="8" s="1"/>
  <c r="AY78" i="4"/>
  <c r="AO17" i="8" s="1"/>
  <c r="AZ78" i="4"/>
  <c r="AP17" i="8" s="1"/>
  <c r="BA78" i="4"/>
  <c r="AQ17" i="8" s="1"/>
  <c r="BB78" i="4"/>
  <c r="AR17" i="8" s="1"/>
  <c r="BC78" i="4"/>
  <c r="AS17" i="8" s="1"/>
  <c r="BD78" i="4"/>
  <c r="AT17" i="8" s="1"/>
  <c r="BE78" i="4"/>
  <c r="AU17" i="8" s="1"/>
  <c r="BF78" i="4"/>
  <c r="AV17" i="8" s="1"/>
  <c r="BG78" i="4"/>
  <c r="AW17" i="8" s="1"/>
  <c r="BH78" i="4"/>
  <c r="AX17" i="8" s="1"/>
  <c r="BI78" i="4"/>
  <c r="AY17" i="8" s="1"/>
  <c r="BJ78" i="4"/>
  <c r="AZ17" i="8" s="1"/>
  <c r="BK78" i="4"/>
  <c r="BA17" i="8" s="1"/>
  <c r="BL78" i="4"/>
  <c r="BB17" i="8" s="1"/>
  <c r="BM78" i="4"/>
  <c r="BC17" i="8" s="1"/>
  <c r="BN78" i="4"/>
  <c r="BD17" i="8" s="1"/>
  <c r="BO78" i="4"/>
  <c r="BE17" i="8" s="1"/>
  <c r="BP78" i="4"/>
  <c r="BF17" i="8" s="1"/>
  <c r="BQ78" i="4"/>
  <c r="BG17" i="8" s="1"/>
  <c r="BR78" i="4"/>
  <c r="BH17" i="8" s="1"/>
  <c r="BS78" i="4"/>
  <c r="BI17" i="8" s="1"/>
  <c r="BT78" i="4"/>
  <c r="BJ17" i="8" s="1"/>
  <c r="BU78" i="4"/>
  <c r="BK17" i="8" s="1"/>
  <c r="BV78" i="4"/>
  <c r="BL17" i="8" s="1"/>
  <c r="E42" i="8"/>
  <c r="F88" i="2"/>
  <c r="G88" i="2"/>
  <c r="H88" i="2"/>
  <c r="I88" i="2"/>
  <c r="J88" i="2"/>
  <c r="K88" i="2"/>
  <c r="L88" i="2"/>
  <c r="N88" i="2"/>
  <c r="O88" i="2"/>
  <c r="E10" i="8" s="1"/>
  <c r="P88" i="2"/>
  <c r="F10" i="8" s="1"/>
  <c r="Q88" i="2"/>
  <c r="G10" i="8" s="1"/>
  <c r="R88" i="2"/>
  <c r="H10" i="8" s="1"/>
  <c r="S88" i="2"/>
  <c r="I10" i="8" s="1"/>
  <c r="T88" i="2"/>
  <c r="J10" i="8" s="1"/>
  <c r="U88" i="2"/>
  <c r="K10" i="8" s="1"/>
  <c r="V88" i="2"/>
  <c r="L10" i="8" s="1"/>
  <c r="W88" i="2"/>
  <c r="M10" i="8" s="1"/>
  <c r="X88" i="2"/>
  <c r="N10" i="8" s="1"/>
  <c r="Y88" i="2"/>
  <c r="O10" i="8" s="1"/>
  <c r="Z88" i="2"/>
  <c r="P10" i="8" s="1"/>
  <c r="AA88" i="2"/>
  <c r="Q10" i="8" s="1"/>
  <c r="AB88" i="2"/>
  <c r="R10" i="8" s="1"/>
  <c r="AC88" i="2"/>
  <c r="S10" i="8" s="1"/>
  <c r="AD88" i="2"/>
  <c r="T10" i="8" s="1"/>
  <c r="AE88" i="2"/>
  <c r="U10" i="8" s="1"/>
  <c r="AF88" i="2"/>
  <c r="V10" i="8" s="1"/>
  <c r="AG88" i="2"/>
  <c r="W10" i="8" s="1"/>
  <c r="AH88" i="2"/>
  <c r="X10" i="8" s="1"/>
  <c r="AI88" i="2"/>
  <c r="Y10" i="8" s="1"/>
  <c r="AJ88" i="2"/>
  <c r="Z10" i="8" s="1"/>
  <c r="AK88" i="2"/>
  <c r="AA10" i="8" s="1"/>
  <c r="AL88" i="2"/>
  <c r="AB10" i="8" s="1"/>
  <c r="AM88" i="2"/>
  <c r="AC10" i="8" s="1"/>
  <c r="AN88" i="2"/>
  <c r="AD10" i="8" s="1"/>
  <c r="AO88" i="2"/>
  <c r="AE10" i="8" s="1"/>
  <c r="AP88" i="2"/>
  <c r="AF10" i="8" s="1"/>
  <c r="AQ88" i="2"/>
  <c r="AR88" i="2"/>
  <c r="AH10" i="8" s="1"/>
  <c r="AS88" i="2"/>
  <c r="AI10" i="8" s="1"/>
  <c r="AT88" i="2"/>
  <c r="AJ10" i="8" s="1"/>
  <c r="AU88" i="2"/>
  <c r="AK10" i="8" s="1"/>
  <c r="AV88" i="2"/>
  <c r="AL10" i="8" s="1"/>
  <c r="AW88" i="2"/>
  <c r="AM10" i="8" s="1"/>
  <c r="AX88" i="2"/>
  <c r="AN10" i="8" s="1"/>
  <c r="AY88" i="2"/>
  <c r="AO10" i="8" s="1"/>
  <c r="AZ88" i="2"/>
  <c r="AP10" i="8" s="1"/>
  <c r="BA88" i="2"/>
  <c r="AQ10" i="8" s="1"/>
  <c r="BB88" i="2"/>
  <c r="AR10" i="8" s="1"/>
  <c r="BC88" i="2"/>
  <c r="AS10" i="8" s="1"/>
  <c r="BD88" i="2"/>
  <c r="AT10" i="8" s="1"/>
  <c r="BE88" i="2"/>
  <c r="AU10" i="8" s="1"/>
  <c r="BF88" i="2"/>
  <c r="AV10" i="8" s="1"/>
  <c r="BG88" i="2"/>
  <c r="AW10" i="8" s="1"/>
  <c r="BH88" i="2"/>
  <c r="AX10" i="8" s="1"/>
  <c r="BI88" i="2"/>
  <c r="AY10" i="8" s="1"/>
  <c r="BJ88" i="2"/>
  <c r="AZ10" i="8" s="1"/>
  <c r="BK88" i="2"/>
  <c r="BA10" i="8" s="1"/>
  <c r="BL88" i="2"/>
  <c r="BB10" i="8" s="1"/>
  <c r="BM88" i="2"/>
  <c r="BC10" i="8" s="1"/>
  <c r="BN88" i="2"/>
  <c r="BO88" i="2"/>
  <c r="BE10" i="8" s="1"/>
  <c r="BP88" i="2"/>
  <c r="BF10" i="8" s="1"/>
  <c r="BQ88" i="2"/>
  <c r="BG10" i="8" s="1"/>
  <c r="BR88" i="2"/>
  <c r="BH10" i="8" s="1"/>
  <c r="BS88" i="2"/>
  <c r="BI10" i="8" s="1"/>
  <c r="BT88" i="2"/>
  <c r="BJ10" i="8" s="1"/>
  <c r="BU88" i="2"/>
  <c r="BK10" i="8" s="1"/>
  <c r="BV88" i="2"/>
  <c r="BL10" i="8" s="1"/>
  <c r="F92" i="2"/>
  <c r="G92" i="2"/>
  <c r="H92" i="2"/>
  <c r="I92" i="2"/>
  <c r="J92" i="2"/>
  <c r="K92" i="2"/>
  <c r="L92" i="2"/>
  <c r="N92" i="2"/>
  <c r="O92" i="2"/>
  <c r="E15" i="8" s="1"/>
  <c r="P92" i="2"/>
  <c r="F15" i="8" s="1"/>
  <c r="Q92" i="2"/>
  <c r="G15" i="8" s="1"/>
  <c r="R92" i="2"/>
  <c r="H15" i="8" s="1"/>
  <c r="S92" i="2"/>
  <c r="I15" i="8" s="1"/>
  <c r="T92" i="2"/>
  <c r="J15" i="8" s="1"/>
  <c r="U92" i="2"/>
  <c r="K15" i="8" s="1"/>
  <c r="V92" i="2"/>
  <c r="L15" i="8" s="1"/>
  <c r="W92" i="2"/>
  <c r="M15" i="8" s="1"/>
  <c r="X92" i="2"/>
  <c r="N15" i="8" s="1"/>
  <c r="Y92" i="2"/>
  <c r="O15" i="8" s="1"/>
  <c r="Z92" i="2"/>
  <c r="P15" i="8" s="1"/>
  <c r="AA92" i="2"/>
  <c r="Q15" i="8" s="1"/>
  <c r="AB92" i="2"/>
  <c r="R15" i="8" s="1"/>
  <c r="AC92" i="2"/>
  <c r="S15" i="8" s="1"/>
  <c r="AD92" i="2"/>
  <c r="T15" i="8" s="1"/>
  <c r="AE92" i="2"/>
  <c r="U15" i="8" s="1"/>
  <c r="AF92" i="2"/>
  <c r="V15" i="8" s="1"/>
  <c r="AG92" i="2"/>
  <c r="W15" i="8" s="1"/>
  <c r="AH92" i="2"/>
  <c r="X15" i="8" s="1"/>
  <c r="AI92" i="2"/>
  <c r="Y15" i="8" s="1"/>
  <c r="AJ92" i="2"/>
  <c r="Z15" i="8" s="1"/>
  <c r="AK92" i="2"/>
  <c r="AA15" i="8" s="1"/>
  <c r="AL92" i="2"/>
  <c r="AB15" i="8" s="1"/>
  <c r="AM92" i="2"/>
  <c r="AC15" i="8" s="1"/>
  <c r="AN92" i="2"/>
  <c r="AD15" i="8" s="1"/>
  <c r="AO92" i="2"/>
  <c r="AE15" i="8" s="1"/>
  <c r="AP92" i="2"/>
  <c r="AF15" i="8" s="1"/>
  <c r="AQ92" i="2"/>
  <c r="AR92" i="2"/>
  <c r="AH15" i="8" s="1"/>
  <c r="AS92" i="2"/>
  <c r="AI15" i="8" s="1"/>
  <c r="AT92" i="2"/>
  <c r="AJ15" i="8" s="1"/>
  <c r="AU92" i="2"/>
  <c r="AK15" i="8" s="1"/>
  <c r="AV92" i="2"/>
  <c r="AL15" i="8" s="1"/>
  <c r="AW92" i="2"/>
  <c r="AM15" i="8" s="1"/>
  <c r="AX92" i="2"/>
  <c r="AN15" i="8" s="1"/>
  <c r="AY92" i="2"/>
  <c r="AO15" i="8" s="1"/>
  <c r="AZ92" i="2"/>
  <c r="AP15" i="8" s="1"/>
  <c r="BA92" i="2"/>
  <c r="AQ15" i="8" s="1"/>
  <c r="BB92" i="2"/>
  <c r="AR15" i="8" s="1"/>
  <c r="BC92" i="2"/>
  <c r="AS15" i="8" s="1"/>
  <c r="BD92" i="2"/>
  <c r="AT15" i="8" s="1"/>
  <c r="BE92" i="2"/>
  <c r="AU15" i="8" s="1"/>
  <c r="BF92" i="2"/>
  <c r="AV15" i="8" s="1"/>
  <c r="BG92" i="2"/>
  <c r="AW15" i="8" s="1"/>
  <c r="BH92" i="2"/>
  <c r="AX15" i="8" s="1"/>
  <c r="BI92" i="2"/>
  <c r="AY15" i="8" s="1"/>
  <c r="BJ92" i="2"/>
  <c r="AZ15" i="8" s="1"/>
  <c r="BK92" i="2"/>
  <c r="BA15" i="8" s="1"/>
  <c r="BL92" i="2"/>
  <c r="BB15" i="8" s="1"/>
  <c r="BM92" i="2"/>
  <c r="BC15" i="8" s="1"/>
  <c r="BN92" i="2"/>
  <c r="BD15" i="8" s="1"/>
  <c r="BO92" i="2"/>
  <c r="BE15" i="8" s="1"/>
  <c r="BP92" i="2"/>
  <c r="BF15" i="8" s="1"/>
  <c r="BQ92" i="2"/>
  <c r="BG15" i="8" s="1"/>
  <c r="BR92" i="2"/>
  <c r="BH15" i="8" s="1"/>
  <c r="BS92" i="2"/>
  <c r="BI15" i="8" s="1"/>
  <c r="BT92" i="2"/>
  <c r="BJ15" i="8" s="1"/>
  <c r="BU92" i="2"/>
  <c r="BK15" i="8" s="1"/>
  <c r="BV92" i="2"/>
  <c r="BL15" i="8" s="1"/>
  <c r="AG40" i="8"/>
  <c r="F96" i="2"/>
  <c r="G96" i="2"/>
  <c r="H96" i="2"/>
  <c r="I96" i="2"/>
  <c r="J96" i="2"/>
  <c r="K96" i="2"/>
  <c r="L96" i="2"/>
  <c r="N96" i="2"/>
  <c r="O96" i="2"/>
  <c r="E20" i="8" s="1"/>
  <c r="P96" i="2"/>
  <c r="F20" i="8" s="1"/>
  <c r="Q96" i="2"/>
  <c r="G20" i="8" s="1"/>
  <c r="R96" i="2"/>
  <c r="H20" i="8" s="1"/>
  <c r="S96" i="2"/>
  <c r="I20" i="8" s="1"/>
  <c r="T96" i="2"/>
  <c r="J20" i="8" s="1"/>
  <c r="U96" i="2"/>
  <c r="K20" i="8" s="1"/>
  <c r="V96" i="2"/>
  <c r="L20" i="8" s="1"/>
  <c r="W96" i="2"/>
  <c r="M20" i="8" s="1"/>
  <c r="X96" i="2"/>
  <c r="N20" i="8" s="1"/>
  <c r="Y96" i="2"/>
  <c r="O20" i="8" s="1"/>
  <c r="Z96" i="2"/>
  <c r="P20" i="8" s="1"/>
  <c r="AA96" i="2"/>
  <c r="Q20" i="8" s="1"/>
  <c r="AB96" i="2"/>
  <c r="R20" i="8" s="1"/>
  <c r="AC96" i="2"/>
  <c r="S20" i="8" s="1"/>
  <c r="AD96" i="2"/>
  <c r="T20" i="8" s="1"/>
  <c r="AE96" i="2"/>
  <c r="U20" i="8" s="1"/>
  <c r="AF96" i="2"/>
  <c r="V20" i="8" s="1"/>
  <c r="AG96" i="2"/>
  <c r="W20" i="8" s="1"/>
  <c r="AH96" i="2"/>
  <c r="X20" i="8" s="1"/>
  <c r="AI96" i="2"/>
  <c r="Y20" i="8" s="1"/>
  <c r="AJ96" i="2"/>
  <c r="Z20" i="8" s="1"/>
  <c r="AK96" i="2"/>
  <c r="AA20" i="8" s="1"/>
  <c r="AL96" i="2"/>
  <c r="AB20" i="8" s="1"/>
  <c r="AM96" i="2"/>
  <c r="AC20" i="8" s="1"/>
  <c r="AN96" i="2"/>
  <c r="AD20" i="8" s="1"/>
  <c r="AO96" i="2"/>
  <c r="AE20" i="8" s="1"/>
  <c r="AP96" i="2"/>
  <c r="AF20" i="8" s="1"/>
  <c r="AQ96" i="2"/>
  <c r="AR96" i="2"/>
  <c r="AH20" i="8" s="1"/>
  <c r="AS96" i="2"/>
  <c r="AI20" i="8" s="1"/>
  <c r="AT96" i="2"/>
  <c r="AJ20" i="8" s="1"/>
  <c r="AU96" i="2"/>
  <c r="AK20" i="8" s="1"/>
  <c r="AV96" i="2"/>
  <c r="AL20" i="8" s="1"/>
  <c r="AW96" i="2"/>
  <c r="AM20" i="8" s="1"/>
  <c r="AX96" i="2"/>
  <c r="AN20" i="8" s="1"/>
  <c r="AY96" i="2"/>
  <c r="AO20" i="8" s="1"/>
  <c r="AZ96" i="2"/>
  <c r="AP20" i="8" s="1"/>
  <c r="BA96" i="2"/>
  <c r="AQ20" i="8" s="1"/>
  <c r="BB96" i="2"/>
  <c r="AR20" i="8" s="1"/>
  <c r="BC96" i="2"/>
  <c r="AS20" i="8" s="1"/>
  <c r="BD96" i="2"/>
  <c r="AT20" i="8" s="1"/>
  <c r="BE96" i="2"/>
  <c r="AU20" i="8" s="1"/>
  <c r="BF96" i="2"/>
  <c r="AV20" i="8" s="1"/>
  <c r="BG96" i="2"/>
  <c r="AW20" i="8" s="1"/>
  <c r="BH96" i="2"/>
  <c r="AX20" i="8" s="1"/>
  <c r="BI96" i="2"/>
  <c r="AY20" i="8" s="1"/>
  <c r="BJ96" i="2"/>
  <c r="AZ20" i="8" s="1"/>
  <c r="BK96" i="2"/>
  <c r="BA20" i="8" s="1"/>
  <c r="BL96" i="2"/>
  <c r="BB20" i="8" s="1"/>
  <c r="BM96" i="2"/>
  <c r="BC20" i="8" s="1"/>
  <c r="BN96" i="2"/>
  <c r="BD20" i="8" s="1"/>
  <c r="BO96" i="2"/>
  <c r="BE20" i="8" s="1"/>
  <c r="BP96" i="2"/>
  <c r="BF20" i="8" s="1"/>
  <c r="BQ96" i="2"/>
  <c r="BG20" i="8" s="1"/>
  <c r="BR96" i="2"/>
  <c r="BH20" i="8" s="1"/>
  <c r="BS96" i="2"/>
  <c r="BI20" i="8" s="1"/>
  <c r="BT96" i="2"/>
  <c r="BJ20" i="8" s="1"/>
  <c r="BU96" i="2"/>
  <c r="BK20" i="8" s="1"/>
  <c r="BV96" i="2"/>
  <c r="BL20" i="8" s="1"/>
  <c r="E88" i="2"/>
  <c r="E96" i="2"/>
  <c r="E92" i="2"/>
  <c r="F38" i="6"/>
  <c r="G38" i="6"/>
  <c r="H38" i="6"/>
  <c r="I38" i="6"/>
  <c r="J38" i="6"/>
  <c r="K38" i="6"/>
  <c r="L38" i="6"/>
  <c r="N38" i="6"/>
  <c r="O38" i="6"/>
  <c r="E11" i="8" s="1"/>
  <c r="P38" i="6"/>
  <c r="F11" i="8" s="1"/>
  <c r="Q38" i="6"/>
  <c r="G11" i="8" s="1"/>
  <c r="R38" i="6"/>
  <c r="H11" i="8" s="1"/>
  <c r="S38" i="6"/>
  <c r="I11" i="8" s="1"/>
  <c r="T38" i="6"/>
  <c r="J11" i="8" s="1"/>
  <c r="U38" i="6"/>
  <c r="K11" i="8" s="1"/>
  <c r="V38" i="6"/>
  <c r="L11" i="8" s="1"/>
  <c r="W38" i="6"/>
  <c r="M11" i="8" s="1"/>
  <c r="X38" i="6"/>
  <c r="N11" i="8" s="1"/>
  <c r="Y38" i="6"/>
  <c r="O11" i="8" s="1"/>
  <c r="Z38" i="6"/>
  <c r="P11" i="8" s="1"/>
  <c r="AA38" i="6"/>
  <c r="Q11" i="8" s="1"/>
  <c r="AB38" i="6"/>
  <c r="R11" i="8" s="1"/>
  <c r="AC38" i="6"/>
  <c r="S11" i="8" s="1"/>
  <c r="AD38" i="6"/>
  <c r="T11" i="8" s="1"/>
  <c r="AE38" i="6"/>
  <c r="U11" i="8" s="1"/>
  <c r="AF38" i="6"/>
  <c r="V11" i="8" s="1"/>
  <c r="AG38" i="6"/>
  <c r="W11" i="8" s="1"/>
  <c r="AH38" i="6"/>
  <c r="X11" i="8" s="1"/>
  <c r="AI38" i="6"/>
  <c r="Y11" i="8" s="1"/>
  <c r="AJ38" i="6"/>
  <c r="Z11" i="8" s="1"/>
  <c r="AK38" i="6"/>
  <c r="AA11" i="8" s="1"/>
  <c r="AL38" i="6"/>
  <c r="AB11" i="8" s="1"/>
  <c r="AM38" i="6"/>
  <c r="AC11" i="8" s="1"/>
  <c r="AN38" i="6"/>
  <c r="AD11" i="8" s="1"/>
  <c r="AO38" i="6"/>
  <c r="AE11" i="8" s="1"/>
  <c r="AP38" i="6"/>
  <c r="AF11" i="8" s="1"/>
  <c r="AQ38" i="6"/>
  <c r="AG11" i="8" s="1"/>
  <c r="AR38" i="6"/>
  <c r="AH11" i="8" s="1"/>
  <c r="AS38" i="6"/>
  <c r="AI11" i="8" s="1"/>
  <c r="AT38" i="6"/>
  <c r="AJ11" i="8" s="1"/>
  <c r="AU38" i="6"/>
  <c r="AK11" i="8" s="1"/>
  <c r="AV38" i="6"/>
  <c r="AL11" i="8" s="1"/>
  <c r="AW38" i="6"/>
  <c r="AM11" i="8" s="1"/>
  <c r="AX38" i="6"/>
  <c r="AN11" i="8" s="1"/>
  <c r="AY38" i="6"/>
  <c r="AO11" i="8" s="1"/>
  <c r="AZ38" i="6"/>
  <c r="AP11" i="8" s="1"/>
  <c r="BA38" i="6"/>
  <c r="AQ11" i="8" s="1"/>
  <c r="BB38" i="6"/>
  <c r="AR11" i="8" s="1"/>
  <c r="BC38" i="6"/>
  <c r="AS11" i="8" s="1"/>
  <c r="BD38" i="6"/>
  <c r="AT11" i="8" s="1"/>
  <c r="BE38" i="6"/>
  <c r="AU11" i="8" s="1"/>
  <c r="BF38" i="6"/>
  <c r="AV11" i="8" s="1"/>
  <c r="BG38" i="6"/>
  <c r="AW11" i="8" s="1"/>
  <c r="BH38" i="6"/>
  <c r="AX11" i="8" s="1"/>
  <c r="BI38" i="6"/>
  <c r="AY11" i="8" s="1"/>
  <c r="BJ38" i="6"/>
  <c r="AZ11" i="8" s="1"/>
  <c r="BK38" i="6"/>
  <c r="BA11" i="8" s="1"/>
  <c r="BL38" i="6"/>
  <c r="BB11" i="8" s="1"/>
  <c r="BM38" i="6"/>
  <c r="BC11" i="8" s="1"/>
  <c r="BN38" i="6"/>
  <c r="BD11" i="8" s="1"/>
  <c r="BO38" i="6"/>
  <c r="BE11" i="8" s="1"/>
  <c r="BP38" i="6"/>
  <c r="BF11" i="8" s="1"/>
  <c r="BQ38" i="6"/>
  <c r="BG11" i="8" s="1"/>
  <c r="BR38" i="6"/>
  <c r="BH11" i="8" s="1"/>
  <c r="BS38" i="6"/>
  <c r="BI11" i="8" s="1"/>
  <c r="BT38" i="6"/>
  <c r="BJ11" i="8" s="1"/>
  <c r="BU38" i="6"/>
  <c r="BK11" i="8" s="1"/>
  <c r="BV38" i="6"/>
  <c r="BL11" i="8" s="1"/>
  <c r="E36" i="8"/>
  <c r="AG36" i="8"/>
  <c r="AH36" i="8"/>
  <c r="F42" i="6"/>
  <c r="G42" i="6"/>
  <c r="H42" i="6"/>
  <c r="I42" i="6"/>
  <c r="J42" i="6"/>
  <c r="K42" i="6"/>
  <c r="L42" i="6"/>
  <c r="N42" i="6"/>
  <c r="O42" i="6"/>
  <c r="E16" i="8" s="1"/>
  <c r="P42" i="6"/>
  <c r="F16" i="8" s="1"/>
  <c r="Q42" i="6"/>
  <c r="G16" i="8" s="1"/>
  <c r="R42" i="6"/>
  <c r="H16" i="8" s="1"/>
  <c r="S42" i="6"/>
  <c r="I16" i="8" s="1"/>
  <c r="T42" i="6"/>
  <c r="J16" i="8" s="1"/>
  <c r="U42" i="6"/>
  <c r="K16" i="8" s="1"/>
  <c r="V42" i="6"/>
  <c r="L16" i="8" s="1"/>
  <c r="W42" i="6"/>
  <c r="M16" i="8" s="1"/>
  <c r="X42" i="6"/>
  <c r="N16" i="8" s="1"/>
  <c r="Y42" i="6"/>
  <c r="O16" i="8" s="1"/>
  <c r="Z42" i="6"/>
  <c r="P16" i="8" s="1"/>
  <c r="AA42" i="6"/>
  <c r="Q16" i="8" s="1"/>
  <c r="AB42" i="6"/>
  <c r="R16" i="8" s="1"/>
  <c r="AC42" i="6"/>
  <c r="S16" i="8" s="1"/>
  <c r="AD42" i="6"/>
  <c r="T16" i="8" s="1"/>
  <c r="AE42" i="6"/>
  <c r="U16" i="8" s="1"/>
  <c r="AF42" i="6"/>
  <c r="V16" i="8" s="1"/>
  <c r="AG42" i="6"/>
  <c r="W16" i="8" s="1"/>
  <c r="AH42" i="6"/>
  <c r="X16" i="8" s="1"/>
  <c r="AI42" i="6"/>
  <c r="Y16" i="8" s="1"/>
  <c r="AJ42" i="6"/>
  <c r="Z16" i="8" s="1"/>
  <c r="AK42" i="6"/>
  <c r="AA16" i="8" s="1"/>
  <c r="AL42" i="6"/>
  <c r="AB16" i="8" s="1"/>
  <c r="AM42" i="6"/>
  <c r="AC16" i="8" s="1"/>
  <c r="AN42" i="6"/>
  <c r="AD16" i="8" s="1"/>
  <c r="AO42" i="6"/>
  <c r="AE16" i="8" s="1"/>
  <c r="AP42" i="6"/>
  <c r="AF16" i="8" s="1"/>
  <c r="AQ42" i="6"/>
  <c r="AG16" i="8" s="1"/>
  <c r="AR42" i="6"/>
  <c r="AH16" i="8" s="1"/>
  <c r="AS42" i="6"/>
  <c r="AI16" i="8" s="1"/>
  <c r="AT42" i="6"/>
  <c r="AJ16" i="8" s="1"/>
  <c r="AU42" i="6"/>
  <c r="AK16" i="8" s="1"/>
  <c r="AV42" i="6"/>
  <c r="AL16" i="8" s="1"/>
  <c r="AW42" i="6"/>
  <c r="AM16" i="8" s="1"/>
  <c r="AX42" i="6"/>
  <c r="AN16" i="8" s="1"/>
  <c r="AY42" i="6"/>
  <c r="AO16" i="8" s="1"/>
  <c r="AZ42" i="6"/>
  <c r="AP16" i="8" s="1"/>
  <c r="BA42" i="6"/>
  <c r="AQ16" i="8" s="1"/>
  <c r="BB42" i="6"/>
  <c r="AR16" i="8" s="1"/>
  <c r="BC42" i="6"/>
  <c r="AS16" i="8" s="1"/>
  <c r="BD42" i="6"/>
  <c r="AT16" i="8" s="1"/>
  <c r="BE42" i="6"/>
  <c r="AU16" i="8" s="1"/>
  <c r="BF42" i="6"/>
  <c r="AV16" i="8" s="1"/>
  <c r="BG42" i="6"/>
  <c r="AW16" i="8" s="1"/>
  <c r="BH42" i="6"/>
  <c r="AX16" i="8" s="1"/>
  <c r="BI42" i="6"/>
  <c r="AY16" i="8" s="1"/>
  <c r="BJ42" i="6"/>
  <c r="AZ16" i="8" s="1"/>
  <c r="BK42" i="6"/>
  <c r="BA16" i="8" s="1"/>
  <c r="BL42" i="6"/>
  <c r="BB16" i="8" s="1"/>
  <c r="BM42" i="6"/>
  <c r="BC16" i="8" s="1"/>
  <c r="BN42" i="6"/>
  <c r="BD16" i="8" s="1"/>
  <c r="BO42" i="6"/>
  <c r="BE16" i="8" s="1"/>
  <c r="BP42" i="6"/>
  <c r="BF16" i="8" s="1"/>
  <c r="BQ42" i="6"/>
  <c r="BG16" i="8" s="1"/>
  <c r="BR42" i="6"/>
  <c r="BH16" i="8" s="1"/>
  <c r="BS42" i="6"/>
  <c r="BI16" i="8" s="1"/>
  <c r="BT42" i="6"/>
  <c r="BJ16" i="8" s="1"/>
  <c r="BU42" i="6"/>
  <c r="BK16" i="8" s="1"/>
  <c r="BV42" i="6"/>
  <c r="BL16" i="8" s="1"/>
  <c r="E41" i="8"/>
  <c r="AG41" i="8"/>
  <c r="AH41" i="8"/>
  <c r="E34" i="8"/>
  <c r="AG34" i="8"/>
  <c r="AH34" i="8"/>
  <c r="E42" i="6"/>
  <c r="E38" i="6"/>
  <c r="E39" i="8"/>
  <c r="F79" i="1"/>
  <c r="G79" i="1"/>
  <c r="H79" i="1"/>
  <c r="I79" i="1"/>
  <c r="J79" i="1"/>
  <c r="K79" i="1"/>
  <c r="L79" i="1"/>
  <c r="N79" i="1"/>
  <c r="O79" i="1"/>
  <c r="E14" i="8" s="1"/>
  <c r="P79" i="1"/>
  <c r="F14" i="8" s="1"/>
  <c r="Q79" i="1"/>
  <c r="G14" i="8" s="1"/>
  <c r="R79" i="1"/>
  <c r="H14" i="8" s="1"/>
  <c r="S79" i="1"/>
  <c r="I14" i="8" s="1"/>
  <c r="T79" i="1"/>
  <c r="J14" i="8" s="1"/>
  <c r="U79" i="1"/>
  <c r="K14" i="8" s="1"/>
  <c r="V79" i="1"/>
  <c r="L14" i="8" s="1"/>
  <c r="W79" i="1"/>
  <c r="M14" i="8" s="1"/>
  <c r="X79" i="1"/>
  <c r="N14" i="8" s="1"/>
  <c r="Y79" i="1"/>
  <c r="O14" i="8" s="1"/>
  <c r="Z79" i="1"/>
  <c r="P14" i="8" s="1"/>
  <c r="AA79" i="1"/>
  <c r="Q14" i="8" s="1"/>
  <c r="AB79" i="1"/>
  <c r="R14" i="8" s="1"/>
  <c r="AC79" i="1"/>
  <c r="S14" i="8" s="1"/>
  <c r="AD79" i="1"/>
  <c r="T14" i="8" s="1"/>
  <c r="AE79" i="1"/>
  <c r="U14" i="8" s="1"/>
  <c r="AF79" i="1"/>
  <c r="V14" i="8" s="1"/>
  <c r="AG79" i="1"/>
  <c r="W14" i="8" s="1"/>
  <c r="AH79" i="1"/>
  <c r="X14" i="8" s="1"/>
  <c r="AI79" i="1"/>
  <c r="Y14" i="8" s="1"/>
  <c r="AJ79" i="1"/>
  <c r="Z14" i="8" s="1"/>
  <c r="AK79" i="1"/>
  <c r="AA14" i="8" s="1"/>
  <c r="AL79" i="1"/>
  <c r="AB14" i="8" s="1"/>
  <c r="AM79" i="1"/>
  <c r="AC14" i="8" s="1"/>
  <c r="AN79" i="1"/>
  <c r="AD14" i="8" s="1"/>
  <c r="AO79" i="1"/>
  <c r="AE14" i="8" s="1"/>
  <c r="AP79" i="1"/>
  <c r="AF14" i="8" s="1"/>
  <c r="AQ79" i="1"/>
  <c r="AG14" i="8" s="1"/>
  <c r="AR79" i="1"/>
  <c r="AH14" i="8" s="1"/>
  <c r="AS79" i="1"/>
  <c r="AI14" i="8" s="1"/>
  <c r="AT79" i="1"/>
  <c r="AJ14" i="8" s="1"/>
  <c r="AU79" i="1"/>
  <c r="AK14" i="8" s="1"/>
  <c r="AV79" i="1"/>
  <c r="AL14" i="8" s="1"/>
  <c r="AW79" i="1"/>
  <c r="AM14" i="8" s="1"/>
  <c r="AX79" i="1"/>
  <c r="AN14" i="8" s="1"/>
  <c r="AY79" i="1"/>
  <c r="AO14" i="8" s="1"/>
  <c r="AZ79" i="1"/>
  <c r="AP14" i="8" s="1"/>
  <c r="BA79" i="1"/>
  <c r="AQ14" i="8" s="1"/>
  <c r="BB79" i="1"/>
  <c r="AR14" i="8" s="1"/>
  <c r="BC79" i="1"/>
  <c r="AS14" i="8" s="1"/>
  <c r="BD79" i="1"/>
  <c r="AT14" i="8" s="1"/>
  <c r="BE79" i="1"/>
  <c r="AU14" i="8" s="1"/>
  <c r="BF79" i="1"/>
  <c r="AV14" i="8" s="1"/>
  <c r="BG79" i="1"/>
  <c r="AW14" i="8" s="1"/>
  <c r="BH79" i="1"/>
  <c r="AX14" i="8" s="1"/>
  <c r="BI79" i="1"/>
  <c r="AY14" i="8" s="1"/>
  <c r="BJ79" i="1"/>
  <c r="AZ14" i="8" s="1"/>
  <c r="BK79" i="1"/>
  <c r="BA14" i="8" s="1"/>
  <c r="BL79" i="1"/>
  <c r="BB14" i="8" s="1"/>
  <c r="BM79" i="1"/>
  <c r="BC14" i="8" s="1"/>
  <c r="BN79" i="1"/>
  <c r="BD14" i="8" s="1"/>
  <c r="BO79" i="1"/>
  <c r="BE14" i="8" s="1"/>
  <c r="BP79" i="1"/>
  <c r="BF14" i="8" s="1"/>
  <c r="BQ79" i="1"/>
  <c r="BG14" i="8" s="1"/>
  <c r="BR79" i="1"/>
  <c r="BH14" i="8" s="1"/>
  <c r="BS79" i="1"/>
  <c r="BI14" i="8" s="1"/>
  <c r="BT79" i="1"/>
  <c r="BJ14" i="8" s="1"/>
  <c r="BU79" i="1"/>
  <c r="BK14" i="8" s="1"/>
  <c r="BV79" i="1"/>
  <c r="BL14" i="8" s="1"/>
  <c r="E79" i="1"/>
  <c r="F75" i="1"/>
  <c r="G75" i="1"/>
  <c r="H75" i="1"/>
  <c r="I75" i="1"/>
  <c r="J75" i="1"/>
  <c r="K75" i="1"/>
  <c r="L75" i="1"/>
  <c r="N75" i="1"/>
  <c r="O75" i="1"/>
  <c r="E9" i="8" s="1"/>
  <c r="P75" i="1"/>
  <c r="F9" i="8" s="1"/>
  <c r="Q75" i="1"/>
  <c r="G9" i="8" s="1"/>
  <c r="R75" i="1"/>
  <c r="H9" i="8" s="1"/>
  <c r="S75" i="1"/>
  <c r="I9" i="8" s="1"/>
  <c r="T75" i="1"/>
  <c r="J9" i="8" s="1"/>
  <c r="U75" i="1"/>
  <c r="K9" i="8" s="1"/>
  <c r="V75" i="1"/>
  <c r="L9" i="8" s="1"/>
  <c r="W75" i="1"/>
  <c r="M9" i="8" s="1"/>
  <c r="X75" i="1"/>
  <c r="N9" i="8" s="1"/>
  <c r="Y75" i="1"/>
  <c r="O9" i="8" s="1"/>
  <c r="Z75" i="1"/>
  <c r="P9" i="8" s="1"/>
  <c r="AA75" i="1"/>
  <c r="Q9" i="8" s="1"/>
  <c r="AB75" i="1"/>
  <c r="R9" i="8" s="1"/>
  <c r="AC75" i="1"/>
  <c r="S9" i="8" s="1"/>
  <c r="AD75" i="1"/>
  <c r="T9" i="8" s="1"/>
  <c r="AE75" i="1"/>
  <c r="U9" i="8" s="1"/>
  <c r="AF75" i="1"/>
  <c r="V9" i="8" s="1"/>
  <c r="AG75" i="1"/>
  <c r="W9" i="8" s="1"/>
  <c r="AH75" i="1"/>
  <c r="X9" i="8" s="1"/>
  <c r="AI75" i="1"/>
  <c r="Y9" i="8" s="1"/>
  <c r="AJ75" i="1"/>
  <c r="Z9" i="8" s="1"/>
  <c r="AK75" i="1"/>
  <c r="AA9" i="8" s="1"/>
  <c r="AL75" i="1"/>
  <c r="AB9" i="8" s="1"/>
  <c r="AM75" i="1"/>
  <c r="AC9" i="8" s="1"/>
  <c r="AN75" i="1"/>
  <c r="AD9" i="8" s="1"/>
  <c r="AO75" i="1"/>
  <c r="AE9" i="8" s="1"/>
  <c r="AP75" i="1"/>
  <c r="AF9" i="8" s="1"/>
  <c r="AQ75" i="1"/>
  <c r="AG9" i="8" s="1"/>
  <c r="AR75" i="1"/>
  <c r="AH9" i="8" s="1"/>
  <c r="AS75" i="1"/>
  <c r="AI9" i="8" s="1"/>
  <c r="AT75" i="1"/>
  <c r="AJ9" i="8" s="1"/>
  <c r="AU75" i="1"/>
  <c r="AK9" i="8" s="1"/>
  <c r="AV75" i="1"/>
  <c r="AL9" i="8" s="1"/>
  <c r="AW75" i="1"/>
  <c r="AM9" i="8" s="1"/>
  <c r="AX75" i="1"/>
  <c r="AN9" i="8" s="1"/>
  <c r="AY75" i="1"/>
  <c r="AO9" i="8" s="1"/>
  <c r="AZ75" i="1"/>
  <c r="AP9" i="8" s="1"/>
  <c r="BA75" i="1"/>
  <c r="AQ9" i="8" s="1"/>
  <c r="BB75" i="1"/>
  <c r="AR9" i="8" s="1"/>
  <c r="BC75" i="1"/>
  <c r="AS9" i="8" s="1"/>
  <c r="BD75" i="1"/>
  <c r="AT9" i="8" s="1"/>
  <c r="BE75" i="1"/>
  <c r="AU9" i="8" s="1"/>
  <c r="BF75" i="1"/>
  <c r="AV9" i="8" s="1"/>
  <c r="BG75" i="1"/>
  <c r="AW9" i="8" s="1"/>
  <c r="BH75" i="1"/>
  <c r="AX9" i="8" s="1"/>
  <c r="BI75" i="1"/>
  <c r="AY9" i="8" s="1"/>
  <c r="BJ75" i="1"/>
  <c r="AZ9" i="8" s="1"/>
  <c r="BK75" i="1"/>
  <c r="BA9" i="8" s="1"/>
  <c r="BL75" i="1"/>
  <c r="BB9" i="8" s="1"/>
  <c r="BM75" i="1"/>
  <c r="BC9" i="8" s="1"/>
  <c r="BN75" i="1"/>
  <c r="BD9" i="8" s="1"/>
  <c r="BO75" i="1"/>
  <c r="BE9" i="8" s="1"/>
  <c r="BP75" i="1"/>
  <c r="BF9" i="8" s="1"/>
  <c r="BQ75" i="1"/>
  <c r="BG9" i="8" s="1"/>
  <c r="BR75" i="1"/>
  <c r="BH9" i="8" s="1"/>
  <c r="BS75" i="1"/>
  <c r="BI9" i="8" s="1"/>
  <c r="BT75" i="1"/>
  <c r="BJ9" i="8" s="1"/>
  <c r="BU75" i="1"/>
  <c r="BK9" i="8" s="1"/>
  <c r="BV75" i="1"/>
  <c r="BL9" i="8" s="1"/>
  <c r="E75" i="1"/>
  <c r="BR33" i="4"/>
  <c r="BS33" i="4"/>
  <c r="BR20" i="4"/>
  <c r="BS20" i="4"/>
  <c r="BR46" i="2"/>
  <c r="BS46" i="2"/>
  <c r="BR33" i="2"/>
  <c r="BS33" i="2"/>
  <c r="BR20" i="2"/>
  <c r="BS20" i="2"/>
  <c r="BR33" i="6"/>
  <c r="BS33" i="6"/>
  <c r="BR20" i="6"/>
  <c r="BS20" i="6"/>
  <c r="BR32" i="1"/>
  <c r="BS32" i="1"/>
  <c r="BR19" i="1"/>
  <c r="BS19" i="1"/>
  <c r="BO30" i="5"/>
  <c r="BQ33" i="4"/>
  <c r="BQ20" i="4"/>
  <c r="BQ46" i="2"/>
  <c r="BQ33" i="2"/>
  <c r="BQ20" i="2"/>
  <c r="BQ33" i="6"/>
  <c r="BQ20" i="6"/>
  <c r="BQ19" i="1"/>
  <c r="BQ32" i="1"/>
  <c r="BP33" i="6"/>
  <c r="BP20" i="6"/>
  <c r="BP32" i="1"/>
  <c r="BP19" i="1"/>
  <c r="BF30" i="5"/>
  <c r="BG30" i="5"/>
  <c r="BH30" i="5"/>
  <c r="BI30" i="5"/>
  <c r="BJ30" i="5"/>
  <c r="BK30" i="5"/>
  <c r="BL30" i="5"/>
  <c r="BM30" i="5"/>
  <c r="BN30" i="5"/>
  <c r="BH33" i="4"/>
  <c r="BI33" i="4"/>
  <c r="BJ33" i="4"/>
  <c r="BK33" i="4"/>
  <c r="BL33" i="4"/>
  <c r="BM33" i="4"/>
  <c r="BN33" i="4"/>
  <c r="BO33" i="4"/>
  <c r="BP33" i="4"/>
  <c r="BH20" i="4"/>
  <c r="BI20" i="4"/>
  <c r="BJ20" i="4"/>
  <c r="BK20" i="4"/>
  <c r="BL20" i="4"/>
  <c r="BM20" i="4"/>
  <c r="BN20" i="4"/>
  <c r="BO20" i="4"/>
  <c r="BP20" i="4"/>
  <c r="BH46" i="2"/>
  <c r="BI46" i="2"/>
  <c r="BJ46" i="2"/>
  <c r="BK46" i="2"/>
  <c r="BL46" i="2"/>
  <c r="BM46" i="2"/>
  <c r="BN46" i="2"/>
  <c r="BO46" i="2"/>
  <c r="BP46" i="2"/>
  <c r="BH33" i="2"/>
  <c r="BI33" i="2"/>
  <c r="BJ33" i="2"/>
  <c r="BK33" i="2"/>
  <c r="BL33" i="2"/>
  <c r="BM33" i="2"/>
  <c r="BN33" i="2"/>
  <c r="BO33" i="2"/>
  <c r="BP33" i="2"/>
  <c r="BP20" i="2"/>
  <c r="BH33" i="6"/>
  <c r="BI33" i="6"/>
  <c r="BJ33" i="6"/>
  <c r="BK33" i="6"/>
  <c r="BL33" i="6"/>
  <c r="BM33" i="6"/>
  <c r="BN33" i="6"/>
  <c r="BO33" i="6"/>
  <c r="BH32" i="1"/>
  <c r="BI32" i="1"/>
  <c r="BJ32" i="1"/>
  <c r="BK32" i="1"/>
  <c r="BL32" i="1"/>
  <c r="BM32" i="1"/>
  <c r="BN32" i="1"/>
  <c r="BO32" i="1"/>
  <c r="BH19" i="1"/>
  <c r="BI19" i="1"/>
  <c r="BJ19" i="1"/>
  <c r="BK19" i="1"/>
  <c r="BL19" i="1"/>
  <c r="BM19" i="1"/>
  <c r="BN19" i="1"/>
  <c r="BO19" i="1"/>
  <c r="BJ20" i="2"/>
  <c r="BK20" i="2"/>
  <c r="BL20" i="2"/>
  <c r="BM20" i="2"/>
  <c r="BN20" i="2"/>
  <c r="BO20" i="2"/>
  <c r="BI20" i="6"/>
  <c r="BJ20" i="6"/>
  <c r="BK20" i="6"/>
  <c r="BL20" i="6"/>
  <c r="BM20" i="6"/>
  <c r="BN20" i="6"/>
  <c r="BO20" i="6"/>
  <c r="BH20" i="6"/>
  <c r="BH20" i="2"/>
  <c r="BI9" i="2"/>
  <c r="BE30" i="5"/>
  <c r="BG33" i="4"/>
  <c r="BG20" i="4"/>
  <c r="BG46" i="2"/>
  <c r="BG33" i="2"/>
  <c r="BG20" i="2"/>
  <c r="BG33" i="6"/>
  <c r="BG20" i="6"/>
  <c r="BG32" i="1"/>
  <c r="BG19" i="1"/>
  <c r="BD30" i="5"/>
  <c r="BC30" i="5"/>
  <c r="BB30" i="5"/>
  <c r="BF33" i="4"/>
  <c r="BE33" i="4"/>
  <c r="BD33" i="4"/>
  <c r="BF20" i="4"/>
  <c r="BE20" i="4"/>
  <c r="BD20" i="4"/>
  <c r="BF20" i="2"/>
  <c r="BF46" i="2"/>
  <c r="BE46" i="2"/>
  <c r="BD46" i="2"/>
  <c r="BF33" i="2"/>
  <c r="BE33" i="2"/>
  <c r="BD33" i="2"/>
  <c r="BE20" i="2"/>
  <c r="BD20" i="2"/>
  <c r="BF33" i="6"/>
  <c r="BE33" i="6"/>
  <c r="BD33" i="6"/>
  <c r="BF20" i="6"/>
  <c r="BE20" i="6"/>
  <c r="BD20" i="6"/>
  <c r="BF32" i="1"/>
  <c r="BE32" i="1"/>
  <c r="BD32" i="1"/>
  <c r="BF19" i="1"/>
  <c r="BE19" i="1"/>
  <c r="BD19" i="1"/>
  <c r="BA30" i="5"/>
  <c r="BC33" i="4"/>
  <c r="BC20" i="4"/>
  <c r="BC46" i="2"/>
  <c r="BC33" i="2"/>
  <c r="BC20" i="2"/>
  <c r="BC33" i="6"/>
  <c r="BC20" i="6"/>
  <c r="BC32" i="1"/>
  <c r="BC19" i="1"/>
  <c r="AZ30" i="5"/>
  <c r="BB33" i="4"/>
  <c r="BB20" i="4"/>
  <c r="E46" i="2"/>
  <c r="BB46" i="2"/>
  <c r="BA46" i="2"/>
  <c r="AZ46" i="2"/>
  <c r="AY46" i="2"/>
  <c r="AX46" i="2"/>
  <c r="AW46" i="2"/>
  <c r="AV46" i="2"/>
  <c r="AU46" i="2"/>
  <c r="AT46" i="2"/>
  <c r="AS46" i="2"/>
  <c r="AR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L46" i="2"/>
  <c r="K46" i="2"/>
  <c r="J46" i="2"/>
  <c r="I46" i="2"/>
  <c r="H46" i="2"/>
  <c r="G46" i="2"/>
  <c r="M86" i="2"/>
  <c r="F46" i="2"/>
  <c r="M45" i="2"/>
  <c r="M44" i="2"/>
  <c r="M43" i="2"/>
  <c r="M42" i="2"/>
  <c r="M41" i="2"/>
  <c r="M40" i="2"/>
  <c r="M39" i="2"/>
  <c r="M38" i="2"/>
  <c r="M37" i="2"/>
  <c r="M36" i="2"/>
  <c r="M35" i="2"/>
  <c r="BB33" i="2"/>
  <c r="BB20" i="2"/>
  <c r="BB33" i="6"/>
  <c r="BB20" i="6"/>
  <c r="BB32" i="1"/>
  <c r="BB19" i="1"/>
  <c r="AY30" i="5"/>
  <c r="BA33" i="4"/>
  <c r="BA20" i="4"/>
  <c r="BA33" i="2"/>
  <c r="BA20" i="2"/>
  <c r="BA33" i="6"/>
  <c r="BA20" i="6"/>
  <c r="BA32" i="1"/>
  <c r="BA19" i="1"/>
  <c r="AX30" i="5"/>
  <c r="AZ33" i="4"/>
  <c r="AZ20" i="4"/>
  <c r="AZ33" i="2"/>
  <c r="AZ20" i="2"/>
  <c r="AZ33" i="6"/>
  <c r="AZ20" i="6"/>
  <c r="AZ32" i="1"/>
  <c r="AZ19" i="1"/>
  <c r="AW30" i="5"/>
  <c r="AY33" i="4"/>
  <c r="AY20" i="4"/>
  <c r="AY33" i="2"/>
  <c r="AY20" i="2"/>
  <c r="AY33" i="6"/>
  <c r="AY20" i="6"/>
  <c r="AY32" i="1"/>
  <c r="AY19" i="1"/>
  <c r="AV30" i="5"/>
  <c r="AU30" i="5"/>
  <c r="AX33" i="4"/>
  <c r="AW33" i="4"/>
  <c r="AX20" i="4"/>
  <c r="AW20" i="4"/>
  <c r="AX33" i="2"/>
  <c r="AW33" i="2"/>
  <c r="AX20" i="2"/>
  <c r="AW20" i="2"/>
  <c r="AX33" i="6"/>
  <c r="AW33" i="6"/>
  <c r="AX20" i="6"/>
  <c r="AW20" i="6"/>
  <c r="AW32" i="1"/>
  <c r="AW19" i="1"/>
  <c r="AX32" i="1"/>
  <c r="AX19" i="1"/>
  <c r="AT30" i="5"/>
  <c r="AV33" i="4"/>
  <c r="AV20" i="4"/>
  <c r="AV33" i="2"/>
  <c r="AV20" i="2"/>
  <c r="AV33" i="6"/>
  <c r="AV20" i="6"/>
  <c r="AV32" i="1"/>
  <c r="AV19" i="1"/>
  <c r="AS30" i="5"/>
  <c r="AU33" i="4"/>
  <c r="AU20" i="4"/>
  <c r="AU33" i="2"/>
  <c r="AU20" i="2"/>
  <c r="AU33" i="6"/>
  <c r="AU20" i="6"/>
  <c r="AU32" i="1"/>
  <c r="AU19" i="1"/>
  <c r="AT20" i="2"/>
  <c r="AT33" i="2"/>
  <c r="AT33" i="4"/>
  <c r="AR30" i="5"/>
  <c r="AT20" i="4"/>
  <c r="AS20" i="4"/>
  <c r="AS33" i="2"/>
  <c r="AT33" i="6"/>
  <c r="AT20" i="6"/>
  <c r="AT32" i="1"/>
  <c r="AT19" i="1"/>
  <c r="AQ30" i="5"/>
  <c r="AS33" i="4"/>
  <c r="AS20" i="2"/>
  <c r="AS33" i="6"/>
  <c r="AS20" i="6"/>
  <c r="AS32" i="1"/>
  <c r="AS19" i="1"/>
  <c r="AP30" i="5"/>
  <c r="AR33" i="4"/>
  <c r="AR20" i="4"/>
  <c r="AR33" i="2"/>
  <c r="AR20" i="2"/>
  <c r="AR33" i="6"/>
  <c r="AR20" i="6"/>
  <c r="AR32" i="1"/>
  <c r="AR19" i="1"/>
  <c r="AN30" i="5"/>
  <c r="AM30" i="5"/>
  <c r="AP33" i="4"/>
  <c r="AO33" i="4"/>
  <c r="AP20" i="4"/>
  <c r="AO20" i="4"/>
  <c r="AP33" i="2"/>
  <c r="AO33" i="2"/>
  <c r="AP20" i="2"/>
  <c r="AO20" i="2"/>
  <c r="AP33" i="6"/>
  <c r="AO33" i="6"/>
  <c r="AP20" i="6"/>
  <c r="AO20" i="6"/>
  <c r="AP32" i="1"/>
  <c r="AO32" i="1"/>
  <c r="AP19" i="1"/>
  <c r="AO19" i="1"/>
  <c r="AL30" i="5"/>
  <c r="AN33" i="4"/>
  <c r="AN20" i="4"/>
  <c r="AN33" i="2"/>
  <c r="AN20" i="2"/>
  <c r="AN20" i="6"/>
  <c r="AN33" i="6"/>
  <c r="AN32" i="1"/>
  <c r="AN19" i="1"/>
  <c r="AK30" i="5"/>
  <c r="AM33" i="4"/>
  <c r="AM20" i="4"/>
  <c r="AM33" i="2"/>
  <c r="AM20" i="2"/>
  <c r="AM33" i="6"/>
  <c r="AM20" i="6"/>
  <c r="AM32" i="1"/>
  <c r="AM19" i="1"/>
  <c r="AJ30" i="5"/>
  <c r="AL33" i="4"/>
  <c r="AL20" i="4"/>
  <c r="AL33" i="2"/>
  <c r="AL20" i="2"/>
  <c r="HU9" i="2" l="1"/>
  <c r="HU20" i="2" s="1"/>
  <c r="M104" i="2"/>
  <c r="E102" i="2"/>
  <c r="E105" i="2"/>
  <c r="H102" i="2"/>
  <c r="H105" i="2"/>
  <c r="J102" i="2"/>
  <c r="J105" i="2"/>
  <c r="K102" i="2"/>
  <c r="K105" i="2"/>
  <c r="L102" i="2"/>
  <c r="L105" i="2"/>
  <c r="F102" i="2"/>
  <c r="F105" i="2"/>
  <c r="M106" i="2"/>
  <c r="G102" i="2"/>
  <c r="G105" i="2"/>
  <c r="I102" i="2"/>
  <c r="I105" i="2"/>
  <c r="BD31" i="8"/>
  <c r="H31" i="8"/>
  <c r="AW31" i="8"/>
  <c r="Y31" i="8"/>
  <c r="M101" i="2"/>
  <c r="M100" i="2"/>
  <c r="AH54" i="8"/>
  <c r="X29" i="8"/>
  <c r="AV29" i="8"/>
  <c r="AU29" i="8"/>
  <c r="AY30" i="8"/>
  <c r="AA30" i="8"/>
  <c r="W29" i="8"/>
  <c r="AM30" i="8"/>
  <c r="BK30" i="8"/>
  <c r="O30" i="8"/>
  <c r="BJ30" i="8"/>
  <c r="BI30" i="8"/>
  <c r="M30" i="8"/>
  <c r="G31" i="8"/>
  <c r="AL30" i="8"/>
  <c r="AK30" i="8"/>
  <c r="AE31" i="8"/>
  <c r="AH55" i="8"/>
  <c r="N30" i="8"/>
  <c r="AO30" i="8"/>
  <c r="Q30" i="8"/>
  <c r="BL30" i="8"/>
  <c r="AN30" i="8"/>
  <c r="P30" i="8"/>
  <c r="BH30" i="8"/>
  <c r="AJ30" i="8"/>
  <c r="L30" i="8"/>
  <c r="E55" i="8"/>
  <c r="AF30" i="8"/>
  <c r="H30" i="8"/>
  <c r="AS31" i="8"/>
  <c r="U31" i="8"/>
  <c r="BG30" i="8"/>
  <c r="AI30" i="8"/>
  <c r="K30" i="8"/>
  <c r="BF30" i="8"/>
  <c r="AH30" i="8"/>
  <c r="J30" i="8"/>
  <c r="BE30" i="8"/>
  <c r="I30" i="8"/>
  <c r="G30" i="8"/>
  <c r="BA30" i="8"/>
  <c r="E30" i="8"/>
  <c r="BC30" i="8"/>
  <c r="AE30" i="8"/>
  <c r="BB30" i="8"/>
  <c r="AD30" i="8"/>
  <c r="F30" i="8"/>
  <c r="AC30" i="8"/>
  <c r="AZ30" i="8"/>
  <c r="AB30" i="8"/>
  <c r="AX30" i="8"/>
  <c r="AT30" i="8"/>
  <c r="AS30" i="8"/>
  <c r="U30" i="8"/>
  <c r="AW30" i="8"/>
  <c r="X30" i="8"/>
  <c r="AR30" i="8"/>
  <c r="T30" i="8"/>
  <c r="Z30" i="8"/>
  <c r="W30" i="8"/>
  <c r="AQ30" i="8"/>
  <c r="S30" i="8"/>
  <c r="Y30" i="8"/>
  <c r="AV30" i="8"/>
  <c r="AU30" i="8"/>
  <c r="V30" i="8"/>
  <c r="AP30" i="8"/>
  <c r="R30" i="8"/>
  <c r="AV31" i="8"/>
  <c r="AU31" i="8"/>
  <c r="BC31" i="8"/>
  <c r="BF31" i="8"/>
  <c r="AH31" i="8"/>
  <c r="J31" i="8"/>
  <c r="BE31" i="8"/>
  <c r="AG31" i="8"/>
  <c r="I31" i="8"/>
  <c r="AF31" i="8"/>
  <c r="W31" i="8"/>
  <c r="X31" i="8"/>
  <c r="BH31" i="8"/>
  <c r="AJ31" i="8"/>
  <c r="L31" i="8"/>
  <c r="BG31" i="8"/>
  <c r="AI31" i="8"/>
  <c r="K31" i="8"/>
  <c r="AN31" i="8"/>
  <c r="P31" i="8"/>
  <c r="E56" i="8"/>
  <c r="BB31" i="8"/>
  <c r="AD31" i="8"/>
  <c r="F31" i="8"/>
  <c r="AR31" i="8"/>
  <c r="T31" i="8"/>
  <c r="AQ31" i="8"/>
  <c r="AZ31" i="8"/>
  <c r="AB31" i="8"/>
  <c r="AH56" i="8"/>
  <c r="AP31" i="8"/>
  <c r="R31" i="8"/>
  <c r="AO31" i="8"/>
  <c r="Q31" i="8"/>
  <c r="E31" i="8"/>
  <c r="AW29" i="8"/>
  <c r="Y29" i="8"/>
  <c r="BI31" i="8"/>
  <c r="AK31" i="8"/>
  <c r="M31" i="8"/>
  <c r="AO29" i="8"/>
  <c r="Q29" i="8"/>
  <c r="BA31" i="8"/>
  <c r="AC31" i="8"/>
  <c r="U29" i="8"/>
  <c r="T29" i="8"/>
  <c r="AP29" i="8"/>
  <c r="BK29" i="8"/>
  <c r="AM29" i="8"/>
  <c r="AY31" i="8"/>
  <c r="AA31" i="8"/>
  <c r="O29" i="8"/>
  <c r="BJ29" i="8"/>
  <c r="AL29" i="8"/>
  <c r="N29" i="8"/>
  <c r="AX31" i="8"/>
  <c r="Z31" i="8"/>
  <c r="E54" i="8"/>
  <c r="P29" i="8"/>
  <c r="AK29" i="8"/>
  <c r="AI29" i="8"/>
  <c r="BF29" i="8"/>
  <c r="AH29" i="8"/>
  <c r="J29" i="8"/>
  <c r="AT31" i="8"/>
  <c r="V31" i="8"/>
  <c r="AT29" i="8"/>
  <c r="R29" i="8"/>
  <c r="L29" i="8"/>
  <c r="AF29" i="8"/>
  <c r="BC29" i="8"/>
  <c r="AE29" i="8"/>
  <c r="G29" i="8"/>
  <c r="S31" i="8"/>
  <c r="AS29" i="8"/>
  <c r="AQ29" i="8"/>
  <c r="BG29" i="8"/>
  <c r="S29" i="8"/>
  <c r="AN29" i="8"/>
  <c r="BH29" i="8"/>
  <c r="BE29" i="8"/>
  <c r="BD29" i="8"/>
  <c r="BB29" i="8"/>
  <c r="E29" i="8"/>
  <c r="V29" i="8"/>
  <c r="AR29" i="8"/>
  <c r="BI29" i="8"/>
  <c r="K29" i="8"/>
  <c r="F29" i="8"/>
  <c r="AC29" i="8"/>
  <c r="AZ29" i="8"/>
  <c r="AB29" i="8"/>
  <c r="BL31" i="8"/>
  <c r="I29" i="8"/>
  <c r="AY29" i="8"/>
  <c r="AA29" i="8"/>
  <c r="BK31" i="8"/>
  <c r="AM31" i="8"/>
  <c r="O31" i="8"/>
  <c r="BL29" i="8"/>
  <c r="M29" i="8"/>
  <c r="AJ29" i="8"/>
  <c r="H29" i="8"/>
  <c r="AD29" i="8"/>
  <c r="BA29" i="8"/>
  <c r="AX29" i="8"/>
  <c r="Z29" i="8"/>
  <c r="BJ31" i="8"/>
  <c r="AL31" i="8"/>
  <c r="N31" i="8"/>
  <c r="AG29" i="8"/>
  <c r="AG10" i="8"/>
  <c r="BD10" i="8"/>
  <c r="BD30" i="8" s="1"/>
  <c r="AG15" i="8"/>
  <c r="AG54" i="8"/>
  <c r="BI20" i="2"/>
  <c r="BI90" i="2"/>
  <c r="BI89" i="2"/>
  <c r="M98" i="2"/>
  <c r="M97" i="2"/>
  <c r="AG55" i="8"/>
  <c r="AG56" i="8"/>
  <c r="M96" i="2"/>
  <c r="M46" i="2"/>
  <c r="M102" i="2" s="1"/>
  <c r="AL33" i="6"/>
  <c r="AL20" i="6"/>
  <c r="AL32" i="1"/>
  <c r="AL19" i="1"/>
  <c r="AI30" i="5"/>
  <c r="AH30" i="5"/>
  <c r="AK33" i="4"/>
  <c r="AJ33" i="4"/>
  <c r="AK20" i="4"/>
  <c r="AJ20" i="4"/>
  <c r="AK33" i="2"/>
  <c r="AJ33" i="2"/>
  <c r="AK20" i="2"/>
  <c r="AJ20" i="2"/>
  <c r="AK33" i="6"/>
  <c r="AJ33" i="6"/>
  <c r="AK20" i="6"/>
  <c r="AJ20" i="6"/>
  <c r="AK32" i="1"/>
  <c r="AJ32" i="1"/>
  <c r="AK19" i="1"/>
  <c r="AJ19" i="1"/>
  <c r="AF30" i="5"/>
  <c r="AG30" i="5"/>
  <c r="AI33" i="4"/>
  <c r="AH33" i="4"/>
  <c r="AI20" i="4"/>
  <c r="AH20" i="4"/>
  <c r="AI33" i="2"/>
  <c r="AH33" i="2"/>
  <c r="AI20" i="2"/>
  <c r="AH20" i="2"/>
  <c r="AI33" i="6"/>
  <c r="AH33" i="6"/>
  <c r="AI20" i="6"/>
  <c r="AH20" i="6"/>
  <c r="AI32" i="1"/>
  <c r="AH32" i="1"/>
  <c r="AI19" i="1"/>
  <c r="AH19" i="1"/>
  <c r="AE30" i="5"/>
  <c r="AG33" i="4"/>
  <c r="AG20" i="4"/>
  <c r="AG33" i="2"/>
  <c r="AG20" i="2"/>
  <c r="AG33" i="6"/>
  <c r="AG20" i="6"/>
  <c r="AG32" i="1"/>
  <c r="AG19" i="1"/>
  <c r="AD30" i="5"/>
  <c r="AF33" i="4"/>
  <c r="AF20" i="4"/>
  <c r="AF33" i="2"/>
  <c r="AF20" i="2"/>
  <c r="AF33" i="6"/>
  <c r="AF20" i="6"/>
  <c r="AF32" i="1"/>
  <c r="AF19" i="1"/>
  <c r="AC30" i="5"/>
  <c r="AE33" i="4"/>
  <c r="AE20" i="4"/>
  <c r="AE33" i="2"/>
  <c r="AE20" i="2"/>
  <c r="AE33" i="6"/>
  <c r="AE20" i="6"/>
  <c r="AE32" i="1"/>
  <c r="AE19" i="1"/>
  <c r="AB30" i="5"/>
  <c r="AD33" i="4"/>
  <c r="AD20" i="4"/>
  <c r="AD33" i="2"/>
  <c r="AD20" i="2"/>
  <c r="AD33" i="6"/>
  <c r="AD20" i="6"/>
  <c r="AD32" i="1"/>
  <c r="AD19" i="1"/>
  <c r="AA30" i="5"/>
  <c r="AC33" i="4"/>
  <c r="AC20" i="4"/>
  <c r="AC33" i="2"/>
  <c r="AC20" i="2"/>
  <c r="AC33" i="6"/>
  <c r="AC20" i="6"/>
  <c r="AC32" i="1"/>
  <c r="AC19" i="1"/>
  <c r="AB32" i="1"/>
  <c r="AB19" i="1"/>
  <c r="Z30" i="5"/>
  <c r="Y30" i="5"/>
  <c r="AB33" i="4"/>
  <c r="AA33" i="4"/>
  <c r="AB20" i="4"/>
  <c r="AA20" i="4"/>
  <c r="AB33" i="2"/>
  <c r="AA33" i="2"/>
  <c r="AB20" i="2"/>
  <c r="AA20" i="2"/>
  <c r="AB33" i="6"/>
  <c r="AA33" i="6"/>
  <c r="AB20" i="6"/>
  <c r="AA20" i="6"/>
  <c r="AA19" i="1"/>
  <c r="AA32" i="1"/>
  <c r="X30" i="5"/>
  <c r="Z33" i="4"/>
  <c r="Z20" i="4"/>
  <c r="Z33" i="2"/>
  <c r="Z20" i="2"/>
  <c r="Z33" i="6"/>
  <c r="Z20" i="6"/>
  <c r="Z32" i="1"/>
  <c r="Z19" i="1"/>
  <c r="W30" i="5"/>
  <c r="Y33" i="4"/>
  <c r="Y20" i="4"/>
  <c r="Y33" i="2"/>
  <c r="Y20" i="2"/>
  <c r="Y33" i="6"/>
  <c r="Y20" i="6"/>
  <c r="Y32" i="1"/>
  <c r="Y19" i="1"/>
  <c r="W19" i="1"/>
  <c r="V30" i="5"/>
  <c r="X33" i="4"/>
  <c r="X20" i="4"/>
  <c r="X33" i="2"/>
  <c r="X20" i="2"/>
  <c r="X33" i="6"/>
  <c r="X20" i="6"/>
  <c r="X32" i="1"/>
  <c r="X19" i="1"/>
  <c r="U30" i="5"/>
  <c r="W33" i="4"/>
  <c r="W20" i="4"/>
  <c r="W33" i="2"/>
  <c r="W20" i="2"/>
  <c r="W33" i="6"/>
  <c r="W20" i="6"/>
  <c r="W32" i="1"/>
  <c r="T30" i="5"/>
  <c r="V33" i="4"/>
  <c r="V20" i="4"/>
  <c r="V20" i="2"/>
  <c r="V33" i="2"/>
  <c r="V33" i="6"/>
  <c r="V20" i="6"/>
  <c r="V32" i="1"/>
  <c r="V19" i="1"/>
  <c r="S30" i="5"/>
  <c r="R30" i="5"/>
  <c r="U33" i="4"/>
  <c r="T33" i="4"/>
  <c r="U20" i="4"/>
  <c r="T20" i="4"/>
  <c r="U33" i="2"/>
  <c r="T33" i="2"/>
  <c r="U20" i="2"/>
  <c r="T20" i="2"/>
  <c r="U33" i="6"/>
  <c r="T33" i="6"/>
  <c r="U20" i="6"/>
  <c r="T20" i="6"/>
  <c r="U32" i="1"/>
  <c r="T32" i="1"/>
  <c r="U19" i="1"/>
  <c r="T19" i="1"/>
  <c r="Q30" i="5"/>
  <c r="S33" i="4"/>
  <c r="S20" i="4"/>
  <c r="S33" i="2"/>
  <c r="S20" i="2"/>
  <c r="S33" i="6"/>
  <c r="S20" i="6"/>
  <c r="S32" i="1"/>
  <c r="S19" i="1"/>
  <c r="P30" i="5"/>
  <c r="R20" i="2"/>
  <c r="R33" i="6"/>
  <c r="R20" i="6"/>
  <c r="R32" i="1"/>
  <c r="R19" i="1"/>
  <c r="R33" i="4"/>
  <c r="R20" i="4"/>
  <c r="R33" i="2"/>
  <c r="M70" i="4"/>
  <c r="M32" i="4"/>
  <c r="M31" i="4"/>
  <c r="M30" i="4"/>
  <c r="M29" i="4"/>
  <c r="M28" i="4"/>
  <c r="M27" i="4"/>
  <c r="M26" i="4"/>
  <c r="M25" i="4"/>
  <c r="M24" i="4"/>
  <c r="M23" i="4"/>
  <c r="M22" i="4"/>
  <c r="M10" i="4"/>
  <c r="M11" i="4"/>
  <c r="M12" i="4"/>
  <c r="M13" i="4"/>
  <c r="M14" i="4"/>
  <c r="M15" i="4"/>
  <c r="M16" i="4"/>
  <c r="M17" i="4"/>
  <c r="M18" i="4"/>
  <c r="M19" i="4"/>
  <c r="M9" i="4"/>
  <c r="M23" i="2"/>
  <c r="M24" i="2"/>
  <c r="M25" i="2"/>
  <c r="M26" i="2"/>
  <c r="M27" i="2"/>
  <c r="M28" i="2"/>
  <c r="M29" i="2"/>
  <c r="M30" i="2"/>
  <c r="M31" i="2"/>
  <c r="M32" i="2"/>
  <c r="M22" i="2"/>
  <c r="M10" i="2"/>
  <c r="M11" i="2"/>
  <c r="M12" i="2"/>
  <c r="M13" i="2"/>
  <c r="M14" i="2"/>
  <c r="M15" i="2"/>
  <c r="M16" i="2"/>
  <c r="M17" i="2"/>
  <c r="M18" i="2"/>
  <c r="M19" i="2"/>
  <c r="M9" i="2"/>
  <c r="M31" i="1"/>
  <c r="M30" i="1"/>
  <c r="M29" i="1"/>
  <c r="M28" i="1"/>
  <c r="M27" i="1"/>
  <c r="M26" i="1"/>
  <c r="M25" i="1"/>
  <c r="M24" i="1"/>
  <c r="M23" i="1"/>
  <c r="M22" i="1"/>
  <c r="M21" i="1"/>
  <c r="M18" i="1"/>
  <c r="M17" i="1"/>
  <c r="M16" i="1"/>
  <c r="M15" i="1"/>
  <c r="M14" i="1"/>
  <c r="M13" i="1"/>
  <c r="M12" i="1"/>
  <c r="M11" i="1"/>
  <c r="M10" i="1"/>
  <c r="M9" i="1"/>
  <c r="M8" i="1"/>
  <c r="M34" i="6"/>
  <c r="M32" i="6"/>
  <c r="M31" i="6"/>
  <c r="M30" i="6"/>
  <c r="M29" i="6"/>
  <c r="M28" i="6"/>
  <c r="M27" i="6"/>
  <c r="M26" i="6"/>
  <c r="M25" i="6"/>
  <c r="M24" i="6"/>
  <c r="M23" i="6"/>
  <c r="M22" i="6"/>
  <c r="M10" i="6"/>
  <c r="M11" i="6"/>
  <c r="M12" i="6"/>
  <c r="M13" i="6"/>
  <c r="M14" i="6"/>
  <c r="M15" i="6"/>
  <c r="M16" i="6"/>
  <c r="M17" i="6"/>
  <c r="M18" i="6"/>
  <c r="M19" i="6"/>
  <c r="M9" i="6"/>
  <c r="O30" i="5"/>
  <c r="Q33" i="4"/>
  <c r="Q20" i="4"/>
  <c r="Q33" i="2"/>
  <c r="Q20" i="2"/>
  <c r="Q33" i="6"/>
  <c r="Q20" i="6"/>
  <c r="Q32" i="1"/>
  <c r="Q19" i="1"/>
  <c r="P20" i="2"/>
  <c r="P20" i="6"/>
  <c r="N30" i="5"/>
  <c r="M30" i="5"/>
  <c r="P33" i="4"/>
  <c r="P20" i="4"/>
  <c r="P33" i="2"/>
  <c r="P33" i="6"/>
  <c r="P32" i="1"/>
  <c r="P19" i="1"/>
  <c r="I20" i="4"/>
  <c r="J20" i="4"/>
  <c r="K20" i="4"/>
  <c r="L20" i="4"/>
  <c r="O20" i="4"/>
  <c r="O33" i="2"/>
  <c r="O20" i="2"/>
  <c r="O33" i="6"/>
  <c r="O20" i="6"/>
  <c r="O19" i="1"/>
  <c r="O32" i="1"/>
  <c r="M86" i="4" l="1"/>
  <c r="M105" i="2"/>
  <c r="M88" i="4"/>
  <c r="M83" i="4"/>
  <c r="M82" i="4"/>
  <c r="GZ31" i="8"/>
  <c r="AG30" i="8"/>
  <c r="GZ29" i="8"/>
  <c r="AY60" i="8"/>
  <c r="AY80" i="8" s="1"/>
  <c r="AY35" i="8"/>
  <c r="AY55" i="8" s="1"/>
  <c r="M42" i="6"/>
  <c r="GZ54" i="8"/>
  <c r="GZ56" i="8"/>
  <c r="M78" i="4"/>
  <c r="M80" i="4"/>
  <c r="M79" i="4"/>
  <c r="M75" i="4"/>
  <c r="M76" i="4"/>
  <c r="M94" i="2"/>
  <c r="M93" i="2"/>
  <c r="M89" i="2"/>
  <c r="M90" i="2"/>
  <c r="M44" i="6"/>
  <c r="M43" i="6"/>
  <c r="M40" i="6"/>
  <c r="M39" i="6"/>
  <c r="M75" i="1"/>
  <c r="M77" i="1"/>
  <c r="M76" i="1"/>
  <c r="M81" i="1"/>
  <c r="M80" i="1"/>
  <c r="M79" i="1"/>
  <c r="M74" i="4"/>
  <c r="M92" i="2"/>
  <c r="M88" i="2"/>
  <c r="M38" i="6"/>
  <c r="M20" i="6"/>
  <c r="M33" i="6"/>
  <c r="M33" i="4"/>
  <c r="M84" i="4" s="1"/>
  <c r="M20" i="4"/>
  <c r="M33" i="2"/>
  <c r="M20" i="2"/>
  <c r="M32" i="1"/>
  <c r="M19" i="1"/>
  <c r="GW16" i="5"/>
  <c r="M87" i="4" l="1"/>
  <c r="GZ55" i="8"/>
  <c r="GZ80" i="8"/>
  <c r="GZ30" i="8"/>
  <c r="J20" i="2"/>
  <c r="G20" i="4"/>
  <c r="GW14" i="5" l="1"/>
  <c r="GW10" i="5"/>
  <c r="GW19" i="5"/>
  <c r="GW20" i="5"/>
  <c r="GW21" i="5"/>
  <c r="GW22" i="5"/>
  <c r="GW23" i="5"/>
  <c r="GW24" i="5"/>
  <c r="GW25" i="5"/>
  <c r="GW26" i="5"/>
  <c r="GW27" i="5"/>
  <c r="GW28" i="5"/>
  <c r="GW29" i="5"/>
  <c r="F20" i="2"/>
  <c r="G20" i="2"/>
  <c r="GW17" i="5"/>
  <c r="GW18" i="5"/>
  <c r="GW15" i="5"/>
  <c r="GW13" i="5"/>
  <c r="GW12" i="5"/>
  <c r="GW11" i="5"/>
  <c r="GW9" i="5"/>
  <c r="F30" i="5" l="1"/>
  <c r="L33" i="6"/>
  <c r="K33" i="6"/>
  <c r="J33" i="6"/>
  <c r="I33" i="6"/>
  <c r="H33" i="6"/>
  <c r="G33" i="6"/>
  <c r="F33" i="6"/>
  <c r="E33" i="6"/>
  <c r="L20" i="6"/>
  <c r="K20" i="6"/>
  <c r="J20" i="6"/>
  <c r="I20" i="6"/>
  <c r="H20" i="6"/>
  <c r="G20" i="6"/>
  <c r="F20" i="6"/>
  <c r="E20" i="6"/>
  <c r="K30" i="5"/>
  <c r="L30" i="5"/>
  <c r="K20" i="2"/>
  <c r="L20" i="2"/>
  <c r="F19" i="1"/>
  <c r="G19" i="1"/>
  <c r="H19" i="1"/>
  <c r="I19" i="1"/>
  <c r="J19" i="1"/>
  <c r="K19" i="1"/>
  <c r="L19" i="1"/>
  <c r="J30" i="5"/>
  <c r="I30" i="5"/>
  <c r="H30" i="5"/>
  <c r="G30" i="5"/>
  <c r="E30" i="5"/>
  <c r="GU30" i="5" l="1"/>
  <c r="L33" i="4"/>
  <c r="K33" i="4"/>
  <c r="J33" i="4"/>
  <c r="I33" i="4"/>
  <c r="H33" i="4"/>
  <c r="G33" i="4"/>
  <c r="F33" i="4"/>
  <c r="E33" i="4"/>
  <c r="H20" i="4"/>
  <c r="F20" i="4"/>
  <c r="E20" i="4"/>
  <c r="L33" i="2"/>
  <c r="K33" i="2"/>
  <c r="J33" i="2"/>
  <c r="I33" i="2"/>
  <c r="H33" i="2"/>
  <c r="G33" i="2"/>
  <c r="F33" i="2"/>
  <c r="E33" i="2"/>
  <c r="I20" i="2"/>
  <c r="H20" i="2"/>
  <c r="E20" i="2"/>
  <c r="K84" i="4" l="1"/>
  <c r="K87" i="4"/>
  <c r="E84" i="4"/>
  <c r="E87" i="4"/>
  <c r="F84" i="4"/>
  <c r="F87" i="4"/>
  <c r="G84" i="4"/>
  <c r="G87" i="4"/>
  <c r="H84" i="4"/>
  <c r="H87" i="4"/>
  <c r="I84" i="4"/>
  <c r="I87" i="4"/>
  <c r="J84" i="4"/>
  <c r="J87" i="4"/>
  <c r="L84" i="4"/>
  <c r="L87" i="4"/>
  <c r="L32" i="1"/>
  <c r="K32" i="1"/>
  <c r="J32" i="1"/>
  <c r="I32" i="1"/>
  <c r="H32" i="1"/>
  <c r="G32" i="1"/>
  <c r="F32" i="1"/>
  <c r="E32" i="1"/>
  <c r="E1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<sst xmlns="http://schemas.openxmlformats.org/spreadsheetml/2006/main" count="921" uniqueCount="148">
  <si>
    <t>Unit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</si>
  <si>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</si>
  <si>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</si>
  <si>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</si>
  <si>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</si>
  <si>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</si>
  <si>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</si>
  <si>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</si>
  <si>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</si>
  <si>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</si>
  <si>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</si>
  <si>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</si>
  <si>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Sub Total</t>
  </si>
  <si>
    <t xml:space="preserve">Zoning </t>
  </si>
  <si>
    <t>Levels</t>
  </si>
  <si>
    <t>B2 t oB1</t>
  </si>
  <si>
    <t>B1 to GF</t>
  </si>
  <si>
    <t>Nos.</t>
  </si>
  <si>
    <t>S/No.</t>
  </si>
  <si>
    <t>Lm.</t>
  </si>
  <si>
    <t>m2</t>
  </si>
  <si>
    <t>B1 Slab</t>
  </si>
  <si>
    <t>GF Slab</t>
  </si>
  <si>
    <t>B2 to B1</t>
  </si>
  <si>
    <t>Raft</t>
  </si>
  <si>
    <t>January</t>
  </si>
  <si>
    <t>Total</t>
  </si>
  <si>
    <t xml:space="preserve">Zone </t>
  </si>
  <si>
    <t>Zone</t>
  </si>
  <si>
    <t>Concrete Quantity</t>
  </si>
  <si>
    <r>
      <t>m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</si>
  <si>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Diriyah II Management Contracting – Opera House
Concrete Updates
Columns Works</t>
  </si>
  <si>
    <t>Diriyah II Management Contracting – Opera House
Cncrete Updates
External Wall Works</t>
  </si>
  <si>
    <t>Diriyah II Management Contracting – Opera House
Concrete Updates
Internal Wall Works</t>
  </si>
  <si>
    <t>Diriyah II Management Contracting – Opera House
Concrete Updates
Slab Concrete Works</t>
  </si>
  <si>
    <t>Diriyah II Management Contracting – Opera House
Concrete Updates
Pour Strip Works</t>
  </si>
  <si>
    <t>Zone 07</t>
  </si>
  <si>
    <t>Zone 04</t>
  </si>
  <si>
    <t>Zone 09A</t>
  </si>
  <si>
    <t>Req. Days</t>
  </si>
  <si>
    <t>Elapsed Days</t>
  </si>
  <si>
    <t>Pour Strip # 1 - Zone 4 &amp; Zone 2</t>
  </si>
  <si>
    <t>Zone 05A</t>
  </si>
  <si>
    <t>Zone 05C</t>
  </si>
  <si>
    <t>Zone 06</t>
  </si>
  <si>
    <t>Pour Strip # 5 - Zone 5C &amp; Zone 6</t>
  </si>
  <si>
    <t>Pour Strip # 4 - Zone 2 &amp; Zone 5C</t>
  </si>
  <si>
    <t>Pour Strip # 3 - Zone 2 &amp; Zone 5A</t>
  </si>
  <si>
    <t>Pour Strip # 2 - Zone 4 &amp; Zone 5A</t>
  </si>
  <si>
    <t>Pour Strip # 6 - Zone 2 &amp; Zone 6</t>
  </si>
  <si>
    <t>Pour Strip # 7 - Zone 3 &amp; Zone 6</t>
  </si>
  <si>
    <t>Pour Strip # 8 - Zone 6 &amp; Zone 7</t>
  </si>
  <si>
    <t>Pour Strip # 9 - Zone 7 &amp; Zone 3</t>
  </si>
  <si>
    <t>Zone 01A</t>
  </si>
  <si>
    <t>Pour Strip # 10 - Zone 1A &amp; Zone 8C</t>
  </si>
  <si>
    <t>Pour Strip # 11 - Zone 1A &amp; Zone 8B</t>
  </si>
  <si>
    <t>Zone 01D</t>
  </si>
  <si>
    <t>Pour Strip # 12 - Zone 1D &amp; Zone 8A</t>
  </si>
  <si>
    <t>Pour Strip # 13 - Zone 9A &amp; Zone 8A</t>
  </si>
  <si>
    <t>Zone 08A</t>
  </si>
  <si>
    <t>Pour Strip # 14 - Zone 8A &amp; Zone 11</t>
  </si>
  <si>
    <t>Pour Strip # 15 - Zone 9A &amp; Zone 11</t>
  </si>
  <si>
    <t>Pour Strip # 16 - Zone 8A &amp; Zone 9B</t>
  </si>
  <si>
    <t>Zone 09B</t>
  </si>
  <si>
    <t>Pour Strip # 17- Zone 1D &amp; Zone 9B</t>
  </si>
  <si>
    <t>Pour Strip # 18 - Zone 1C &amp; Zone 9B</t>
  </si>
  <si>
    <t>Zone 01C</t>
  </si>
  <si>
    <t>Pour Strip # 19 - Zone 9B &amp; Zone 10B</t>
  </si>
  <si>
    <t>Pour Strip # 20 - Zone 4 &amp; Zone 10B</t>
  </si>
  <si>
    <t>Pour Strip # 21 - Zone 4 &amp; Zone 1C</t>
  </si>
  <si>
    <t>Casting Date</t>
  </si>
  <si>
    <t>Casted</t>
  </si>
  <si>
    <t>Could be casted</t>
  </si>
  <si>
    <t>February</t>
  </si>
  <si>
    <r>
      <t>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</si>
  <si>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 xml:space="preserve">Pour Strip 8 and 9 casted same time. </t>
  </si>
  <si>
    <t>March</t>
  </si>
  <si>
    <t xml:space="preserve">March </t>
  </si>
  <si>
    <t>GF to L1</t>
  </si>
  <si>
    <t>Team 1</t>
  </si>
  <si>
    <t>Team 2</t>
  </si>
  <si>
    <t>Internal Wall</t>
  </si>
  <si>
    <t>Columns</t>
  </si>
  <si>
    <t>External Wall</t>
  </si>
  <si>
    <t>Slab</t>
  </si>
  <si>
    <t>Work</t>
  </si>
  <si>
    <t>Nos</t>
  </si>
  <si>
    <t>Lm</t>
  </si>
  <si>
    <t>M2</t>
  </si>
  <si>
    <t>Team 3</t>
  </si>
  <si>
    <t>Category</t>
  </si>
  <si>
    <t>Foreman</t>
  </si>
  <si>
    <t>Carpenter</t>
  </si>
  <si>
    <t>Steel Fixer</t>
  </si>
  <si>
    <t>Scaffolder</t>
  </si>
  <si>
    <t>Mason</t>
  </si>
  <si>
    <t>Labour</t>
  </si>
  <si>
    <t>Rigger &amp; Welder</t>
  </si>
  <si>
    <t>Team -01  AHMAD RAMADAN</t>
  </si>
  <si>
    <t>Team -02  AHMAD FADDA</t>
  </si>
  <si>
    <t xml:space="preserve">Team -03  ODAI HUSSAIN BLASI </t>
  </si>
  <si>
    <t>Total Sum</t>
  </si>
  <si>
    <t>Walls</t>
  </si>
  <si>
    <t>Diriyah II Management Contracting – Opera House
Concrete Daily Productivity February to March</t>
  </si>
  <si>
    <t>Chargehand</t>
  </si>
  <si>
    <t>April</t>
  </si>
  <si>
    <t>Team 1 (Zone 2,3,5,6, &amp; 7)</t>
  </si>
  <si>
    <t>Team 2  (Zone 1B,4,9,10)</t>
  </si>
  <si>
    <t>Team 3 (Zone 1A,8,11)</t>
  </si>
  <si>
    <t>Summary up to GF</t>
  </si>
  <si>
    <t>L1 Slab</t>
  </si>
  <si>
    <t>May</t>
  </si>
  <si>
    <t>May-26</t>
  </si>
  <si>
    <t xml:space="preserve"> L1 to L2</t>
  </si>
  <si>
    <t>L1 to GF</t>
  </si>
  <si>
    <t>L1 to L2</t>
  </si>
  <si>
    <t>Summary up to L2</t>
  </si>
  <si>
    <t>June</t>
  </si>
  <si>
    <t xml:space="preserve">B1, Slab </t>
  </si>
  <si>
    <t>Pour Strip #  - Zone 9 &amp; Zone 10</t>
  </si>
  <si>
    <t>Pour Strip #  - Zone 02, 03, 05, &amp; Zone 06</t>
  </si>
  <si>
    <t>Pour Strip #  - Zone 03 &amp; 07</t>
  </si>
  <si>
    <t>L2 Slab</t>
  </si>
  <si>
    <t>L0 to L1</t>
  </si>
  <si>
    <t>Pour Strip # 15 - Zone 9A &amp; Zone 12</t>
  </si>
  <si>
    <t>Pour Strip # 15 - Zone 9A &amp; Zone 13</t>
  </si>
  <si>
    <t>Pour Strip # 15 - Zone 9A &amp; Zone 14</t>
  </si>
  <si>
    <t>Pour Strip # 15 - Zone 9A &amp; Zone 15</t>
  </si>
  <si>
    <t>Pour Strip # 15 - Zone 9A &amp; Zone 16</t>
  </si>
  <si>
    <t>Pour Strip # 15 - Zone 9A &amp; Zone 17</t>
  </si>
  <si>
    <t xml:space="preserve">L0, Slab </t>
  </si>
  <si>
    <t>Pour Strip #  - Zone 02, 03 &amp; 06, L0</t>
  </si>
  <si>
    <t>Pour Strip  - Zone 2,4 &amp;5</t>
  </si>
  <si>
    <t>July</t>
  </si>
  <si>
    <t xml:space="preserve">July </t>
  </si>
  <si>
    <t>Pour Strip  - Zone 08 &amp; 09</t>
  </si>
  <si>
    <t xml:space="preserve"> Zone 08 &amp; 07,B1</t>
  </si>
  <si>
    <t xml:space="preserve"> Zone 01 &amp; 04,B1</t>
  </si>
  <si>
    <t xml:space="preserve"> L2 to L3</t>
  </si>
  <si>
    <t>L2 to L3</t>
  </si>
  <si>
    <t>Pour Strip # Zone 06, 07 &amp; 03, L0</t>
  </si>
  <si>
    <t xml:space="preserve">Pour Strip #  Zone 05 &amp; 06, GF, </t>
  </si>
  <si>
    <t>August</t>
  </si>
  <si>
    <t xml:space="preserve">August </t>
  </si>
  <si>
    <t>Pour Strip, Zone 02 &amp; 05, L0</t>
  </si>
  <si>
    <t>L3 Slab</t>
  </si>
  <si>
    <t>L3 to L4</t>
  </si>
  <si>
    <t xml:space="preserve"> L3 to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</si>
</sst>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;@"/>
    <numFmt numFmtId="165" formatCode="#,##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19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left" vertical="center"/>
    </xf>
    <xf numFmtId="0" fontId="1" fillId="0" borderId="5" xfId="1" applyBorder="1" applyAlignment="1">
      <alignment horizontal="center" vertical="center"/>
    </xf>
    <xf numFmtId="4" fontId="1" fillId="0" borderId="5" xfId="1" applyNumberFormat="1" applyBorder="1" applyAlignment="1">
      <alignment horizontal="center" vertical="center"/>
    </xf>
    <xf numFmtId="4" fontId="1" fillId="0" borderId="5" xfId="1" applyNumberFormat="1" applyBorder="1" applyAlignment="1">
      <alignment horizontal="right" vertical="center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left" vertical="center"/>
    </xf>
    <xf numFmtId="0" fontId="0" fillId="0" borderId="8" xfId="1" applyFont="1" applyBorder="1" applyAlignment="1">
      <alignment horizontal="center" vertical="center"/>
    </xf>
    <xf numFmtId="164" fontId="8" fillId="3" borderId="14" xfId="0" applyNumberFormat="1" applyFont="1" applyFill="1" applyBorder="1" applyAlignment="1">
      <alignment horizontal="center" vertical="center" wrapText="1"/>
    </xf>
    <xf numFmtId="3" fontId="1" fillId="0" borderId="5" xfId="1" applyNumberFormat="1" applyBorder="1" applyAlignment="1">
      <alignment horizontal="center" vertical="center"/>
    </xf>
    <xf numFmtId="164" fontId="8" fillId="3" borderId="15" xfId="0" applyNumberFormat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right" vertical="center"/>
    </xf>
    <xf numFmtId="0" fontId="2" fillId="2" borderId="20" xfId="1" applyFont="1" applyFill="1" applyBorder="1" applyAlignment="1">
      <alignment horizontal="center" vertical="center"/>
    </xf>
    <xf numFmtId="3" fontId="3" fillId="2" borderId="20" xfId="1" applyNumberFormat="1" applyFont="1" applyFill="1" applyBorder="1" applyAlignment="1">
      <alignment horizontal="center" vertical="center"/>
    </xf>
    <xf numFmtId="164" fontId="8" fillId="3" borderId="23" xfId="0" applyNumberFormat="1" applyFont="1" applyFill="1" applyBorder="1" applyAlignment="1">
      <alignment horizontal="center" vertical="center" wrapText="1"/>
    </xf>
    <xf numFmtId="4" fontId="3" fillId="2" borderId="20" xfId="1" applyNumberFormat="1" applyFont="1" applyFill="1" applyBorder="1" applyAlignment="1">
      <alignment horizontal="center" vertical="center"/>
    </xf>
    <xf numFmtId="0" fontId="0" fillId="0" borderId="33" xfId="0" applyBorder="1"/>
    <xf numFmtId="0" fontId="1" fillId="0" borderId="11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2" fillId="2" borderId="21" xfId="1" applyFont="1" applyFill="1" applyBorder="1" applyAlignment="1">
      <alignment horizontal="right" vertical="center"/>
    </xf>
    <xf numFmtId="0" fontId="1" fillId="0" borderId="30" xfId="1" applyBorder="1" applyAlignment="1">
      <alignment horizontal="left" vertical="center"/>
    </xf>
    <xf numFmtId="4" fontId="1" fillId="0" borderId="32" xfId="1" applyNumberFormat="1" applyBorder="1" applyAlignment="1">
      <alignment horizontal="right" vertical="center"/>
    </xf>
    <xf numFmtId="4" fontId="3" fillId="2" borderId="34" xfId="1" applyNumberFormat="1" applyFont="1" applyFill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4" fontId="1" fillId="0" borderId="32" xfId="1" applyNumberFormat="1" applyBorder="1" applyAlignment="1">
      <alignment horizontal="center" vertical="center"/>
    </xf>
    <xf numFmtId="3" fontId="1" fillId="0" borderId="32" xfId="1" applyNumberFormat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3" fontId="1" fillId="0" borderId="31" xfId="1" applyNumberFormat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4" fontId="1" fillId="0" borderId="1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3" fillId="2" borderId="14" xfId="1" applyNumberFormat="1" applyFont="1" applyFill="1" applyBorder="1" applyAlignment="1">
      <alignment horizontal="center" vertical="center"/>
    </xf>
    <xf numFmtId="3" fontId="3" fillId="2" borderId="23" xfId="1" applyNumberFormat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3" fontId="3" fillId="4" borderId="23" xfId="1" applyNumberFormat="1" applyFont="1" applyFill="1" applyBorder="1" applyAlignment="1">
      <alignment horizontal="center" vertical="center"/>
    </xf>
    <xf numFmtId="3" fontId="3" fillId="4" borderId="14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6" borderId="7" xfId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5" borderId="7" xfId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/>
    </xf>
    <xf numFmtId="164" fontId="8" fillId="3" borderId="37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/>
    </xf>
    <xf numFmtId="3" fontId="4" fillId="0" borderId="39" xfId="0" applyNumberFormat="1" applyFont="1" applyBorder="1" applyAlignment="1">
      <alignment horizontal="center"/>
    </xf>
    <xf numFmtId="3" fontId="4" fillId="5" borderId="39" xfId="0" applyNumberFormat="1" applyFont="1" applyFill="1" applyBorder="1" applyAlignment="1">
      <alignment horizontal="center"/>
    </xf>
    <xf numFmtId="3" fontId="4" fillId="6" borderId="39" xfId="0" applyNumberFormat="1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6" borderId="12" xfId="0" applyFill="1" applyBorder="1" applyAlignment="1">
      <alignment horizontal="center" vertical="center" wrapText="1"/>
    </xf>
    <xf numFmtId="3" fontId="4" fillId="6" borderId="38" xfId="0" applyNumberFormat="1" applyFont="1" applyFill="1" applyBorder="1" applyAlignment="1">
      <alignment horizontal="center"/>
    </xf>
    <xf numFmtId="0" fontId="0" fillId="6" borderId="3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165" fontId="1" fillId="0" borderId="5" xfId="1" applyNumberFormat="1" applyBorder="1" applyAlignment="1">
      <alignment horizontal="center" vertical="center"/>
    </xf>
    <xf numFmtId="4" fontId="2" fillId="2" borderId="20" xfId="1" applyNumberFormat="1" applyFont="1" applyFill="1" applyBorder="1" applyAlignment="1">
      <alignment horizontal="center" vertical="center"/>
    </xf>
    <xf numFmtId="165" fontId="1" fillId="0" borderId="32" xfId="1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3" fontId="1" fillId="0" borderId="8" xfId="1" applyNumberFormat="1" applyBorder="1" applyAlignment="1">
      <alignment horizontal="center" vertical="center"/>
    </xf>
    <xf numFmtId="0" fontId="0" fillId="0" borderId="35" xfId="1" applyFont="1" applyBorder="1" applyAlignment="1">
      <alignment horizontal="center" vertical="center"/>
    </xf>
    <xf numFmtId="164" fontId="8" fillId="3" borderId="41" xfId="0" applyNumberFormat="1" applyFont="1" applyFill="1" applyBorder="1" applyAlignment="1">
      <alignment horizontal="center" vertical="center" wrapText="1"/>
    </xf>
    <xf numFmtId="3" fontId="1" fillId="0" borderId="2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3" fillId="2" borderId="19" xfId="1" applyNumberFormat="1" applyFont="1" applyFill="1" applyBorder="1" applyAlignment="1">
      <alignment horizontal="center" vertical="center"/>
    </xf>
    <xf numFmtId="3" fontId="3" fillId="2" borderId="42" xfId="1" applyNumberFormat="1" applyFont="1" applyFill="1" applyBorder="1" applyAlignment="1">
      <alignment horizontal="center" vertical="center"/>
    </xf>
    <xf numFmtId="3" fontId="3" fillId="4" borderId="41" xfId="1" applyNumberFormat="1" applyFont="1" applyFill="1" applyBorder="1" applyAlignment="1">
      <alignment horizontal="center" vertical="center"/>
    </xf>
    <xf numFmtId="3" fontId="3" fillId="4" borderId="15" xfId="1" applyNumberFormat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7" borderId="36" xfId="1" applyFont="1" applyFill="1" applyBorder="1" applyAlignment="1">
      <alignment horizontal="center" vertical="center"/>
    </xf>
    <xf numFmtId="0" fontId="2" fillId="7" borderId="13" xfId="1" applyFont="1" applyFill="1" applyBorder="1" applyAlignment="1">
      <alignment horizontal="center" vertical="center"/>
    </xf>
    <xf numFmtId="4" fontId="1" fillId="0" borderId="4" xfId="1" applyNumberFormat="1" applyBorder="1" applyAlignment="1">
      <alignment horizontal="center" vertical="center"/>
    </xf>
    <xf numFmtId="4" fontId="3" fillId="2" borderId="19" xfId="1" applyNumberFormat="1" applyFont="1" applyFill="1" applyBorder="1" applyAlignment="1">
      <alignment horizontal="center" vertical="center"/>
    </xf>
    <xf numFmtId="0" fontId="2" fillId="5" borderId="20" xfId="1" applyFont="1" applyFill="1" applyBorder="1" applyAlignment="1">
      <alignment horizontal="center" vertical="center"/>
    </xf>
    <xf numFmtId="3" fontId="3" fillId="7" borderId="14" xfId="1" applyNumberFormat="1" applyFont="1" applyFill="1" applyBorder="1" applyAlignment="1">
      <alignment horizontal="center" vertical="center"/>
    </xf>
    <xf numFmtId="164" fontId="8" fillId="3" borderId="44" xfId="0" applyNumberFormat="1" applyFont="1" applyFill="1" applyBorder="1" applyAlignment="1">
      <alignment horizontal="center"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3" fontId="1" fillId="0" borderId="7" xfId="1" applyNumberForma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right" vertical="center"/>
    </xf>
    <xf numFmtId="0" fontId="2" fillId="5" borderId="52" xfId="1" applyFont="1" applyFill="1" applyBorder="1" applyAlignment="1">
      <alignment horizontal="center" vertical="center"/>
    </xf>
    <xf numFmtId="3" fontId="3" fillId="2" borderId="53" xfId="1" applyNumberFormat="1" applyFont="1" applyFill="1" applyBorder="1" applyAlignment="1">
      <alignment horizontal="center" vertical="center"/>
    </xf>
    <xf numFmtId="3" fontId="3" fillId="2" borderId="54" xfId="1" applyNumberFormat="1" applyFont="1" applyFill="1" applyBorder="1" applyAlignment="1">
      <alignment horizontal="center" vertical="center"/>
    </xf>
    <xf numFmtId="3" fontId="3" fillId="2" borderId="55" xfId="1" applyNumberFormat="1" applyFont="1" applyFill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0" fontId="0" fillId="0" borderId="36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3" fontId="1" fillId="0" borderId="49" xfId="1" applyNumberFormat="1" applyBorder="1" applyAlignment="1">
      <alignment horizontal="center" vertical="center"/>
    </xf>
    <xf numFmtId="3" fontId="1" fillId="0" borderId="43" xfId="1" applyNumberForma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/>
    </xf>
    <xf numFmtId="3" fontId="5" fillId="5" borderId="21" xfId="1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3" fontId="5" fillId="7" borderId="13" xfId="1" applyNumberFormat="1" applyFont="1" applyFill="1" applyBorder="1" applyAlignment="1">
      <alignment horizontal="center" vertical="center"/>
    </xf>
    <xf numFmtId="3" fontId="4" fillId="0" borderId="49" xfId="0" applyNumberFormat="1" applyFont="1" applyBorder="1" applyAlignment="1">
      <alignment horizontal="center"/>
    </xf>
    <xf numFmtId="3" fontId="5" fillId="5" borderId="52" xfId="1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5" fillId="5" borderId="18" xfId="1" applyNumberFormat="1" applyFont="1" applyFill="1" applyBorder="1" applyAlignment="1">
      <alignment horizontal="center" vertical="center"/>
    </xf>
    <xf numFmtId="3" fontId="5" fillId="7" borderId="16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5" borderId="9" xfId="1" applyFont="1" applyFill="1" applyBorder="1" applyAlignment="1">
      <alignment horizontal="center" vertical="center"/>
    </xf>
    <xf numFmtId="4" fontId="3" fillId="2" borderId="57" xfId="1" applyNumberFormat="1" applyFont="1" applyFill="1" applyBorder="1" applyAlignment="1">
      <alignment horizontal="center" vertical="center"/>
    </xf>
    <xf numFmtId="4" fontId="3" fillId="2" borderId="54" xfId="1" applyNumberFormat="1" applyFont="1" applyFill="1" applyBorder="1" applyAlignment="1">
      <alignment horizontal="center" vertical="center"/>
    </xf>
    <xf numFmtId="3" fontId="5" fillId="5" borderId="9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46" xfId="0" applyBorder="1"/>
    <xf numFmtId="3" fontId="4" fillId="0" borderId="35" xfId="0" applyNumberFormat="1" applyFont="1" applyBorder="1" applyAlignment="1">
      <alignment horizontal="center"/>
    </xf>
    <xf numFmtId="164" fontId="8" fillId="3" borderId="59" xfId="0" applyNumberFormat="1" applyFont="1" applyFill="1" applyBorder="1" applyAlignment="1">
      <alignment horizontal="center" vertical="center" wrapText="1"/>
    </xf>
    <xf numFmtId="0" fontId="0" fillId="0" borderId="50" xfId="0" applyBorder="1"/>
    <xf numFmtId="165" fontId="1" fillId="0" borderId="43" xfId="1" applyNumberFormat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5" fillId="5" borderId="40" xfId="1" applyNumberFormat="1" applyFont="1" applyFill="1" applyBorder="1" applyAlignment="1">
      <alignment horizontal="center" vertical="center"/>
    </xf>
    <xf numFmtId="3" fontId="5" fillId="7" borderId="22" xfId="1" applyNumberFormat="1" applyFont="1" applyFill="1" applyBorder="1" applyAlignment="1">
      <alignment horizontal="center" vertical="center"/>
    </xf>
    <xf numFmtId="0" fontId="9" fillId="8" borderId="22" xfId="1" applyFont="1" applyFill="1" applyBorder="1" applyAlignment="1">
      <alignment horizontal="center" vertical="center"/>
    </xf>
    <xf numFmtId="164" fontId="8" fillId="8" borderId="36" xfId="0" applyNumberFormat="1" applyFont="1" applyFill="1" applyBorder="1" applyAlignment="1">
      <alignment horizontal="center" vertical="center" wrapText="1"/>
    </xf>
    <xf numFmtId="3" fontId="4" fillId="8" borderId="48" xfId="0" applyNumberFormat="1" applyFont="1" applyFill="1" applyBorder="1" applyAlignment="1">
      <alignment horizontal="center"/>
    </xf>
    <xf numFmtId="3" fontId="5" fillId="8" borderId="52" xfId="1" applyNumberFormat="1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/>
    </xf>
    <xf numFmtId="3" fontId="5" fillId="8" borderId="18" xfId="1" applyNumberFormat="1" applyFont="1" applyFill="1" applyBorder="1" applyAlignment="1">
      <alignment horizontal="center" vertical="center"/>
    </xf>
    <xf numFmtId="3" fontId="5" fillId="8" borderId="50" xfId="1" applyNumberFormat="1" applyFont="1" applyFill="1" applyBorder="1" applyAlignment="1">
      <alignment horizontal="center" vertical="center"/>
    </xf>
    <xf numFmtId="164" fontId="8" fillId="8" borderId="37" xfId="0" applyNumberFormat="1" applyFont="1" applyFill="1" applyBorder="1" applyAlignment="1">
      <alignment horizontal="center" vertical="center" wrapText="1"/>
    </xf>
    <xf numFmtId="3" fontId="4" fillId="8" borderId="45" xfId="0" applyNumberFormat="1" applyFont="1" applyFill="1" applyBorder="1" applyAlignment="1">
      <alignment horizontal="center"/>
    </xf>
    <xf numFmtId="3" fontId="5" fillId="8" borderId="58" xfId="1" applyNumberFormat="1" applyFont="1" applyFill="1" applyBorder="1" applyAlignment="1">
      <alignment horizontal="center" vertical="center"/>
    </xf>
    <xf numFmtId="0" fontId="0" fillId="8" borderId="46" xfId="0" applyFill="1" applyBorder="1" applyAlignment="1">
      <alignment horizontal="center"/>
    </xf>
    <xf numFmtId="3" fontId="4" fillId="8" borderId="6" xfId="0" applyNumberFormat="1" applyFont="1" applyFill="1" applyBorder="1" applyAlignment="1">
      <alignment horizontal="center"/>
    </xf>
    <xf numFmtId="3" fontId="4" fillId="8" borderId="3" xfId="0" applyNumberFormat="1" applyFont="1" applyFill="1" applyBorder="1" applyAlignment="1">
      <alignment horizontal="center"/>
    </xf>
    <xf numFmtId="164" fontId="8" fillId="8" borderId="44" xfId="0" applyNumberFormat="1" applyFont="1" applyFill="1" applyBorder="1" applyAlignment="1">
      <alignment horizontal="center" vertical="center" wrapText="1"/>
    </xf>
    <xf numFmtId="4" fontId="4" fillId="8" borderId="6" xfId="0" applyNumberFormat="1" applyFont="1" applyFill="1" applyBorder="1" applyAlignment="1">
      <alignment horizontal="center"/>
    </xf>
    <xf numFmtId="4" fontId="4" fillId="8" borderId="3" xfId="0" applyNumberFormat="1" applyFont="1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3" fontId="5" fillId="8" borderId="22" xfId="1" applyNumberFormat="1" applyFont="1" applyFill="1" applyBorder="1" applyAlignment="1">
      <alignment horizontal="center" vertical="center"/>
    </xf>
    <xf numFmtId="164" fontId="8" fillId="8" borderId="22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3" fontId="4" fillId="8" borderId="35" xfId="0" applyNumberFormat="1" applyFont="1" applyFill="1" applyBorder="1" applyAlignment="1">
      <alignment horizontal="center"/>
    </xf>
    <xf numFmtId="3" fontId="3" fillId="8" borderId="14" xfId="1" applyNumberFormat="1" applyFont="1" applyFill="1" applyBorder="1" applyAlignment="1">
      <alignment horizontal="center" vertical="center"/>
    </xf>
    <xf numFmtId="165" fontId="1" fillId="0" borderId="49" xfId="1" applyNumberFormat="1" applyBorder="1" applyAlignment="1">
      <alignment horizontal="center" vertical="center"/>
    </xf>
    <xf numFmtId="165" fontId="1" fillId="0" borderId="5" xfId="1" applyNumberFormat="1" applyBorder="1" applyAlignment="1">
      <alignment horizontal="left" vertical="center" indent="1"/>
    </xf>
    <xf numFmtId="165" fontId="1" fillId="0" borderId="4" xfId="1" applyNumberFormat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center"/>
    </xf>
    <xf numFmtId="165" fontId="3" fillId="2" borderId="20" xfId="1" applyNumberFormat="1" applyFont="1" applyFill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45" xfId="1" applyNumberFormat="1" applyBorder="1" applyAlignment="1">
      <alignment horizontal="center" vertical="center"/>
    </xf>
    <xf numFmtId="3" fontId="3" fillId="2" borderId="56" xfId="1" applyNumberFormat="1" applyFont="1" applyFill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3" fillId="4" borderId="37" xfId="1" applyNumberFormat="1" applyFont="1" applyFill="1" applyBorder="1" applyAlignment="1">
      <alignment horizontal="center" vertical="center"/>
    </xf>
    <xf numFmtId="4" fontId="3" fillId="2" borderId="63" xfId="1" applyNumberFormat="1" applyFont="1" applyFill="1" applyBorder="1" applyAlignment="1">
      <alignment horizontal="center" vertical="center"/>
    </xf>
    <xf numFmtId="3" fontId="1" fillId="0" borderId="3" xfId="1" applyNumberFormat="1" applyBorder="1" applyAlignment="1">
      <alignment horizontal="center" vertical="center"/>
    </xf>
    <xf numFmtId="3" fontId="3" fillId="2" borderId="37" xfId="1" applyNumberFormat="1" applyFont="1" applyFill="1" applyBorder="1" applyAlignment="1">
      <alignment horizontal="center" vertical="center"/>
    </xf>
    <xf numFmtId="3" fontId="1" fillId="8" borderId="45" xfId="1" applyNumberFormat="1" applyFill="1" applyBorder="1" applyAlignment="1">
      <alignment horizontal="center" vertical="center"/>
    </xf>
    <xf numFmtId="3" fontId="3" fillId="8" borderId="58" xfId="1" applyNumberFormat="1" applyFont="1" applyFill="1" applyBorder="1" applyAlignment="1">
      <alignment horizontal="center" vertical="center"/>
    </xf>
    <xf numFmtId="0" fontId="0" fillId="8" borderId="22" xfId="0" applyFill="1" applyBorder="1"/>
    <xf numFmtId="3" fontId="1" fillId="8" borderId="60" xfId="1" applyNumberFormat="1" applyFill="1" applyBorder="1" applyAlignment="1">
      <alignment horizontal="center" vertical="center"/>
    </xf>
    <xf numFmtId="3" fontId="3" fillId="8" borderId="22" xfId="1" applyNumberFormat="1" applyFont="1" applyFill="1" applyBorder="1" applyAlignment="1">
      <alignment horizontal="center" vertical="center"/>
    </xf>
    <xf numFmtId="164" fontId="8" fillId="3" borderId="13" xfId="0" applyNumberFormat="1" applyFont="1" applyFill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/>
    </xf>
    <xf numFmtId="4" fontId="3" fillId="8" borderId="63" xfId="1" applyNumberFormat="1" applyFont="1" applyFill="1" applyBorder="1" applyAlignment="1">
      <alignment horizontal="center" vertical="center"/>
    </xf>
    <xf numFmtId="0" fontId="0" fillId="8" borderId="0" xfId="0" applyFill="1"/>
    <xf numFmtId="3" fontId="3" fillId="8" borderId="37" xfId="1" applyNumberFormat="1" applyFont="1" applyFill="1" applyBorder="1" applyAlignment="1">
      <alignment horizontal="center" vertical="center"/>
    </xf>
    <xf numFmtId="164" fontId="8" fillId="3" borderId="7" xfId="0" applyNumberFormat="1" applyFont="1" applyFill="1" applyBorder="1" applyAlignment="1">
      <alignment horizontal="center" vertical="center" wrapText="1"/>
    </xf>
    <xf numFmtId="164" fontId="8" fillId="3" borderId="8" xfId="0" applyNumberFormat="1" applyFont="1" applyFill="1" applyBorder="1" applyAlignment="1">
      <alignment horizontal="center" vertical="center" wrapText="1"/>
    </xf>
    <xf numFmtId="164" fontId="8" fillId="3" borderId="64" xfId="0" applyNumberFormat="1" applyFont="1" applyFill="1" applyBorder="1" applyAlignment="1">
      <alignment horizontal="center" vertical="center" wrapText="1"/>
    </xf>
    <xf numFmtId="3" fontId="3" fillId="4" borderId="36" xfId="1" applyNumberFormat="1" applyFont="1" applyFill="1" applyBorder="1" applyAlignment="1">
      <alignment horizontal="center" vertical="center"/>
    </xf>
    <xf numFmtId="164" fontId="8" fillId="8" borderId="46" xfId="0" applyNumberFormat="1" applyFont="1" applyFill="1" applyBorder="1" applyAlignment="1">
      <alignment horizontal="center" vertical="center" wrapText="1"/>
    </xf>
    <xf numFmtId="4" fontId="3" fillId="8" borderId="65" xfId="1" applyNumberFormat="1" applyFont="1" applyFill="1" applyBorder="1" applyAlignment="1">
      <alignment horizontal="center" vertical="center"/>
    </xf>
    <xf numFmtId="0" fontId="0" fillId="8" borderId="50" xfId="0" applyFill="1" applyBorder="1"/>
    <xf numFmtId="3" fontId="1" fillId="8" borderId="48" xfId="1" applyNumberFormat="1" applyFill="1" applyBorder="1" applyAlignment="1">
      <alignment horizontal="center" vertical="center"/>
    </xf>
    <xf numFmtId="165" fontId="1" fillId="8" borderId="48" xfId="1" applyNumberFormat="1" applyFill="1" applyBorder="1" applyAlignment="1">
      <alignment horizontal="center" vertical="center"/>
    </xf>
    <xf numFmtId="164" fontId="8" fillId="3" borderId="28" xfId="0" applyNumberFormat="1" applyFont="1" applyFill="1" applyBorder="1" applyAlignment="1">
      <alignment horizontal="center" vertical="center" wrapText="1"/>
    </xf>
    <xf numFmtId="3" fontId="1" fillId="8" borderId="49" xfId="1" applyNumberFormat="1" applyFill="1" applyBorder="1" applyAlignment="1">
      <alignment horizontal="center" vertical="center"/>
    </xf>
    <xf numFmtId="3" fontId="1" fillId="8" borderId="43" xfId="1" applyNumberFormat="1" applyFill="1" applyBorder="1" applyAlignment="1">
      <alignment horizontal="center" vertical="center"/>
    </xf>
    <xf numFmtId="3" fontId="1" fillId="8" borderId="62" xfId="1" applyNumberFormat="1" applyFill="1" applyBorder="1" applyAlignment="1">
      <alignment horizontal="center" vertical="center"/>
    </xf>
    <xf numFmtId="165" fontId="1" fillId="8" borderId="45" xfId="1" applyNumberFormat="1" applyFill="1" applyBorder="1" applyAlignment="1">
      <alignment horizontal="center" vertical="center"/>
    </xf>
    <xf numFmtId="3" fontId="4" fillId="5" borderId="40" xfId="0" applyNumberFormat="1" applyFont="1" applyFill="1" applyBorder="1" applyAlignment="1">
      <alignment horizontal="center"/>
    </xf>
    <xf numFmtId="0" fontId="0" fillId="5" borderId="21" xfId="0" applyFill="1" applyBorder="1" applyAlignment="1">
      <alignment horizontal="center" vertical="center" wrapText="1"/>
    </xf>
    <xf numFmtId="0" fontId="0" fillId="0" borderId="26" xfId="0" applyBorder="1"/>
    <xf numFmtId="0" fontId="1" fillId="0" borderId="30" xfId="1" applyBorder="1" applyAlignment="1">
      <alignment horizontal="center" vertical="center"/>
    </xf>
    <xf numFmtId="4" fontId="1" fillId="0" borderId="2" xfId="1" applyNumberForma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4" fontId="5" fillId="8" borderId="65" xfId="1" applyNumberFormat="1" applyFont="1" applyFill="1" applyBorder="1" applyAlignment="1">
      <alignment horizontal="center" vertical="center"/>
    </xf>
    <xf numFmtId="0" fontId="0" fillId="5" borderId="7" xfId="1" applyFont="1" applyFill="1" applyBorder="1" applyAlignment="1">
      <alignment horizontal="left" vertical="center"/>
    </xf>
    <xf numFmtId="3" fontId="0" fillId="0" borderId="0" xfId="0" applyNumberFormat="1"/>
    <xf numFmtId="0" fontId="1" fillId="0" borderId="18" xfId="1" applyBorder="1" applyAlignment="1">
      <alignment horizontal="center" vertical="center"/>
    </xf>
    <xf numFmtId="0" fontId="1" fillId="0" borderId="21" xfId="1" applyBorder="1" applyAlignment="1">
      <alignment horizontal="left" vertical="center"/>
    </xf>
    <xf numFmtId="3" fontId="1" fillId="0" borderId="19" xfId="1" applyNumberFormat="1" applyBorder="1" applyAlignment="1">
      <alignment horizontal="center" vertical="center"/>
    </xf>
    <xf numFmtId="3" fontId="1" fillId="0" borderId="20" xfId="1" applyNumberFormat="1" applyBorder="1" applyAlignment="1">
      <alignment horizontal="center" vertical="center"/>
    </xf>
    <xf numFmtId="3" fontId="1" fillId="0" borderId="63" xfId="1" applyNumberFormat="1" applyBorder="1" applyAlignment="1">
      <alignment horizontal="center" vertical="center"/>
    </xf>
    <xf numFmtId="3" fontId="1" fillId="8" borderId="65" xfId="1" applyNumberForma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1" fillId="0" borderId="48" xfId="1" applyBorder="1" applyAlignment="1">
      <alignment horizontal="left" vertical="center"/>
    </xf>
    <xf numFmtId="0" fontId="1" fillId="0" borderId="48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3" fontId="1" fillId="8" borderId="0" xfId="1" applyNumberFormat="1" applyFill="1" applyAlignment="1">
      <alignment horizontal="center" vertical="center"/>
    </xf>
    <xf numFmtId="3" fontId="1" fillId="9" borderId="41" xfId="1" applyNumberFormat="1" applyFill="1" applyBorder="1" applyAlignment="1">
      <alignment horizontal="center" vertical="center"/>
    </xf>
    <xf numFmtId="3" fontId="1" fillId="9" borderId="14" xfId="1" applyNumberFormat="1" applyFill="1" applyBorder="1" applyAlignment="1">
      <alignment horizontal="center" vertical="center"/>
    </xf>
    <xf numFmtId="3" fontId="1" fillId="9" borderId="37" xfId="1" applyNumberFormat="1" applyFill="1" applyBorder="1" applyAlignment="1">
      <alignment horizontal="center" vertical="center"/>
    </xf>
    <xf numFmtId="3" fontId="1" fillId="9" borderId="22" xfId="1" applyNumberFormat="1" applyFill="1" applyBorder="1" applyAlignment="1">
      <alignment horizontal="center" vertical="center"/>
    </xf>
    <xf numFmtId="0" fontId="3" fillId="10" borderId="2" xfId="4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9" borderId="4" xfId="4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0" fillId="10" borderId="19" xfId="0" applyFont="1" applyFill="1" applyBorder="1" applyAlignment="1">
      <alignment horizontal="right" vertical="center"/>
    </xf>
    <xf numFmtId="0" fontId="16" fillId="0" borderId="30" xfId="1" applyFont="1" applyBorder="1" applyAlignment="1">
      <alignment horizontal="left" vertical="center"/>
    </xf>
    <xf numFmtId="0" fontId="16" fillId="0" borderId="35" xfId="1" applyFont="1" applyBorder="1" applyAlignment="1">
      <alignment horizontal="center" vertical="center"/>
    </xf>
    <xf numFmtId="3" fontId="16" fillId="0" borderId="2" xfId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/>
    </xf>
    <xf numFmtId="3" fontId="16" fillId="0" borderId="62" xfId="1" applyNumberFormat="1" applyFont="1" applyBorder="1" applyAlignment="1">
      <alignment horizontal="center" vertical="center"/>
    </xf>
    <xf numFmtId="0" fontId="16" fillId="0" borderId="0" xfId="0" applyFont="1"/>
    <xf numFmtId="0" fontId="16" fillId="0" borderId="12" xfId="1" applyFont="1" applyBorder="1" applyAlignment="1">
      <alignment horizontal="left" vertical="center"/>
    </xf>
    <xf numFmtId="0" fontId="16" fillId="0" borderId="3" xfId="1" applyFont="1" applyBorder="1" applyAlignment="1">
      <alignment horizontal="center" vertical="center"/>
    </xf>
    <xf numFmtId="3" fontId="16" fillId="0" borderId="4" xfId="1" applyNumberFormat="1" applyFont="1" applyBorder="1" applyAlignment="1">
      <alignment horizontal="center" vertical="center"/>
    </xf>
    <xf numFmtId="3" fontId="16" fillId="0" borderId="5" xfId="1" applyNumberFormat="1" applyFont="1" applyBorder="1" applyAlignment="1">
      <alignment horizontal="center" vertical="center"/>
    </xf>
    <xf numFmtId="3" fontId="16" fillId="8" borderId="45" xfId="1" applyNumberFormat="1" applyFont="1" applyFill="1" applyBorder="1" applyAlignment="1">
      <alignment horizontal="center" vertical="center"/>
    </xf>
    <xf numFmtId="0" fontId="16" fillId="0" borderId="21" xfId="1" applyFont="1" applyBorder="1" applyAlignment="1">
      <alignment horizontal="left" vertical="center"/>
    </xf>
    <xf numFmtId="0" fontId="16" fillId="0" borderId="18" xfId="1" applyFont="1" applyBorder="1" applyAlignment="1">
      <alignment horizontal="center" vertical="center"/>
    </xf>
    <xf numFmtId="3" fontId="16" fillId="0" borderId="19" xfId="1" applyNumberFormat="1" applyFont="1" applyBorder="1" applyAlignment="1">
      <alignment horizontal="center" vertical="center"/>
    </xf>
    <xf numFmtId="3" fontId="16" fillId="0" borderId="20" xfId="1" applyNumberFormat="1" applyFont="1" applyBorder="1" applyAlignment="1">
      <alignment horizontal="center" vertical="center"/>
    </xf>
    <xf numFmtId="3" fontId="16" fillId="0" borderId="63" xfId="1" applyNumberFormat="1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4" fontId="4" fillId="8" borderId="60" xfId="0" applyNumberFormat="1" applyFont="1" applyFill="1" applyBorder="1" applyAlignment="1">
      <alignment horizontal="center"/>
    </xf>
    <xf numFmtId="4" fontId="4" fillId="8" borderId="48" xfId="0" applyNumberFormat="1" applyFont="1" applyFill="1" applyBorder="1" applyAlignment="1">
      <alignment horizontal="center"/>
    </xf>
    <xf numFmtId="4" fontId="4" fillId="8" borderId="45" xfId="0" applyNumberFormat="1" applyFont="1" applyFill="1" applyBorder="1" applyAlignment="1">
      <alignment horizontal="center"/>
    </xf>
    <xf numFmtId="3" fontId="3" fillId="4" borderId="68" xfId="1" applyNumberFormat="1" applyFont="1" applyFill="1" applyBorder="1" applyAlignment="1">
      <alignment horizontal="center" vertical="center"/>
    </xf>
    <xf numFmtId="3" fontId="3" fillId="4" borderId="69" xfId="1" applyNumberFormat="1" applyFont="1" applyFill="1" applyBorder="1" applyAlignment="1">
      <alignment horizontal="center" vertical="center"/>
    </xf>
    <xf numFmtId="3" fontId="3" fillId="4" borderId="71" xfId="1" applyNumberFormat="1" applyFont="1" applyFill="1" applyBorder="1" applyAlignment="1">
      <alignment horizontal="center" vertical="center"/>
    </xf>
    <xf numFmtId="3" fontId="3" fillId="8" borderId="26" xfId="1" applyNumberFormat="1" applyFont="1" applyFill="1" applyBorder="1" applyAlignment="1">
      <alignment horizontal="center" vertical="center"/>
    </xf>
    <xf numFmtId="3" fontId="3" fillId="4" borderId="26" xfId="1" applyNumberFormat="1" applyFont="1" applyFill="1" applyBorder="1" applyAlignment="1">
      <alignment horizontal="center" vertical="center"/>
    </xf>
    <xf numFmtId="3" fontId="3" fillId="4" borderId="70" xfId="1" applyNumberFormat="1" applyFont="1" applyFill="1" applyBorder="1" applyAlignment="1">
      <alignment horizontal="center" vertical="center"/>
    </xf>
    <xf numFmtId="165" fontId="1" fillId="0" borderId="62" xfId="1" applyNumberFormat="1" applyBorder="1" applyAlignment="1">
      <alignment horizontal="center" vertical="center"/>
    </xf>
    <xf numFmtId="3" fontId="1" fillId="11" borderId="0" xfId="1" applyNumberFormat="1" applyFill="1" applyAlignment="1">
      <alignment horizontal="center" vertical="center"/>
    </xf>
    <xf numFmtId="3" fontId="1" fillId="11" borderId="22" xfId="1" applyNumberFormat="1" applyFill="1" applyBorder="1" applyAlignment="1">
      <alignment horizontal="center" vertical="center"/>
    </xf>
    <xf numFmtId="3" fontId="1" fillId="11" borderId="1" xfId="1" applyNumberFormat="1" applyFill="1" applyBorder="1" applyAlignment="1">
      <alignment horizontal="center" vertical="center"/>
    </xf>
    <xf numFmtId="3" fontId="1" fillId="11" borderId="5" xfId="1" applyNumberFormat="1" applyFill="1" applyBorder="1" applyAlignment="1">
      <alignment horizontal="center" vertical="center"/>
    </xf>
    <xf numFmtId="3" fontId="1" fillId="11" borderId="20" xfId="1" applyNumberFormat="1" applyFill="1" applyBorder="1" applyAlignment="1">
      <alignment horizontal="center" vertical="center"/>
    </xf>
    <xf numFmtId="0" fontId="0" fillId="11" borderId="0" xfId="0" applyFill="1"/>
    <xf numFmtId="3" fontId="16" fillId="11" borderId="1" xfId="1" applyNumberFormat="1" applyFont="1" applyFill="1" applyBorder="1" applyAlignment="1">
      <alignment horizontal="center" vertical="center"/>
    </xf>
    <xf numFmtId="3" fontId="16" fillId="11" borderId="5" xfId="1" applyNumberFormat="1" applyFont="1" applyFill="1" applyBorder="1" applyAlignment="1">
      <alignment horizontal="center" vertical="center"/>
    </xf>
    <xf numFmtId="3" fontId="16" fillId="11" borderId="20" xfId="1" applyNumberFormat="1" applyFont="1" applyFill="1" applyBorder="1" applyAlignment="1">
      <alignment horizontal="center" vertical="center"/>
    </xf>
    <xf numFmtId="165" fontId="3" fillId="2" borderId="54" xfId="1" applyNumberFormat="1" applyFont="1" applyFill="1" applyBorder="1" applyAlignment="1">
      <alignment horizontal="center" vertical="center"/>
    </xf>
    <xf numFmtId="3" fontId="1" fillId="0" borderId="66" xfId="1" applyNumberFormat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right" vertical="center"/>
    </xf>
    <xf numFmtId="0" fontId="2" fillId="5" borderId="50" xfId="1" applyFont="1" applyFill="1" applyBorder="1" applyAlignment="1">
      <alignment horizontal="center" vertical="center"/>
    </xf>
    <xf numFmtId="4" fontId="3" fillId="2" borderId="72" xfId="1" applyNumberFormat="1" applyFont="1" applyFill="1" applyBorder="1" applyAlignment="1">
      <alignment horizontal="center" vertical="center"/>
    </xf>
    <xf numFmtId="4" fontId="3" fillId="2" borderId="69" xfId="1" applyNumberFormat="1" applyFont="1" applyFill="1" applyBorder="1" applyAlignment="1">
      <alignment horizontal="center" vertical="center"/>
    </xf>
    <xf numFmtId="3" fontId="5" fillId="5" borderId="50" xfId="1" applyNumberFormat="1" applyFont="1" applyFill="1" applyBorder="1" applyAlignment="1">
      <alignment horizontal="center" vertical="center"/>
    </xf>
    <xf numFmtId="3" fontId="1" fillId="0" borderId="5" xfId="1" applyNumberFormat="1" applyFill="1" applyBorder="1" applyAlignment="1">
      <alignment horizontal="center" vertical="center"/>
    </xf>
    <xf numFmtId="3" fontId="1" fillId="0" borderId="8" xfId="1" applyNumberFormat="1" applyFill="1" applyBorder="1" applyAlignment="1">
      <alignment horizontal="center" vertical="center"/>
    </xf>
    <xf numFmtId="3" fontId="1" fillId="0" borderId="1" xfId="1" applyNumberFormat="1" applyFill="1" applyBorder="1" applyAlignment="1">
      <alignment horizontal="center" vertical="center"/>
    </xf>
    <xf numFmtId="3" fontId="1" fillId="0" borderId="62" xfId="1" applyNumberFormat="1" applyFill="1" applyBorder="1" applyAlignment="1">
      <alignment horizontal="center" vertical="center"/>
    </xf>
    <xf numFmtId="3" fontId="1" fillId="0" borderId="43" xfId="1" applyNumberFormat="1" applyFill="1" applyBorder="1" applyAlignment="1">
      <alignment horizontal="center" vertical="center"/>
    </xf>
    <xf numFmtId="3" fontId="1" fillId="0" borderId="49" xfId="1" applyNumberFormat="1" applyFill="1" applyBorder="1" applyAlignment="1">
      <alignment horizontal="center" vertical="center"/>
    </xf>
    <xf numFmtId="4" fontId="3" fillId="2" borderId="50" xfId="1" applyNumberFormat="1" applyFont="1" applyFill="1" applyBorder="1" applyAlignment="1">
      <alignment horizontal="center" vertical="center"/>
    </xf>
    <xf numFmtId="165" fontId="1" fillId="0" borderId="5" xfId="1" applyNumberFormat="1" applyFill="1" applyBorder="1" applyAlignment="1">
      <alignment horizontal="center" vertical="center"/>
    </xf>
    <xf numFmtId="164" fontId="8" fillId="3" borderId="49" xfId="0" applyNumberFormat="1" applyFont="1" applyFill="1" applyBorder="1" applyAlignment="1">
      <alignment horizontal="center" vertical="center" wrapText="1"/>
    </xf>
    <xf numFmtId="3" fontId="1" fillId="0" borderId="61" xfId="1" applyNumberFormat="1" applyBorder="1" applyAlignment="1">
      <alignment horizontal="center" vertical="center"/>
    </xf>
    <xf numFmtId="0" fontId="0" fillId="0" borderId="0" xfId="0" applyBorder="1"/>
    <xf numFmtId="3" fontId="1" fillId="0" borderId="67" xfId="1" applyNumberFormat="1" applyBorder="1" applyAlignment="1">
      <alignment horizontal="center" vertical="center"/>
    </xf>
    <xf numFmtId="0" fontId="9" fillId="3" borderId="16" xfId="1" applyFont="1" applyFill="1" applyBorder="1" applyAlignment="1">
      <alignment vertical="center"/>
    </xf>
    <xf numFmtId="3" fontId="1" fillId="0" borderId="4" xfId="1" applyNumberFormat="1" applyFill="1" applyBorder="1" applyAlignment="1">
      <alignment horizontal="center" vertical="center"/>
    </xf>
    <xf numFmtId="3" fontId="1" fillId="0" borderId="2" xfId="1" applyNumberFormat="1" applyFill="1" applyBorder="1" applyAlignment="1">
      <alignment horizontal="center" vertical="center"/>
    </xf>
    <xf numFmtId="4" fontId="3" fillId="2" borderId="68" xfId="1" applyNumberFormat="1" applyFont="1" applyFill="1" applyBorder="1" applyAlignment="1">
      <alignment horizontal="center" vertical="center"/>
    </xf>
    <xf numFmtId="165" fontId="1" fillId="0" borderId="1" xfId="1" applyNumberFormat="1" applyFill="1" applyBorder="1" applyAlignment="1">
      <alignment horizontal="center" vertical="center"/>
    </xf>
    <xf numFmtId="165" fontId="1" fillId="0" borderId="43" xfId="1" applyNumberFormat="1" applyFill="1" applyBorder="1" applyAlignment="1">
      <alignment horizontal="center" vertical="center"/>
    </xf>
    <xf numFmtId="165" fontId="1" fillId="0" borderId="49" xfId="1" applyNumberFormat="1" applyFill="1" applyBorder="1" applyAlignment="1">
      <alignment horizontal="center" vertical="center"/>
    </xf>
    <xf numFmtId="3" fontId="1" fillId="11" borderId="65" xfId="1" applyNumberFormat="1" applyFill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33" xfId="1" applyNumberFormat="1" applyBorder="1" applyAlignment="1">
      <alignment horizontal="center" vertical="center"/>
    </xf>
    <xf numFmtId="3" fontId="1" fillId="0" borderId="0" xfId="1" applyNumberFormat="1" applyBorder="1" applyAlignment="1">
      <alignment horizontal="center" vertical="center"/>
    </xf>
    <xf numFmtId="3" fontId="16" fillId="0" borderId="67" xfId="1" applyNumberFormat="1" applyFont="1" applyBorder="1" applyAlignment="1">
      <alignment horizontal="center" vertical="center"/>
    </xf>
    <xf numFmtId="3" fontId="16" fillId="0" borderId="42" xfId="1" applyNumberFormat="1" applyFont="1" applyBorder="1" applyAlignment="1">
      <alignment horizontal="center" vertical="center"/>
    </xf>
    <xf numFmtId="3" fontId="0" fillId="0" borderId="0" xfId="0" applyNumberFormat="1" applyFill="1"/>
    <xf numFmtId="0" fontId="0" fillId="0" borderId="0" xfId="0" applyFill="1"/>
    <xf numFmtId="3" fontId="1" fillId="11" borderId="60" xfId="1" applyNumberFormat="1" applyFill="1" applyBorder="1" applyAlignment="1">
      <alignment horizontal="center" vertical="center"/>
    </xf>
    <xf numFmtId="3" fontId="1" fillId="11" borderId="45" xfId="1" applyNumberFormat="1" applyFill="1" applyBorder="1" applyAlignment="1">
      <alignment horizontal="center" vertical="center"/>
    </xf>
    <xf numFmtId="3" fontId="0" fillId="6" borderId="0" xfId="0" applyNumberFormat="1" applyFill="1"/>
    <xf numFmtId="0" fontId="1" fillId="0" borderId="10" xfId="1" applyBorder="1" applyAlignment="1">
      <alignment horizontal="left" vertical="center"/>
    </xf>
    <xf numFmtId="3" fontId="1" fillId="0" borderId="73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8" borderId="0" xfId="1" applyNumberFormat="1" applyFill="1" applyBorder="1" applyAlignment="1">
      <alignment horizontal="center" vertical="center"/>
    </xf>
    <xf numFmtId="3" fontId="1" fillId="0" borderId="75" xfId="1" applyNumberFormat="1" applyBorder="1" applyAlignment="1">
      <alignment horizontal="center" vertical="center"/>
    </xf>
    <xf numFmtId="3" fontId="1" fillId="11" borderId="0" xfId="1" applyNumberFormat="1" applyFill="1" applyBorder="1" applyAlignment="1">
      <alignment horizontal="center" vertical="center"/>
    </xf>
    <xf numFmtId="3" fontId="16" fillId="8" borderId="5" xfId="1" applyNumberFormat="1" applyFont="1" applyFill="1" applyBorder="1" applyAlignment="1">
      <alignment horizontal="center" vertical="center"/>
    </xf>
    <xf numFmtId="3" fontId="16" fillId="11" borderId="45" xfId="1" applyNumberFormat="1" applyFont="1" applyFill="1" applyBorder="1" applyAlignment="1">
      <alignment horizontal="center" vertical="center"/>
    </xf>
    <xf numFmtId="3" fontId="1" fillId="8" borderId="5" xfId="1" applyNumberFormat="1" applyFill="1" applyBorder="1" applyAlignment="1">
      <alignment horizontal="center" vertical="center"/>
    </xf>
    <xf numFmtId="3" fontId="1" fillId="8" borderId="1" xfId="1" applyNumberFormat="1" applyFill="1" applyBorder="1" applyAlignment="1">
      <alignment horizontal="center" vertical="center"/>
    </xf>
    <xf numFmtId="3" fontId="1" fillId="8" borderId="20" xfId="1" applyNumberFormat="1" applyFill="1" applyBorder="1" applyAlignment="1">
      <alignment horizontal="center" vertical="center"/>
    </xf>
    <xf numFmtId="3" fontId="16" fillId="8" borderId="1" xfId="1" applyNumberFormat="1" applyFont="1" applyFill="1" applyBorder="1" applyAlignment="1">
      <alignment horizontal="center" vertical="center"/>
    </xf>
    <xf numFmtId="3" fontId="16" fillId="8" borderId="20" xfId="1" applyNumberFormat="1" applyFont="1" applyFill="1" applyBorder="1" applyAlignment="1">
      <alignment horizontal="center" vertical="center"/>
    </xf>
    <xf numFmtId="4" fontId="3" fillId="2" borderId="56" xfId="1" applyNumberFormat="1" applyFont="1" applyFill="1" applyBorder="1" applyAlignment="1">
      <alignment horizontal="center" vertical="center"/>
    </xf>
    <xf numFmtId="3" fontId="1" fillId="0" borderId="20" xfId="1" applyNumberFormat="1" applyFill="1" applyBorder="1" applyAlignment="1">
      <alignment horizontal="center" vertical="center"/>
    </xf>
    <xf numFmtId="4" fontId="3" fillId="8" borderId="72" xfId="1" applyNumberFormat="1" applyFont="1" applyFill="1" applyBorder="1" applyAlignment="1">
      <alignment horizontal="center" vertical="center"/>
    </xf>
    <xf numFmtId="4" fontId="3" fillId="2" borderId="53" xfId="1" applyNumberFormat="1" applyFont="1" applyFill="1" applyBorder="1" applyAlignment="1">
      <alignment horizontal="center" vertical="center"/>
    </xf>
    <xf numFmtId="3" fontId="14" fillId="2" borderId="54" xfId="1" applyNumberFormat="1" applyFont="1" applyFill="1" applyBorder="1" applyAlignment="1">
      <alignment horizontal="center" vertical="center"/>
    </xf>
    <xf numFmtId="0" fontId="0" fillId="0" borderId="33" xfId="0" applyBorder="1" applyAlignment="1"/>
    <xf numFmtId="0" fontId="0" fillId="0" borderId="0" xfId="0" applyBorder="1" applyAlignment="1"/>
    <xf numFmtId="0" fontId="0" fillId="0" borderId="66" xfId="0" applyBorder="1" applyAlignment="1"/>
    <xf numFmtId="0" fontId="0" fillId="0" borderId="17" xfId="0" applyBorder="1" applyAlignment="1"/>
    <xf numFmtId="165" fontId="1" fillId="0" borderId="8" xfId="1" applyNumberFormat="1" applyFill="1" applyBorder="1" applyAlignment="1">
      <alignment horizontal="center" vertical="center"/>
    </xf>
    <xf numFmtId="4" fontId="3" fillId="2" borderId="41" xfId="1" applyNumberFormat="1" applyFont="1" applyFill="1" applyBorder="1" applyAlignment="1">
      <alignment horizontal="center" vertical="center"/>
    </xf>
    <xf numFmtId="4" fontId="3" fillId="2" borderId="14" xfId="1" applyNumberFormat="1" applyFont="1" applyFill="1" applyBorder="1" applyAlignment="1">
      <alignment horizontal="center" vertical="center"/>
    </xf>
    <xf numFmtId="4" fontId="3" fillId="2" borderId="37" xfId="1" applyNumberFormat="1" applyFont="1" applyFill="1" applyBorder="1" applyAlignment="1">
      <alignment horizontal="center" vertical="center"/>
    </xf>
    <xf numFmtId="3" fontId="1" fillId="9" borderId="76" xfId="1" applyNumberFormat="1" applyFill="1" applyBorder="1" applyAlignment="1">
      <alignment horizontal="center" vertical="center"/>
    </xf>
    <xf numFmtId="3" fontId="1" fillId="9" borderId="59" xfId="1" applyNumberFormat="1" applyFill="1" applyBorder="1" applyAlignment="1">
      <alignment horizontal="center" vertical="center"/>
    </xf>
    <xf numFmtId="4" fontId="3" fillId="2" borderId="71" xfId="1" applyNumberFormat="1" applyFont="1" applyFill="1" applyBorder="1" applyAlignment="1">
      <alignment horizontal="center" vertical="center"/>
    </xf>
    <xf numFmtId="3" fontId="4" fillId="0" borderId="51" xfId="0" applyNumberFormat="1" applyFont="1" applyBorder="1" applyAlignment="1">
      <alignment horizontal="center"/>
    </xf>
    <xf numFmtId="164" fontId="8" fillId="3" borderId="77" xfId="0" applyNumberFormat="1" applyFont="1" applyFill="1" applyBorder="1" applyAlignment="1">
      <alignment horizontal="center" vertical="center" wrapText="1"/>
    </xf>
    <xf numFmtId="3" fontId="1" fillId="0" borderId="19" xfId="1" applyNumberFormat="1" applyFill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/>
    </xf>
    <xf numFmtId="4" fontId="5" fillId="5" borderId="17" xfId="1" applyNumberFormat="1" applyFont="1" applyFill="1" applyBorder="1" applyAlignment="1">
      <alignment horizontal="center" vertical="center"/>
    </xf>
    <xf numFmtId="3" fontId="1" fillId="0" borderId="63" xfId="1" applyNumberFormat="1" applyFill="1" applyBorder="1" applyAlignment="1">
      <alignment horizontal="center" vertical="center"/>
    </xf>
    <xf numFmtId="4" fontId="5" fillId="5" borderId="27" xfId="1" applyNumberFormat="1" applyFont="1" applyFill="1" applyBorder="1" applyAlignment="1">
      <alignment horizontal="center" vertical="center"/>
    </xf>
    <xf numFmtId="3" fontId="3" fillId="2" borderId="69" xfId="1" applyNumberFormat="1" applyFont="1" applyFill="1" applyBorder="1" applyAlignment="1">
      <alignment horizontal="center" vertical="center"/>
    </xf>
    <xf numFmtId="0" fontId="0" fillId="0" borderId="50" xfId="0" applyBorder="1" applyAlignment="1"/>
    <xf numFmtId="0" fontId="0" fillId="0" borderId="26" xfId="0" applyBorder="1" applyAlignment="1"/>
    <xf numFmtId="165" fontId="3" fillId="2" borderId="19" xfId="1" applyNumberFormat="1" applyFont="1" applyFill="1" applyBorder="1" applyAlignment="1">
      <alignment horizontal="center" vertical="center"/>
    </xf>
    <xf numFmtId="165" fontId="1" fillId="0" borderId="62" xfId="1" applyNumberFormat="1" applyFill="1" applyBorder="1" applyAlignment="1">
      <alignment horizontal="center" vertical="center"/>
    </xf>
    <xf numFmtId="1" fontId="16" fillId="0" borderId="0" xfId="0" applyNumberFormat="1" applyFont="1" applyAlignment="1">
      <alignment vertical="center"/>
    </xf>
    <xf numFmtId="0" fontId="1" fillId="0" borderId="10" xfId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3" fontId="16" fillId="0" borderId="3" xfId="1" applyNumberFormat="1" applyFont="1" applyBorder="1" applyAlignment="1">
      <alignment horizontal="center" vertical="center"/>
    </xf>
    <xf numFmtId="3" fontId="1" fillId="0" borderId="7" xfId="1" applyNumberFormat="1" applyFill="1" applyBorder="1" applyAlignment="1">
      <alignment horizontal="center" vertical="center"/>
    </xf>
    <xf numFmtId="0" fontId="0" fillId="0" borderId="36" xfId="0" applyBorder="1" applyAlignment="1"/>
    <xf numFmtId="0" fontId="0" fillId="0" borderId="22" xfId="0" applyBorder="1" applyAlignment="1"/>
    <xf numFmtId="0" fontId="0" fillId="0" borderId="0" xfId="0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165" fontId="1" fillId="0" borderId="0" xfId="1" applyNumberForma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 wrapText="1"/>
    </xf>
    <xf numFmtId="3" fontId="3" fillId="2" borderId="63" xfId="1" applyNumberFormat="1" applyFont="1" applyFill="1" applyBorder="1" applyAlignment="1">
      <alignment horizontal="center" vertical="center"/>
    </xf>
    <xf numFmtId="3" fontId="3" fillId="2" borderId="71" xfId="1" applyNumberFormat="1" applyFont="1" applyFill="1" applyBorder="1" applyAlignment="1">
      <alignment horizontal="center" vertical="center"/>
    </xf>
    <xf numFmtId="3" fontId="3" fillId="7" borderId="16" xfId="1" applyNumberFormat="1" applyFont="1" applyFill="1" applyBorder="1" applyAlignment="1">
      <alignment horizontal="center" vertical="center"/>
    </xf>
    <xf numFmtId="3" fontId="1" fillId="0" borderId="17" xfId="1" applyNumberFormat="1" applyBorder="1" applyAlignment="1">
      <alignment horizontal="center" vertical="center"/>
    </xf>
    <xf numFmtId="3" fontId="1" fillId="0" borderId="12" xfId="1" applyNumberFormat="1" applyBorder="1" applyAlignment="1">
      <alignment horizontal="center" vertical="center"/>
    </xf>
    <xf numFmtId="3" fontId="16" fillId="0" borderId="61" xfId="1" applyNumberFormat="1" applyFont="1" applyBorder="1" applyAlignment="1">
      <alignment horizontal="center" vertical="center"/>
    </xf>
    <xf numFmtId="3" fontId="1" fillId="9" borderId="15" xfId="1" applyNumberFormat="1" applyFill="1" applyBorder="1" applyAlignment="1">
      <alignment horizontal="center" vertical="center"/>
    </xf>
    <xf numFmtId="3" fontId="1" fillId="0" borderId="30" xfId="1" applyNumberFormat="1" applyBorder="1" applyAlignment="1">
      <alignment horizontal="center" vertical="center"/>
    </xf>
    <xf numFmtId="0" fontId="0" fillId="0" borderId="17" xfId="0" applyBorder="1"/>
    <xf numFmtId="165" fontId="3" fillId="2" borderId="63" xfId="1" applyNumberFormat="1" applyFont="1" applyFill="1" applyBorder="1" applyAlignment="1">
      <alignment horizontal="center" vertical="center"/>
    </xf>
    <xf numFmtId="3" fontId="5" fillId="5" borderId="40" xfId="1" applyNumberFormat="1" applyFont="1" applyFill="1" applyBorder="1" applyAlignment="1">
      <alignment horizontal="center" vertical="center"/>
    </xf>
    <xf numFmtId="4" fontId="4" fillId="0" borderId="51" xfId="0" applyNumberFormat="1" applyFont="1" applyBorder="1" applyAlignment="1">
      <alignment horizontal="center" vertical="center"/>
    </xf>
    <xf numFmtId="4" fontId="4" fillId="0" borderId="39" xfId="0" applyNumberFormat="1" applyFont="1" applyBorder="1" applyAlignment="1">
      <alignment horizontal="center" vertical="center"/>
    </xf>
    <xf numFmtId="4" fontId="5" fillId="5" borderId="16" xfId="1" applyNumberFormat="1" applyFont="1" applyFill="1" applyBorder="1" applyAlignment="1">
      <alignment horizontal="center" vertical="center"/>
    </xf>
    <xf numFmtId="4" fontId="4" fillId="0" borderId="38" xfId="0" applyNumberFormat="1" applyFont="1" applyBorder="1" applyAlignment="1">
      <alignment horizontal="center" vertical="center"/>
    </xf>
    <xf numFmtId="4" fontId="5" fillId="5" borderId="39" xfId="1" applyNumberFormat="1" applyFont="1" applyFill="1" applyBorder="1" applyAlignment="1">
      <alignment horizontal="center" vertical="center"/>
    </xf>
    <xf numFmtId="3" fontId="5" fillId="7" borderId="27" xfId="1" applyNumberFormat="1" applyFont="1" applyFill="1" applyBorder="1" applyAlignment="1">
      <alignment horizontal="center" vertical="center"/>
    </xf>
    <xf numFmtId="3" fontId="1" fillId="0" borderId="53" xfId="1" applyNumberFormat="1" applyFill="1" applyBorder="1" applyAlignment="1">
      <alignment horizontal="center" vertical="center"/>
    </xf>
    <xf numFmtId="3" fontId="1" fillId="0" borderId="67" xfId="1" applyNumberFormat="1" applyFill="1" applyBorder="1" applyAlignment="1">
      <alignment horizontal="center" vertical="center"/>
    </xf>
    <xf numFmtId="3" fontId="1" fillId="0" borderId="61" xfId="1" applyNumberFormat="1" applyFill="1" applyBorder="1" applyAlignment="1">
      <alignment horizontal="center" vertical="center"/>
    </xf>
    <xf numFmtId="4" fontId="3" fillId="2" borderId="42" xfId="1" applyNumberFormat="1" applyFont="1" applyFill="1" applyBorder="1" applyAlignment="1">
      <alignment horizontal="center" vertical="center"/>
    </xf>
    <xf numFmtId="0" fontId="21" fillId="0" borderId="7" xfId="1" applyFont="1" applyFill="1" applyBorder="1" applyAlignment="1">
      <alignment horizontal="left" vertical="center"/>
    </xf>
    <xf numFmtId="4" fontId="3" fillId="2" borderId="18" xfId="1" applyNumberFormat="1" applyFon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center" vertical="center" wrapText="1"/>
    </xf>
    <xf numFmtId="164" fontId="8" fillId="3" borderId="67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3" fontId="1" fillId="0" borderId="54" xfId="1" applyNumberFormat="1" applyFill="1" applyBorder="1" applyAlignment="1">
      <alignment horizontal="center" vertical="center"/>
    </xf>
    <xf numFmtId="0" fontId="0" fillId="0" borderId="16" xfId="0" applyBorder="1" applyAlignment="1"/>
    <xf numFmtId="3" fontId="1" fillId="0" borderId="1" xfId="1" applyNumberFormat="1" applyFont="1" applyFill="1" applyBorder="1" applyAlignment="1">
      <alignment horizontal="center" vertical="center"/>
    </xf>
    <xf numFmtId="0" fontId="0" fillId="0" borderId="11" xfId="1" applyFont="1" applyBorder="1" applyAlignment="1">
      <alignment horizontal="left" vertical="center"/>
    </xf>
    <xf numFmtId="3" fontId="1" fillId="0" borderId="38" xfId="1" applyNumberFormat="1" applyBorder="1" applyAlignment="1">
      <alignment horizontal="center" vertical="center"/>
    </xf>
    <xf numFmtId="3" fontId="4" fillId="0" borderId="62" xfId="0" applyNumberFormat="1" applyFont="1" applyBorder="1" applyAlignment="1">
      <alignment horizontal="center"/>
    </xf>
    <xf numFmtId="3" fontId="4" fillId="8" borderId="60" xfId="0" applyNumberFormat="1" applyFont="1" applyFill="1" applyBorder="1" applyAlignment="1">
      <alignment horizontal="center"/>
    </xf>
    <xf numFmtId="0" fontId="0" fillId="0" borderId="50" xfId="0" applyBorder="1" applyAlignment="1">
      <alignment horizontal="left"/>
    </xf>
    <xf numFmtId="0" fontId="4" fillId="0" borderId="50" xfId="0" applyFont="1" applyBorder="1" applyAlignment="1">
      <alignment horizontal="center"/>
    </xf>
    <xf numFmtId="3" fontId="3" fillId="8" borderId="65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9" borderId="44" xfId="1" applyNumberForma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3" fontId="1" fillId="0" borderId="35" xfId="1" applyNumberFormat="1" applyBorder="1" applyAlignment="1">
      <alignment horizontal="center" vertical="center"/>
    </xf>
    <xf numFmtId="3" fontId="16" fillId="0" borderId="43" xfId="1" applyNumberFormat="1" applyFont="1" applyBorder="1" applyAlignment="1">
      <alignment horizontal="center" vertical="center"/>
    </xf>
    <xf numFmtId="3" fontId="1" fillId="9" borderId="13" xfId="1" applyNumberFormat="1" applyFill="1" applyBorder="1" applyAlignment="1">
      <alignment horizontal="center" vertical="center"/>
    </xf>
    <xf numFmtId="165" fontId="1" fillId="0" borderId="56" xfId="1" applyNumberFormat="1" applyFill="1" applyBorder="1" applyAlignment="1">
      <alignment horizontal="center" vertical="center"/>
    </xf>
    <xf numFmtId="164" fontId="8" fillId="3" borderId="62" xfId="0" applyNumberFormat="1" applyFont="1" applyFill="1" applyBorder="1" applyAlignment="1">
      <alignment horizontal="center" vertical="center" wrapText="1"/>
    </xf>
    <xf numFmtId="164" fontId="8" fillId="3" borderId="30" xfId="0" applyNumberFormat="1" applyFont="1" applyFill="1" applyBorder="1" applyAlignment="1">
      <alignment horizontal="center" vertical="center" wrapText="1"/>
    </xf>
    <xf numFmtId="165" fontId="1" fillId="0" borderId="2" xfId="1" applyNumberFormat="1" applyFill="1" applyBorder="1" applyAlignment="1">
      <alignment horizontal="center" vertical="center"/>
    </xf>
    <xf numFmtId="165" fontId="1" fillId="0" borderId="4" xfId="1" applyNumberForma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164" fontId="8" fillId="3" borderId="25" xfId="0" applyNumberFormat="1" applyFont="1" applyFill="1" applyBorder="1" applyAlignment="1">
      <alignment horizontal="center" vertical="center" wrapText="1"/>
    </xf>
    <xf numFmtId="0" fontId="9" fillId="3" borderId="36" xfId="1" applyFont="1" applyFill="1" applyBorder="1" applyAlignment="1">
      <alignment vertical="center"/>
    </xf>
    <xf numFmtId="0" fontId="9" fillId="3" borderId="22" xfId="1" applyFont="1" applyFill="1" applyBorder="1" applyAlignment="1">
      <alignment vertical="center"/>
    </xf>
    <xf numFmtId="4" fontId="13" fillId="0" borderId="16" xfId="0" applyNumberFormat="1" applyFont="1" applyBorder="1" applyAlignment="1">
      <alignment horizontal="center" vertical="center"/>
    </xf>
    <xf numFmtId="3" fontId="5" fillId="4" borderId="16" xfId="1" applyNumberFormat="1" applyFont="1" applyFill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164" fontId="8" fillId="3" borderId="68" xfId="0" applyNumberFormat="1" applyFont="1" applyFill="1" applyBorder="1" applyAlignment="1">
      <alignment horizontal="center" vertical="center" wrapText="1"/>
    </xf>
    <xf numFmtId="164" fontId="8" fillId="3" borderId="69" xfId="0" applyNumberFormat="1" applyFont="1" applyFill="1" applyBorder="1" applyAlignment="1">
      <alignment horizontal="center" vertical="center" wrapText="1"/>
    </xf>
    <xf numFmtId="164" fontId="8" fillId="3" borderId="7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2" fillId="2" borderId="21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3" fontId="3" fillId="4" borderId="50" xfId="1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3" fontId="5" fillId="7" borderId="21" xfId="1" applyNumberFormat="1" applyFont="1" applyFill="1" applyBorder="1" applyAlignment="1">
      <alignment horizontal="center" vertical="center"/>
    </xf>
    <xf numFmtId="3" fontId="3" fillId="4" borderId="27" xfId="1" applyNumberFormat="1" applyFont="1" applyFill="1" applyBorder="1" applyAlignment="1">
      <alignment horizontal="center" vertical="center"/>
    </xf>
    <xf numFmtId="3" fontId="1" fillId="0" borderId="56" xfId="1" applyNumberFormat="1" applyFill="1" applyBorder="1" applyAlignment="1">
      <alignment horizontal="center" vertical="center"/>
    </xf>
    <xf numFmtId="3" fontId="3" fillId="2" borderId="50" xfId="1" applyNumberFormat="1" applyFont="1" applyFill="1" applyBorder="1" applyAlignment="1">
      <alignment horizontal="center" vertical="center"/>
    </xf>
    <xf numFmtId="4" fontId="3" fillId="2" borderId="27" xfId="1" applyNumberFormat="1" applyFont="1" applyFill="1" applyBorder="1" applyAlignment="1">
      <alignment horizontal="center" vertical="center"/>
    </xf>
    <xf numFmtId="3" fontId="3" fillId="2" borderId="27" xfId="1" applyNumberFormat="1" applyFont="1" applyFill="1" applyBorder="1" applyAlignment="1">
      <alignment horizontal="center" vertical="center"/>
    </xf>
    <xf numFmtId="3" fontId="3" fillId="2" borderId="68" xfId="1" applyNumberFormat="1" applyFont="1" applyFill="1" applyBorder="1" applyAlignment="1">
      <alignment horizontal="center" vertical="center"/>
    </xf>
    <xf numFmtId="3" fontId="1" fillId="0" borderId="42" xfId="1" applyNumberFormat="1" applyFill="1" applyBorder="1" applyAlignment="1">
      <alignment horizontal="center" vertical="center"/>
    </xf>
    <xf numFmtId="4" fontId="3" fillId="2" borderId="55" xfId="1" applyNumberFormat="1" applyFont="1" applyFill="1" applyBorder="1" applyAlignment="1">
      <alignment horizontal="center" vertical="center"/>
    </xf>
    <xf numFmtId="3" fontId="5" fillId="5" borderId="39" xfId="1" applyNumberFormat="1" applyFont="1" applyFill="1" applyBorder="1" applyAlignment="1">
      <alignment horizontal="center" vertical="center"/>
    </xf>
    <xf numFmtId="165" fontId="3" fillId="2" borderId="42" xfId="1" applyNumberFormat="1" applyFont="1" applyFill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4" fontId="3" fillId="2" borderId="22" xfId="1" applyNumberFormat="1" applyFont="1" applyFill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78" xfId="1" applyNumberFormat="1" applyBorder="1" applyAlignment="1">
      <alignment horizontal="center" vertical="center"/>
    </xf>
    <xf numFmtId="4" fontId="3" fillId="2" borderId="16" xfId="1" applyNumberFormat="1" applyFont="1" applyFill="1" applyBorder="1" applyAlignment="1">
      <alignment horizontal="center" vertical="center"/>
    </xf>
    <xf numFmtId="164" fontId="8" fillId="3" borderId="76" xfId="0" applyNumberFormat="1" applyFont="1" applyFill="1" applyBorder="1" applyAlignment="1">
      <alignment horizontal="center" vertical="center" wrapText="1"/>
    </xf>
    <xf numFmtId="4" fontId="3" fillId="2" borderId="70" xfId="1" applyNumberFormat="1" applyFont="1" applyFill="1" applyBorder="1" applyAlignment="1">
      <alignment horizontal="center" vertical="center"/>
    </xf>
    <xf numFmtId="3" fontId="1" fillId="0" borderId="55" xfId="1" applyNumberFormat="1" applyFill="1" applyBorder="1" applyAlignment="1">
      <alignment horizontal="center" vertical="center"/>
    </xf>
    <xf numFmtId="4" fontId="3" fillId="2" borderId="15" xfId="1" applyNumberFormat="1" applyFont="1" applyFill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3" fontId="1" fillId="0" borderId="26" xfId="1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6" borderId="5" xfId="1" applyNumberFormat="1" applyFill="1" applyBorder="1" applyAlignment="1">
      <alignment horizontal="center" vertical="center"/>
    </xf>
    <xf numFmtId="3" fontId="3" fillId="6" borderId="71" xfId="1" applyNumberFormat="1" applyFont="1" applyFill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3" fontId="4" fillId="0" borderId="2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20" fillId="0" borderId="30" xfId="0" applyNumberFormat="1" applyFont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3" fontId="20" fillId="0" borderId="21" xfId="0" applyNumberFormat="1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30" xfId="0" applyNumberFormat="1" applyFont="1" applyBorder="1" applyAlignment="1">
      <alignment horizontal="center"/>
    </xf>
    <xf numFmtId="3" fontId="20" fillId="0" borderId="12" xfId="0" applyNumberFormat="1" applyFont="1" applyBorder="1" applyAlignment="1">
      <alignment horizontal="center"/>
    </xf>
    <xf numFmtId="3" fontId="20" fillId="0" borderId="21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/>
    </xf>
    <xf numFmtId="0" fontId="9" fillId="3" borderId="29" xfId="1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17" fontId="9" fillId="3" borderId="36" xfId="1" applyNumberFormat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17" fontId="9" fillId="3" borderId="22" xfId="1" applyNumberFormat="1" applyFont="1" applyFill="1" applyBorder="1" applyAlignment="1">
      <alignment horizontal="center" vertical="center"/>
    </xf>
    <xf numFmtId="49" fontId="9" fillId="3" borderId="36" xfId="1" applyNumberFormat="1" applyFont="1" applyFill="1" applyBorder="1" applyAlignment="1">
      <alignment horizontal="center" vertical="center"/>
    </xf>
    <xf numFmtId="49" fontId="9" fillId="3" borderId="22" xfId="1" applyNumberFormat="1" applyFont="1" applyFill="1" applyBorder="1" applyAlignment="1">
      <alignment horizontal="center" vertical="center"/>
    </xf>
    <xf numFmtId="49" fontId="9" fillId="3" borderId="16" xfId="1" applyNumberFormat="1" applyFont="1" applyFill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17" fillId="9" borderId="36" xfId="1" applyFont="1" applyFill="1" applyBorder="1" applyAlignment="1">
      <alignment horizontal="left" vertical="center" indent="1"/>
    </xf>
    <xf numFmtId="0" fontId="17" fillId="9" borderId="22" xfId="1" applyFont="1" applyFill="1" applyBorder="1" applyAlignment="1">
      <alignment horizontal="left" vertical="center" indent="1"/>
    </xf>
    <xf numFmtId="0" fontId="17" fillId="9" borderId="16" xfId="1" applyFont="1" applyFill="1" applyBorder="1" applyAlignment="1">
      <alignment horizontal="left" vertical="center" indent="1"/>
    </xf>
    <xf numFmtId="0" fontId="1" fillId="0" borderId="10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10" borderId="67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3" borderId="36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/>
    </xf>
    <xf numFmtId="0" fontId="9" fillId="3" borderId="46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2" fillId="4" borderId="36" xfId="1" applyFont="1" applyFill="1" applyBorder="1" applyAlignment="1">
      <alignment horizontal="center" vertical="center"/>
    </xf>
    <xf numFmtId="0" fontId="2" fillId="4" borderId="22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3" borderId="28" xfId="1" applyFont="1" applyFill="1" applyBorder="1" applyAlignment="1">
      <alignment horizontal="center" vertical="center"/>
    </xf>
    <xf numFmtId="0" fontId="7" fillId="3" borderId="29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15" fillId="0" borderId="33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9" fillId="3" borderId="25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center" vertical="center" wrapText="1"/>
    </xf>
    <xf numFmtId="0" fontId="2" fillId="4" borderId="16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165" fontId="1" fillId="6" borderId="5" xfId="1" applyNumberFormat="1" applyFill="1" applyBorder="1" applyAlignment="1">
      <alignment horizontal="center" vertical="center"/>
    </xf>
    <xf numFmtId="165" fontId="1" fillId="6" borderId="1" xfId="1" applyNumberFormat="1" applyFill="1" applyBorder="1" applyAlignment="1">
      <alignment horizontal="center" vertical="center"/>
    </xf>
  </cellXfs>
  <cellStyles count="5">
    <cellStyle name="Normal" xfId="0" builtinId="0"/>
    <cellStyle name="Normal 2" xfId="2" xr:uid="{767B9238-573F-44BE-887A-58D76904DAD2}"/>
    <cellStyle name="Normal 2 3" xfId="1" xr:uid="{2169A463-F11B-4E66-B269-A8403601A564}"/>
    <cellStyle name="Normal 3" xfId="3" xr:uid="{344B7F90-9E83-4CF6-A714-23ACECFD7C8C}"/>
    <cellStyle name="Normal 4" xfId="4" xr:uid="{32D8F5C8-581D-4AAB-A9AF-11E2E32A35A1}"/>
  </cellStyles>
  <dxfs count="0"/>
  <tableStyles count="1" defaultTableStyle="TableStyleMedium2" defaultPivotStyle="PivotStyleLight16">
    <tableStyle name="Table Style 1" pivot="0" count="0" xr9:uid="{B48095AF-6EBF-4B62-BD58-9D2D4AEBC5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77A6-4F91-4846-A86C-26AD9FB8D678}">
  <sheetPr>
    <pageSetUpPr fitToPage="1"/>
  </sheetPr>
  <dimension ref="A1:GZ93"/>
  <sheetViews>
    <sheetView showZeros="0" view="pageBreakPreview" zoomScale="85" zoomScaleNormal="85" zoomScaleSheetLayoutView="85" workbookViewId="0">
      <pane xSplit="4" ySplit="7" topLeftCell="FK8" activePane="bottomRight" state="frozen"/>
      <selection pane="topRight" activeCell="F1" sqref="F1"/>
      <selection pane="bottomLeft" activeCell="A2" sqref="A2"/>
      <selection pane="bottomRight" activeCell="GT84" sqref="GT84"/>
    </sheetView>
  </sheetViews>
  <sheetFormatPr defaultRowHeight="15" x14ac:dyDescent="0.25"/>
  <cols>
    <col min="1" max="1" width="11.5703125" customWidth="1"/>
    <col min="2" max="2" width="21.5703125" customWidth="1"/>
    <col min="3" max="3" width="17.5703125" style="8" customWidth="1"/>
    <col min="4" max="4" width="8" customWidth="1"/>
    <col min="5" max="17" width="5.28515625" customWidth="1"/>
    <col min="18" max="18" width="6.7109375" bestFit="1" customWidth="1"/>
    <col min="19" max="26" width="5.28515625" customWidth="1"/>
    <col min="27" max="27" width="6.5703125" bestFit="1" customWidth="1"/>
    <col min="28" max="32" width="5.28515625" customWidth="1"/>
    <col min="33" max="33" width="1.28515625" customWidth="1"/>
    <col min="34" max="34" width="5.28515625" customWidth="1"/>
    <col min="35" max="35" width="6.7109375" bestFit="1" customWidth="1"/>
    <col min="36" max="48" width="5.28515625" customWidth="1"/>
    <col min="49" max="49" width="6.7109375" bestFit="1" customWidth="1"/>
    <col min="50" max="64" width="5.28515625" customWidth="1"/>
    <col min="65" max="65" width="1.28515625" customWidth="1"/>
    <col min="66" max="85" width="5.28515625" customWidth="1"/>
    <col min="86" max="86" width="6.5703125" bestFit="1" customWidth="1"/>
    <col min="87" max="87" width="5.28515625" customWidth="1"/>
    <col min="88" max="88" width="6.5703125" bestFit="1" customWidth="1"/>
    <col min="89" max="111" width="5.28515625" customWidth="1"/>
    <col min="112" max="112" width="6.140625" customWidth="1"/>
    <col min="113" max="127" width="5.28515625" customWidth="1"/>
    <col min="128" max="128" width="6" customWidth="1"/>
    <col min="129" max="207" width="5.28515625" customWidth="1"/>
    <col min="208" max="208" width="11.7109375" style="112" customWidth="1"/>
  </cols>
  <sheetData>
    <row r="1" spans="1:208" ht="15.75" customHeight="1" x14ac:dyDescent="0.25">
      <c r="A1" s="454" t="e" vm="1">
        <v>#VALUE!</v>
      </c>
      <c r="B1" s="454"/>
      <c r="C1" s="454"/>
      <c r="D1" s="455" t="s">
        <v>103</v>
      </c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  <c r="AK1" s="455"/>
      <c r="AL1" s="455"/>
      <c r="AM1" s="455"/>
      <c r="AN1" s="455"/>
      <c r="AO1" s="455"/>
      <c r="AP1" s="455"/>
      <c r="AQ1" s="455"/>
      <c r="AR1" s="455"/>
      <c r="AS1" s="455"/>
      <c r="AT1" s="455"/>
      <c r="AU1" s="455"/>
      <c r="AV1" s="455"/>
      <c r="AW1" s="455"/>
      <c r="AX1" s="455"/>
      <c r="AY1" s="455"/>
      <c r="AZ1" s="455"/>
      <c r="BA1" s="455"/>
      <c r="BB1" s="455"/>
      <c r="BC1" s="455"/>
      <c r="BD1" s="455"/>
      <c r="BE1" s="455"/>
      <c r="BF1" s="455"/>
      <c r="BG1" s="455"/>
      <c r="BH1" s="455"/>
      <c r="BI1" s="455"/>
      <c r="BJ1" s="455"/>
      <c r="BK1" s="455"/>
      <c r="BL1" s="455"/>
      <c r="BM1" s="455"/>
      <c r="BN1" s="455"/>
      <c r="BO1" s="455"/>
      <c r="BP1" s="455"/>
      <c r="BQ1" s="455"/>
      <c r="BR1" s="455"/>
      <c r="BS1" s="455"/>
      <c r="BT1" s="455"/>
      <c r="BU1" s="455"/>
      <c r="BV1" s="455"/>
      <c r="BW1" s="455"/>
      <c r="BX1" s="455"/>
      <c r="BY1" s="455"/>
      <c r="BZ1" s="455"/>
      <c r="CA1" s="455"/>
      <c r="CB1" s="455"/>
      <c r="CC1" s="455"/>
      <c r="CD1" s="455"/>
      <c r="CE1" s="455"/>
      <c r="CF1" s="455"/>
      <c r="CG1" s="455"/>
      <c r="CH1" s="455"/>
      <c r="CI1" s="455"/>
      <c r="CJ1" s="455"/>
      <c r="CK1" s="455"/>
      <c r="CL1" s="455"/>
      <c r="CM1" s="455"/>
      <c r="CN1" s="455"/>
      <c r="CO1" s="455"/>
      <c r="CP1" s="455"/>
      <c r="CQ1" s="455"/>
      <c r="CR1" s="455"/>
      <c r="CS1" s="455"/>
      <c r="CT1" s="455"/>
      <c r="CU1" s="455"/>
      <c r="CV1" s="455"/>
      <c r="CW1" s="455"/>
      <c r="CX1" s="455"/>
      <c r="CY1" s="455"/>
      <c r="CZ1" s="455"/>
      <c r="DA1" s="455"/>
      <c r="DB1" s="455"/>
      <c r="DC1" s="455"/>
      <c r="DD1" s="455"/>
      <c r="DE1" s="455"/>
      <c r="DF1" s="455"/>
      <c r="DG1" s="455"/>
      <c r="DH1" s="455"/>
      <c r="DI1" s="455"/>
      <c r="DJ1" s="455"/>
      <c r="DK1" s="455"/>
      <c r="DL1" s="455"/>
      <c r="DM1" s="455"/>
      <c r="DN1" s="455"/>
      <c r="DO1" s="455"/>
      <c r="DP1" s="455"/>
      <c r="DQ1" s="455"/>
      <c r="DR1" s="455"/>
      <c r="DS1" s="455"/>
      <c r="DT1" s="455"/>
      <c r="DU1" s="455"/>
      <c r="DV1" s="455"/>
      <c r="DW1" s="455"/>
      <c r="DX1" s="455"/>
      <c r="DY1" s="455"/>
      <c r="DZ1" s="455"/>
      <c r="EA1" s="455"/>
      <c r="EB1" s="455"/>
      <c r="EC1" s="455"/>
      <c r="ED1" s="455"/>
      <c r="EE1" s="455"/>
      <c r="EF1" s="455"/>
      <c r="EG1" s="455"/>
      <c r="EH1" s="455"/>
      <c r="EI1" s="455"/>
      <c r="EJ1" s="455"/>
      <c r="EK1" s="455"/>
      <c r="EL1" s="455"/>
      <c r="EM1" s="455"/>
      <c r="EN1" s="455"/>
      <c r="EO1" s="455"/>
      <c r="EP1" s="455"/>
      <c r="EQ1" s="455"/>
      <c r="ER1" s="455"/>
      <c r="ES1" s="455"/>
      <c r="ET1" s="455"/>
      <c r="EU1" s="455"/>
      <c r="EV1" s="455"/>
      <c r="EW1" s="455"/>
      <c r="EX1" s="455"/>
      <c r="EY1" s="455"/>
      <c r="EZ1" s="455"/>
      <c r="FA1" s="455"/>
      <c r="FB1" s="455"/>
      <c r="FC1" s="455"/>
      <c r="FD1" s="455"/>
      <c r="FE1" s="455"/>
      <c r="FF1" s="455"/>
      <c r="FG1" s="455"/>
      <c r="FH1" s="455"/>
      <c r="FI1" s="455"/>
      <c r="FJ1" s="455"/>
      <c r="FK1" s="455"/>
      <c r="FL1" s="455"/>
      <c r="FM1" s="455"/>
      <c r="FN1" s="455"/>
      <c r="FO1" s="455"/>
      <c r="FP1" s="455"/>
      <c r="FQ1" s="455"/>
      <c r="FR1" s="455"/>
      <c r="FS1" s="455"/>
      <c r="FT1" s="455"/>
      <c r="FU1" s="455"/>
      <c r="FV1" s="455"/>
      <c r="FW1" s="455"/>
      <c r="FX1" s="455"/>
      <c r="FY1" s="455"/>
      <c r="FZ1" s="455"/>
      <c r="GA1" s="455"/>
      <c r="GB1" s="455"/>
      <c r="GC1" s="455"/>
      <c r="GD1" s="455"/>
      <c r="GE1" s="455"/>
      <c r="GF1" s="455"/>
      <c r="GG1" s="455"/>
      <c r="GH1" s="455"/>
      <c r="GI1" s="455"/>
      <c r="GJ1" s="455"/>
      <c r="GK1" s="455"/>
      <c r="GL1" s="455"/>
      <c r="GM1" s="455"/>
      <c r="GN1" s="455"/>
      <c r="GO1" s="455"/>
      <c r="GP1" s="455"/>
      <c r="GQ1" s="455"/>
      <c r="GR1" s="455"/>
      <c r="GS1" s="455"/>
      <c r="GT1" s="455"/>
      <c r="GU1" s="455"/>
      <c r="GV1" s="455"/>
      <c r="GW1" s="455"/>
      <c r="GX1" s="455"/>
      <c r="GY1" s="455"/>
      <c r="GZ1" s="455"/>
    </row>
    <row r="2" spans="1:208" ht="15.75" customHeight="1" x14ac:dyDescent="0.25">
      <c r="A2" s="454"/>
      <c r="B2" s="454"/>
      <c r="C2" s="454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  <c r="AM2" s="455"/>
      <c r="AN2" s="455"/>
      <c r="AO2" s="455"/>
      <c r="AP2" s="455"/>
      <c r="AQ2" s="455"/>
      <c r="AR2" s="455"/>
      <c r="AS2" s="455"/>
      <c r="AT2" s="455"/>
      <c r="AU2" s="455"/>
      <c r="AV2" s="455"/>
      <c r="AW2" s="455"/>
      <c r="AX2" s="455"/>
      <c r="AY2" s="455"/>
      <c r="AZ2" s="455"/>
      <c r="BA2" s="455"/>
      <c r="BB2" s="455"/>
      <c r="BC2" s="455"/>
      <c r="BD2" s="455"/>
      <c r="BE2" s="455"/>
      <c r="BF2" s="455"/>
      <c r="BG2" s="455"/>
      <c r="BH2" s="455"/>
      <c r="BI2" s="455"/>
      <c r="BJ2" s="455"/>
      <c r="BK2" s="455"/>
      <c r="BL2" s="455"/>
      <c r="BM2" s="455"/>
      <c r="BN2" s="455"/>
      <c r="BO2" s="455"/>
      <c r="BP2" s="455"/>
      <c r="BQ2" s="455"/>
      <c r="BR2" s="455"/>
      <c r="BS2" s="455"/>
      <c r="BT2" s="455"/>
      <c r="BU2" s="455"/>
      <c r="BV2" s="455"/>
      <c r="BW2" s="455"/>
      <c r="BX2" s="455"/>
      <c r="BY2" s="455"/>
      <c r="BZ2" s="455"/>
      <c r="CA2" s="455"/>
      <c r="CB2" s="455"/>
      <c r="CC2" s="455"/>
      <c r="CD2" s="455"/>
      <c r="CE2" s="455"/>
      <c r="CF2" s="455"/>
      <c r="CG2" s="455"/>
      <c r="CH2" s="455"/>
      <c r="CI2" s="455"/>
      <c r="CJ2" s="455"/>
      <c r="CK2" s="455"/>
      <c r="CL2" s="455"/>
      <c r="CM2" s="455"/>
      <c r="CN2" s="455"/>
      <c r="CO2" s="455"/>
      <c r="CP2" s="455"/>
      <c r="CQ2" s="455"/>
      <c r="CR2" s="455"/>
      <c r="CS2" s="455"/>
      <c r="CT2" s="455"/>
      <c r="CU2" s="455"/>
      <c r="CV2" s="455"/>
      <c r="CW2" s="455"/>
      <c r="CX2" s="455"/>
      <c r="CY2" s="455"/>
      <c r="CZ2" s="455"/>
      <c r="DA2" s="455"/>
      <c r="DB2" s="455"/>
      <c r="DC2" s="455"/>
      <c r="DD2" s="455"/>
      <c r="DE2" s="455"/>
      <c r="DF2" s="455"/>
      <c r="DG2" s="455"/>
      <c r="DH2" s="455"/>
      <c r="DI2" s="455"/>
      <c r="DJ2" s="455"/>
      <c r="DK2" s="455"/>
      <c r="DL2" s="455"/>
      <c r="DM2" s="455"/>
      <c r="DN2" s="455"/>
      <c r="DO2" s="455"/>
      <c r="DP2" s="455"/>
      <c r="DQ2" s="455"/>
      <c r="DR2" s="455"/>
      <c r="DS2" s="455"/>
      <c r="DT2" s="455"/>
      <c r="DU2" s="455"/>
      <c r="DV2" s="455"/>
      <c r="DW2" s="455"/>
      <c r="DX2" s="455"/>
      <c r="DY2" s="455"/>
      <c r="DZ2" s="455"/>
      <c r="EA2" s="455"/>
      <c r="EB2" s="455"/>
      <c r="EC2" s="455"/>
      <c r="ED2" s="455"/>
      <c r="EE2" s="455"/>
      <c r="EF2" s="455"/>
      <c r="EG2" s="455"/>
      <c r="EH2" s="455"/>
      <c r="EI2" s="455"/>
      <c r="EJ2" s="455"/>
      <c r="EK2" s="455"/>
      <c r="EL2" s="455"/>
      <c r="EM2" s="455"/>
      <c r="EN2" s="455"/>
      <c r="EO2" s="455"/>
      <c r="EP2" s="455"/>
      <c r="EQ2" s="455"/>
      <c r="ER2" s="455"/>
      <c r="ES2" s="455"/>
      <c r="ET2" s="455"/>
      <c r="EU2" s="455"/>
      <c r="EV2" s="455"/>
      <c r="EW2" s="455"/>
      <c r="EX2" s="455"/>
      <c r="EY2" s="455"/>
      <c r="EZ2" s="455"/>
      <c r="FA2" s="455"/>
      <c r="FB2" s="455"/>
      <c r="FC2" s="455"/>
      <c r="FD2" s="455"/>
      <c r="FE2" s="455"/>
      <c r="FF2" s="455"/>
      <c r="FG2" s="455"/>
      <c r="FH2" s="455"/>
      <c r="FI2" s="455"/>
      <c r="FJ2" s="455"/>
      <c r="FK2" s="455"/>
      <c r="FL2" s="455"/>
      <c r="FM2" s="455"/>
      <c r="FN2" s="455"/>
      <c r="FO2" s="455"/>
      <c r="FP2" s="455"/>
      <c r="FQ2" s="455"/>
      <c r="FR2" s="455"/>
      <c r="FS2" s="455"/>
      <c r="FT2" s="455"/>
      <c r="FU2" s="455"/>
      <c r="FV2" s="455"/>
      <c r="FW2" s="455"/>
      <c r="FX2" s="455"/>
      <c r="FY2" s="455"/>
      <c r="FZ2" s="455"/>
      <c r="GA2" s="455"/>
      <c r="GB2" s="455"/>
      <c r="GC2" s="455"/>
      <c r="GD2" s="455"/>
      <c r="GE2" s="455"/>
      <c r="GF2" s="455"/>
      <c r="GG2" s="455"/>
      <c r="GH2" s="455"/>
      <c r="GI2" s="455"/>
      <c r="GJ2" s="455"/>
      <c r="GK2" s="455"/>
      <c r="GL2" s="455"/>
      <c r="GM2" s="455"/>
      <c r="GN2" s="455"/>
      <c r="GO2" s="455"/>
      <c r="GP2" s="455"/>
      <c r="GQ2" s="455"/>
      <c r="GR2" s="455"/>
      <c r="GS2" s="455"/>
      <c r="GT2" s="455"/>
      <c r="GU2" s="455"/>
      <c r="GV2" s="455"/>
      <c r="GW2" s="455"/>
      <c r="GX2" s="455"/>
      <c r="GY2" s="455"/>
      <c r="GZ2" s="455"/>
    </row>
    <row r="3" spans="1:208" ht="15.75" customHeight="1" x14ac:dyDescent="0.25">
      <c r="A3" s="454"/>
      <c r="B3" s="454"/>
      <c r="C3" s="454"/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  <c r="Y3" s="455"/>
      <c r="Z3" s="455"/>
      <c r="AA3" s="455"/>
      <c r="AB3" s="455"/>
      <c r="AC3" s="455"/>
      <c r="AD3" s="455"/>
      <c r="AE3" s="455"/>
      <c r="AF3" s="455"/>
      <c r="AG3" s="455"/>
      <c r="AH3" s="455"/>
      <c r="AI3" s="455"/>
      <c r="AJ3" s="455"/>
      <c r="AK3" s="455"/>
      <c r="AL3" s="455"/>
      <c r="AM3" s="455"/>
      <c r="AN3" s="455"/>
      <c r="AO3" s="455"/>
      <c r="AP3" s="455"/>
      <c r="AQ3" s="455"/>
      <c r="AR3" s="455"/>
      <c r="AS3" s="455"/>
      <c r="AT3" s="455"/>
      <c r="AU3" s="455"/>
      <c r="AV3" s="455"/>
      <c r="AW3" s="455"/>
      <c r="AX3" s="455"/>
      <c r="AY3" s="455"/>
      <c r="AZ3" s="455"/>
      <c r="BA3" s="455"/>
      <c r="BB3" s="455"/>
      <c r="BC3" s="455"/>
      <c r="BD3" s="455"/>
      <c r="BE3" s="455"/>
      <c r="BF3" s="455"/>
      <c r="BG3" s="455"/>
      <c r="BH3" s="455"/>
      <c r="BI3" s="455"/>
      <c r="BJ3" s="455"/>
      <c r="BK3" s="455"/>
      <c r="BL3" s="455"/>
      <c r="BM3" s="455"/>
      <c r="BN3" s="455"/>
      <c r="BO3" s="455"/>
      <c r="BP3" s="455"/>
      <c r="BQ3" s="455"/>
      <c r="BR3" s="455"/>
      <c r="BS3" s="455"/>
      <c r="BT3" s="455"/>
      <c r="BU3" s="455"/>
      <c r="BV3" s="455"/>
      <c r="BW3" s="455"/>
      <c r="BX3" s="455"/>
      <c r="BY3" s="455"/>
      <c r="BZ3" s="455"/>
      <c r="CA3" s="455"/>
      <c r="CB3" s="455"/>
      <c r="CC3" s="455"/>
      <c r="CD3" s="455"/>
      <c r="CE3" s="455"/>
      <c r="CF3" s="455"/>
      <c r="CG3" s="455"/>
      <c r="CH3" s="455"/>
      <c r="CI3" s="455"/>
      <c r="CJ3" s="455"/>
      <c r="CK3" s="455"/>
      <c r="CL3" s="455"/>
      <c r="CM3" s="455"/>
      <c r="CN3" s="455"/>
      <c r="CO3" s="455"/>
      <c r="CP3" s="455"/>
      <c r="CQ3" s="455"/>
      <c r="CR3" s="455"/>
      <c r="CS3" s="455"/>
      <c r="CT3" s="455"/>
      <c r="CU3" s="455"/>
      <c r="CV3" s="455"/>
      <c r="CW3" s="455"/>
      <c r="CX3" s="455"/>
      <c r="CY3" s="455"/>
      <c r="CZ3" s="455"/>
      <c r="DA3" s="455"/>
      <c r="DB3" s="455"/>
      <c r="DC3" s="455"/>
      <c r="DD3" s="455"/>
      <c r="DE3" s="455"/>
      <c r="DF3" s="455"/>
      <c r="DG3" s="455"/>
      <c r="DH3" s="455"/>
      <c r="DI3" s="455"/>
      <c r="DJ3" s="455"/>
      <c r="DK3" s="455"/>
      <c r="DL3" s="455"/>
      <c r="DM3" s="455"/>
      <c r="DN3" s="455"/>
      <c r="DO3" s="455"/>
      <c r="DP3" s="455"/>
      <c r="DQ3" s="455"/>
      <c r="DR3" s="455"/>
      <c r="DS3" s="455"/>
      <c r="DT3" s="455"/>
      <c r="DU3" s="455"/>
      <c r="DV3" s="455"/>
      <c r="DW3" s="455"/>
      <c r="DX3" s="455"/>
      <c r="DY3" s="455"/>
      <c r="DZ3" s="455"/>
      <c r="EA3" s="455"/>
      <c r="EB3" s="455"/>
      <c r="EC3" s="455"/>
      <c r="ED3" s="455"/>
      <c r="EE3" s="455"/>
      <c r="EF3" s="455"/>
      <c r="EG3" s="455"/>
      <c r="EH3" s="455"/>
      <c r="EI3" s="455"/>
      <c r="EJ3" s="455"/>
      <c r="EK3" s="455"/>
      <c r="EL3" s="455"/>
      <c r="EM3" s="455"/>
      <c r="EN3" s="455"/>
      <c r="EO3" s="455"/>
      <c r="EP3" s="455"/>
      <c r="EQ3" s="455"/>
      <c r="ER3" s="455"/>
      <c r="ES3" s="455"/>
      <c r="ET3" s="455"/>
      <c r="EU3" s="455"/>
      <c r="EV3" s="455"/>
      <c r="EW3" s="455"/>
      <c r="EX3" s="455"/>
      <c r="EY3" s="455"/>
      <c r="EZ3" s="455"/>
      <c r="FA3" s="455"/>
      <c r="FB3" s="455"/>
      <c r="FC3" s="455"/>
      <c r="FD3" s="455"/>
      <c r="FE3" s="455"/>
      <c r="FF3" s="455"/>
      <c r="FG3" s="455"/>
      <c r="FH3" s="455"/>
      <c r="FI3" s="455"/>
      <c r="FJ3" s="455"/>
      <c r="FK3" s="455"/>
      <c r="FL3" s="455"/>
      <c r="FM3" s="455"/>
      <c r="FN3" s="455"/>
      <c r="FO3" s="455"/>
      <c r="FP3" s="455"/>
      <c r="FQ3" s="455"/>
      <c r="FR3" s="455"/>
      <c r="FS3" s="455"/>
      <c r="FT3" s="455"/>
      <c r="FU3" s="455"/>
      <c r="FV3" s="455"/>
      <c r="FW3" s="455"/>
      <c r="FX3" s="455"/>
      <c r="FY3" s="455"/>
      <c r="FZ3" s="455"/>
      <c r="GA3" s="455"/>
      <c r="GB3" s="455"/>
      <c r="GC3" s="455"/>
      <c r="GD3" s="455"/>
      <c r="GE3" s="455"/>
      <c r="GF3" s="455"/>
      <c r="GG3" s="455"/>
      <c r="GH3" s="455"/>
      <c r="GI3" s="455"/>
      <c r="GJ3" s="455"/>
      <c r="GK3" s="455"/>
      <c r="GL3" s="455"/>
      <c r="GM3" s="455"/>
      <c r="GN3" s="455"/>
      <c r="GO3" s="455"/>
      <c r="GP3" s="455"/>
      <c r="GQ3" s="455"/>
      <c r="GR3" s="455"/>
      <c r="GS3" s="455"/>
      <c r="GT3" s="455"/>
      <c r="GU3" s="455"/>
      <c r="GV3" s="455"/>
      <c r="GW3" s="455"/>
      <c r="GX3" s="455"/>
      <c r="GY3" s="455"/>
      <c r="GZ3" s="455"/>
    </row>
    <row r="4" spans="1:208" ht="15.75" customHeight="1" x14ac:dyDescent="0.25">
      <c r="A4" s="454"/>
      <c r="B4" s="454"/>
      <c r="C4" s="454"/>
      <c r="D4" s="455"/>
      <c r="E4" s="455"/>
      <c r="F4" s="455"/>
      <c r="G4" s="455"/>
      <c r="H4" s="455"/>
      <c r="I4" s="455"/>
      <c r="J4" s="455"/>
      <c r="K4" s="455"/>
      <c r="L4" s="455"/>
      <c r="M4" s="455"/>
      <c r="N4" s="455"/>
      <c r="O4" s="455"/>
      <c r="P4" s="455"/>
      <c r="Q4" s="455"/>
      <c r="R4" s="455"/>
      <c r="S4" s="455"/>
      <c r="T4" s="455"/>
      <c r="U4" s="455"/>
      <c r="V4" s="455"/>
      <c r="W4" s="455"/>
      <c r="X4" s="455"/>
      <c r="Y4" s="455"/>
      <c r="Z4" s="455"/>
      <c r="AA4" s="455"/>
      <c r="AB4" s="455"/>
      <c r="AC4" s="455"/>
      <c r="AD4" s="455"/>
      <c r="AE4" s="455"/>
      <c r="AF4" s="455"/>
      <c r="AG4" s="455"/>
      <c r="AH4" s="455"/>
      <c r="AI4" s="455"/>
      <c r="AJ4" s="455"/>
      <c r="AK4" s="455"/>
      <c r="AL4" s="455"/>
      <c r="AM4" s="455"/>
      <c r="AN4" s="455"/>
      <c r="AO4" s="455"/>
      <c r="AP4" s="455"/>
      <c r="AQ4" s="455"/>
      <c r="AR4" s="455"/>
      <c r="AS4" s="455"/>
      <c r="AT4" s="455"/>
      <c r="AU4" s="455"/>
      <c r="AV4" s="455"/>
      <c r="AW4" s="455"/>
      <c r="AX4" s="455"/>
      <c r="AY4" s="455"/>
      <c r="AZ4" s="455"/>
      <c r="BA4" s="455"/>
      <c r="BB4" s="455"/>
      <c r="BC4" s="455"/>
      <c r="BD4" s="455"/>
      <c r="BE4" s="455"/>
      <c r="BF4" s="455"/>
      <c r="BG4" s="455"/>
      <c r="BH4" s="455"/>
      <c r="BI4" s="455"/>
      <c r="BJ4" s="455"/>
      <c r="BK4" s="455"/>
      <c r="BL4" s="455"/>
      <c r="BM4" s="455"/>
      <c r="BN4" s="455"/>
      <c r="BO4" s="455"/>
      <c r="BP4" s="455"/>
      <c r="BQ4" s="455"/>
      <c r="BR4" s="455"/>
      <c r="BS4" s="455"/>
      <c r="BT4" s="455"/>
      <c r="BU4" s="455"/>
      <c r="BV4" s="455"/>
      <c r="BW4" s="455"/>
      <c r="BX4" s="455"/>
      <c r="BY4" s="455"/>
      <c r="BZ4" s="455"/>
      <c r="CA4" s="455"/>
      <c r="CB4" s="455"/>
      <c r="CC4" s="455"/>
      <c r="CD4" s="455"/>
      <c r="CE4" s="455"/>
      <c r="CF4" s="455"/>
      <c r="CG4" s="455"/>
      <c r="CH4" s="455"/>
      <c r="CI4" s="455"/>
      <c r="CJ4" s="455"/>
      <c r="CK4" s="455"/>
      <c r="CL4" s="455"/>
      <c r="CM4" s="455"/>
      <c r="CN4" s="455"/>
      <c r="CO4" s="455"/>
      <c r="CP4" s="455"/>
      <c r="CQ4" s="455"/>
      <c r="CR4" s="455"/>
      <c r="CS4" s="455"/>
      <c r="CT4" s="455"/>
      <c r="CU4" s="455"/>
      <c r="CV4" s="455"/>
      <c r="CW4" s="455"/>
      <c r="CX4" s="455"/>
      <c r="CY4" s="455"/>
      <c r="CZ4" s="455"/>
      <c r="DA4" s="455"/>
      <c r="DB4" s="455"/>
      <c r="DC4" s="455"/>
      <c r="DD4" s="455"/>
      <c r="DE4" s="455"/>
      <c r="DF4" s="455"/>
      <c r="DG4" s="455"/>
      <c r="DH4" s="455"/>
      <c r="DI4" s="455"/>
      <c r="DJ4" s="455"/>
      <c r="DK4" s="455"/>
      <c r="DL4" s="455"/>
      <c r="DM4" s="455"/>
      <c r="DN4" s="455"/>
      <c r="DO4" s="455"/>
      <c r="DP4" s="455"/>
      <c r="DQ4" s="455"/>
      <c r="DR4" s="455"/>
      <c r="DS4" s="455"/>
      <c r="DT4" s="455"/>
      <c r="DU4" s="455"/>
      <c r="DV4" s="455"/>
      <c r="DW4" s="455"/>
      <c r="DX4" s="455"/>
      <c r="DY4" s="455"/>
      <c r="DZ4" s="455"/>
      <c r="EA4" s="455"/>
      <c r="EB4" s="455"/>
      <c r="EC4" s="455"/>
      <c r="ED4" s="455"/>
      <c r="EE4" s="455"/>
      <c r="EF4" s="455"/>
      <c r="EG4" s="455"/>
      <c r="EH4" s="455"/>
      <c r="EI4" s="455"/>
      <c r="EJ4" s="455"/>
      <c r="EK4" s="455"/>
      <c r="EL4" s="455"/>
      <c r="EM4" s="455"/>
      <c r="EN4" s="455"/>
      <c r="EO4" s="455"/>
      <c r="EP4" s="455"/>
      <c r="EQ4" s="455"/>
      <c r="ER4" s="455"/>
      <c r="ES4" s="455"/>
      <c r="ET4" s="455"/>
      <c r="EU4" s="455"/>
      <c r="EV4" s="455"/>
      <c r="EW4" s="455"/>
      <c r="EX4" s="455"/>
      <c r="EY4" s="455"/>
      <c r="EZ4" s="455"/>
      <c r="FA4" s="455"/>
      <c r="FB4" s="455"/>
      <c r="FC4" s="455"/>
      <c r="FD4" s="455"/>
      <c r="FE4" s="455"/>
      <c r="FF4" s="455"/>
      <c r="FG4" s="455"/>
      <c r="FH4" s="455"/>
      <c r="FI4" s="455"/>
      <c r="FJ4" s="455"/>
      <c r="FK4" s="455"/>
      <c r="FL4" s="455"/>
      <c r="FM4" s="455"/>
      <c r="FN4" s="455"/>
      <c r="FO4" s="455"/>
      <c r="FP4" s="455"/>
      <c r="FQ4" s="455"/>
      <c r="FR4" s="455"/>
      <c r="FS4" s="455"/>
      <c r="FT4" s="455"/>
      <c r="FU4" s="455"/>
      <c r="FV4" s="455"/>
      <c r="FW4" s="455"/>
      <c r="FX4" s="455"/>
      <c r="FY4" s="455"/>
      <c r="FZ4" s="455"/>
      <c r="GA4" s="455"/>
      <c r="GB4" s="455"/>
      <c r="GC4" s="455"/>
      <c r="GD4" s="455"/>
      <c r="GE4" s="455"/>
      <c r="GF4" s="455"/>
      <c r="GG4" s="455"/>
      <c r="GH4" s="455"/>
      <c r="GI4" s="455"/>
      <c r="GJ4" s="455"/>
      <c r="GK4" s="455"/>
      <c r="GL4" s="455"/>
      <c r="GM4" s="455"/>
      <c r="GN4" s="455"/>
      <c r="GO4" s="455"/>
      <c r="GP4" s="455"/>
      <c r="GQ4" s="455"/>
      <c r="GR4" s="455"/>
      <c r="GS4" s="455"/>
      <c r="GT4" s="455"/>
      <c r="GU4" s="455"/>
      <c r="GV4" s="455"/>
      <c r="GW4" s="455"/>
      <c r="GX4" s="455"/>
      <c r="GY4" s="455"/>
      <c r="GZ4" s="455"/>
    </row>
    <row r="5" spans="1:208" ht="15.75" customHeight="1" thickBot="1" x14ac:dyDescent="0.3">
      <c r="A5" s="454"/>
      <c r="B5" s="454"/>
      <c r="C5" s="454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  <c r="P5" s="455"/>
      <c r="Q5" s="455"/>
      <c r="R5" s="455"/>
      <c r="S5" s="455"/>
      <c r="T5" s="455"/>
      <c r="U5" s="455"/>
      <c r="V5" s="455"/>
      <c r="W5" s="455"/>
      <c r="X5" s="455"/>
      <c r="Y5" s="455"/>
      <c r="Z5" s="455"/>
      <c r="AA5" s="455"/>
      <c r="AB5" s="455"/>
      <c r="AC5" s="455"/>
      <c r="AD5" s="455"/>
      <c r="AE5" s="455"/>
      <c r="AF5" s="455"/>
      <c r="AG5" s="455"/>
      <c r="AH5" s="455"/>
      <c r="AI5" s="455"/>
      <c r="AJ5" s="455"/>
      <c r="AK5" s="455"/>
      <c r="AL5" s="455"/>
      <c r="AM5" s="455"/>
      <c r="AN5" s="455"/>
      <c r="AO5" s="455"/>
      <c r="AP5" s="455"/>
      <c r="AQ5" s="455"/>
      <c r="AR5" s="455"/>
      <c r="AS5" s="455"/>
      <c r="AT5" s="455"/>
      <c r="AU5" s="455"/>
      <c r="AV5" s="455"/>
      <c r="AW5" s="455"/>
      <c r="AX5" s="455"/>
      <c r="AY5" s="455"/>
      <c r="AZ5" s="455"/>
      <c r="BA5" s="455"/>
      <c r="BB5" s="455"/>
      <c r="BC5" s="455"/>
      <c r="BD5" s="455"/>
      <c r="BE5" s="455"/>
      <c r="BF5" s="455"/>
      <c r="BG5" s="455"/>
      <c r="BH5" s="455"/>
      <c r="BI5" s="455"/>
      <c r="BJ5" s="455"/>
      <c r="BK5" s="455"/>
      <c r="BL5" s="455"/>
      <c r="BM5" s="455"/>
      <c r="BN5" s="455"/>
      <c r="BO5" s="455"/>
      <c r="BP5" s="455"/>
      <c r="BQ5" s="455"/>
      <c r="BR5" s="455"/>
      <c r="BS5" s="455"/>
      <c r="BT5" s="455"/>
      <c r="BU5" s="455"/>
      <c r="BV5" s="455"/>
      <c r="BW5" s="455"/>
      <c r="BX5" s="455"/>
      <c r="BY5" s="455"/>
      <c r="BZ5" s="455"/>
      <c r="CA5" s="455"/>
      <c r="CB5" s="455"/>
      <c r="CC5" s="455"/>
      <c r="CD5" s="455"/>
      <c r="CE5" s="455"/>
      <c r="CF5" s="455"/>
      <c r="CG5" s="455"/>
      <c r="CH5" s="455"/>
      <c r="CI5" s="455"/>
      <c r="CJ5" s="455"/>
      <c r="CK5" s="455"/>
      <c r="CL5" s="455"/>
      <c r="CM5" s="455"/>
      <c r="CN5" s="455"/>
      <c r="CO5" s="455"/>
      <c r="CP5" s="455"/>
      <c r="CQ5" s="455"/>
      <c r="CR5" s="455"/>
      <c r="CS5" s="455"/>
      <c r="CT5" s="455"/>
      <c r="CU5" s="455"/>
      <c r="CV5" s="455"/>
      <c r="CW5" s="455"/>
      <c r="CX5" s="455"/>
      <c r="CY5" s="455"/>
      <c r="CZ5" s="455"/>
      <c r="DA5" s="455"/>
      <c r="DB5" s="455"/>
      <c r="DC5" s="455"/>
      <c r="DD5" s="455"/>
      <c r="DE5" s="455"/>
      <c r="DF5" s="455"/>
      <c r="DG5" s="455"/>
      <c r="DH5" s="455"/>
      <c r="DI5" s="455"/>
      <c r="DJ5" s="455"/>
      <c r="DK5" s="455"/>
      <c r="DL5" s="455"/>
      <c r="DM5" s="455"/>
      <c r="DN5" s="455"/>
      <c r="DO5" s="455"/>
      <c r="DP5" s="455"/>
      <c r="DQ5" s="455"/>
      <c r="DR5" s="455"/>
      <c r="DS5" s="455"/>
      <c r="DT5" s="455"/>
      <c r="DU5" s="455"/>
      <c r="DV5" s="455"/>
      <c r="DW5" s="455"/>
      <c r="DX5" s="455"/>
      <c r="DY5" s="455"/>
      <c r="DZ5" s="455"/>
      <c r="EA5" s="455"/>
      <c r="EB5" s="455"/>
      <c r="EC5" s="455"/>
      <c r="ED5" s="455"/>
      <c r="EE5" s="455"/>
      <c r="EF5" s="455"/>
      <c r="EG5" s="455"/>
      <c r="EH5" s="455"/>
      <c r="EI5" s="455"/>
      <c r="EJ5" s="455"/>
      <c r="EK5" s="455"/>
      <c r="EL5" s="455"/>
      <c r="EM5" s="455"/>
      <c r="EN5" s="455"/>
      <c r="EO5" s="455"/>
      <c r="EP5" s="455"/>
      <c r="EQ5" s="455"/>
      <c r="ER5" s="455"/>
      <c r="ES5" s="455"/>
      <c r="ET5" s="455"/>
      <c r="EU5" s="455"/>
      <c r="EV5" s="455"/>
      <c r="EW5" s="455"/>
      <c r="EX5" s="455"/>
      <c r="EY5" s="455"/>
      <c r="EZ5" s="455"/>
      <c r="FA5" s="455"/>
      <c r="FB5" s="455"/>
      <c r="FC5" s="455"/>
      <c r="FD5" s="455"/>
      <c r="FE5" s="455"/>
      <c r="FF5" s="455"/>
      <c r="FG5" s="455"/>
      <c r="FH5" s="455"/>
      <c r="FI5" s="455"/>
      <c r="FJ5" s="455"/>
      <c r="FK5" s="455"/>
      <c r="FL5" s="455"/>
      <c r="FM5" s="455"/>
      <c r="FN5" s="455"/>
      <c r="FO5" s="455"/>
      <c r="FP5" s="455"/>
      <c r="FQ5" s="455"/>
      <c r="FR5" s="455"/>
      <c r="FS5" s="455"/>
      <c r="FT5" s="455"/>
      <c r="FU5" s="455"/>
      <c r="FV5" s="455"/>
      <c r="FW5" s="455"/>
      <c r="FX5" s="455"/>
      <c r="FY5" s="455"/>
      <c r="FZ5" s="455"/>
      <c r="GA5" s="455"/>
      <c r="GB5" s="455"/>
      <c r="GC5" s="455"/>
      <c r="GD5" s="455"/>
      <c r="GE5" s="455"/>
      <c r="GF5" s="455"/>
      <c r="GG5" s="455"/>
      <c r="GH5" s="455"/>
      <c r="GI5" s="455"/>
      <c r="GJ5" s="455"/>
      <c r="GK5" s="455"/>
      <c r="GL5" s="455"/>
      <c r="GM5" s="455"/>
      <c r="GN5" s="455"/>
      <c r="GO5" s="455"/>
      <c r="GP5" s="455"/>
      <c r="GQ5" s="455"/>
      <c r="GR5" s="455"/>
      <c r="GS5" s="455"/>
      <c r="GT5" s="455"/>
      <c r="GU5" s="455"/>
      <c r="GV5" s="455"/>
      <c r="GW5" s="455"/>
      <c r="GX5" s="455"/>
      <c r="GY5" s="455"/>
      <c r="GZ5" s="455"/>
    </row>
    <row r="6" spans="1:208" ht="17.100000000000001" customHeight="1" thickBot="1" x14ac:dyDescent="0.3">
      <c r="A6" s="456" t="s">
        <v>18</v>
      </c>
      <c r="B6" s="458" t="s">
        <v>14</v>
      </c>
      <c r="C6" s="458" t="s">
        <v>85</v>
      </c>
      <c r="D6" s="460" t="s">
        <v>0</v>
      </c>
      <c r="E6" s="462">
        <v>46054</v>
      </c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463"/>
      <c r="T6" s="463"/>
      <c r="U6" s="463"/>
      <c r="V6" s="463"/>
      <c r="W6" s="463"/>
      <c r="X6" s="463"/>
      <c r="Y6" s="463"/>
      <c r="Z6" s="463"/>
      <c r="AA6" s="463"/>
      <c r="AB6" s="463"/>
      <c r="AC6" s="463"/>
      <c r="AD6" s="463"/>
      <c r="AE6" s="463"/>
      <c r="AF6" s="463"/>
      <c r="AG6" s="127"/>
      <c r="AH6" s="462">
        <v>46082</v>
      </c>
      <c r="AI6" s="463"/>
      <c r="AJ6" s="463"/>
      <c r="AK6" s="463"/>
      <c r="AL6" s="463"/>
      <c r="AM6" s="463"/>
      <c r="AN6" s="463"/>
      <c r="AO6" s="463"/>
      <c r="AP6" s="463"/>
      <c r="AQ6" s="463"/>
      <c r="AR6" s="463"/>
      <c r="AS6" s="463"/>
      <c r="AT6" s="463"/>
      <c r="AU6" s="463"/>
      <c r="AV6" s="463"/>
      <c r="AW6" s="463"/>
      <c r="AX6" s="463"/>
      <c r="AY6" s="463"/>
      <c r="AZ6" s="463"/>
      <c r="BA6" s="463"/>
      <c r="BB6" s="463"/>
      <c r="BC6" s="463"/>
      <c r="BD6" s="463"/>
      <c r="BE6" s="463"/>
      <c r="BF6" s="463"/>
      <c r="BG6" s="463"/>
      <c r="BH6" s="463"/>
      <c r="BI6" s="463"/>
      <c r="BJ6" s="463"/>
      <c r="BK6" s="463"/>
      <c r="BL6" s="463"/>
      <c r="BM6" s="127"/>
      <c r="BN6" s="464">
        <v>46113</v>
      </c>
      <c r="BO6" s="463"/>
      <c r="BP6" s="463"/>
      <c r="BQ6" s="463"/>
      <c r="BR6" s="463"/>
      <c r="BS6" s="463"/>
      <c r="BT6" s="463"/>
      <c r="BU6" s="463"/>
      <c r="BV6" s="463"/>
      <c r="BW6" s="463"/>
      <c r="BX6" s="463"/>
      <c r="BY6" s="463"/>
      <c r="BZ6" s="463"/>
      <c r="CA6" s="463"/>
      <c r="CB6" s="463"/>
      <c r="CC6" s="463"/>
      <c r="CD6" s="463"/>
      <c r="CE6" s="463"/>
      <c r="CF6" s="463"/>
      <c r="CG6" s="463"/>
      <c r="CH6" s="463"/>
      <c r="CI6" s="463"/>
      <c r="CJ6" s="463"/>
      <c r="CK6" s="463"/>
      <c r="CL6" s="463"/>
      <c r="CM6" s="463"/>
      <c r="CN6" s="463"/>
      <c r="CO6" s="463"/>
      <c r="CP6" s="463"/>
      <c r="CQ6" s="463"/>
      <c r="CR6" s="465" t="s">
        <v>112</v>
      </c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6"/>
      <c r="DS6" s="466"/>
      <c r="DT6" s="466"/>
      <c r="DU6" s="466"/>
      <c r="DV6" s="467"/>
      <c r="DW6" s="465" t="s">
        <v>117</v>
      </c>
      <c r="DX6" s="466"/>
      <c r="DY6" s="466"/>
      <c r="DZ6" s="466"/>
      <c r="EA6" s="466"/>
      <c r="EB6" s="466"/>
      <c r="EC6" s="466"/>
      <c r="ED6" s="466"/>
      <c r="EE6" s="466"/>
      <c r="EF6" s="466"/>
      <c r="EG6" s="466"/>
      <c r="EH6" s="466"/>
      <c r="EI6" s="466"/>
      <c r="EJ6" s="466"/>
      <c r="EK6" s="466"/>
      <c r="EL6" s="466"/>
      <c r="EM6" s="466"/>
      <c r="EN6" s="466"/>
      <c r="EO6" s="466"/>
      <c r="EP6" s="466"/>
      <c r="EQ6" s="466"/>
      <c r="ER6" s="466"/>
      <c r="ES6" s="466"/>
      <c r="ET6" s="466"/>
      <c r="EU6" s="466"/>
      <c r="EV6" s="466"/>
      <c r="EW6" s="466"/>
      <c r="EX6" s="466"/>
      <c r="EY6" s="466"/>
      <c r="EZ6" s="466"/>
      <c r="FA6" s="465" t="s">
        <v>133</v>
      </c>
      <c r="FB6" s="466"/>
      <c r="FC6" s="466"/>
      <c r="FD6" s="466"/>
      <c r="FE6" s="466"/>
      <c r="FF6" s="466"/>
      <c r="FG6" s="466"/>
      <c r="FH6" s="466"/>
      <c r="FI6" s="466"/>
      <c r="FJ6" s="466"/>
      <c r="FK6" s="466"/>
      <c r="FL6" s="466"/>
      <c r="FM6" s="466"/>
      <c r="FN6" s="466"/>
      <c r="FO6" s="466"/>
      <c r="FP6" s="466"/>
      <c r="FQ6" s="466"/>
      <c r="FR6" s="466"/>
      <c r="FS6" s="466"/>
      <c r="FT6" s="466"/>
      <c r="FU6" s="466"/>
      <c r="FV6" s="466"/>
      <c r="FW6" s="466"/>
      <c r="FX6" s="466"/>
      <c r="FY6" s="466"/>
      <c r="FZ6" s="466"/>
      <c r="GA6" s="466"/>
      <c r="GB6" s="466"/>
      <c r="GC6" s="466"/>
      <c r="GD6" s="466"/>
      <c r="GE6" s="466"/>
      <c r="GF6" s="465" t="s">
        <v>143</v>
      </c>
      <c r="GG6" s="466"/>
      <c r="GH6" s="466"/>
      <c r="GI6" s="466"/>
      <c r="GJ6" s="466"/>
      <c r="GK6" s="466"/>
      <c r="GL6" s="466"/>
      <c r="GM6" s="466"/>
      <c r="GN6" s="466"/>
      <c r="GO6" s="466"/>
      <c r="GP6" s="466"/>
      <c r="GQ6" s="466"/>
      <c r="GR6" s="466"/>
      <c r="GS6" s="466"/>
      <c r="GT6" s="466"/>
      <c r="GU6" s="466"/>
      <c r="GV6" s="466"/>
      <c r="GW6" s="466"/>
      <c r="GX6" s="466"/>
      <c r="GY6" s="467"/>
      <c r="GZ6" s="388"/>
    </row>
    <row r="7" spans="1:208" s="1" customFormat="1" ht="18.600000000000001" customHeight="1" thickBot="1" x14ac:dyDescent="0.3">
      <c r="A7" s="457"/>
      <c r="B7" s="459"/>
      <c r="C7" s="459"/>
      <c r="D7" s="461"/>
      <c r="E7" s="70">
        <v>46054</v>
      </c>
      <c r="F7" s="12">
        <v>46055</v>
      </c>
      <c r="G7" s="12">
        <v>46056</v>
      </c>
      <c r="H7" s="12">
        <v>46057</v>
      </c>
      <c r="I7" s="12">
        <v>46058</v>
      </c>
      <c r="J7" s="12">
        <v>46059</v>
      </c>
      <c r="K7" s="12">
        <v>46060</v>
      </c>
      <c r="L7" s="12">
        <v>46061</v>
      </c>
      <c r="M7" s="12">
        <v>46062</v>
      </c>
      <c r="N7" s="12">
        <v>46063</v>
      </c>
      <c r="O7" s="12">
        <v>46064</v>
      </c>
      <c r="P7" s="12">
        <v>46065</v>
      </c>
      <c r="Q7" s="12">
        <v>46066</v>
      </c>
      <c r="R7" s="12">
        <v>46067</v>
      </c>
      <c r="S7" s="12">
        <v>46068</v>
      </c>
      <c r="T7" s="12">
        <v>46069</v>
      </c>
      <c r="U7" s="12">
        <v>46070</v>
      </c>
      <c r="V7" s="12">
        <v>46071</v>
      </c>
      <c r="W7" s="12">
        <v>46072</v>
      </c>
      <c r="X7" s="12">
        <v>46073</v>
      </c>
      <c r="Y7" s="12">
        <v>46074</v>
      </c>
      <c r="Z7" s="12">
        <v>46075</v>
      </c>
      <c r="AA7" s="12">
        <v>46076</v>
      </c>
      <c r="AB7" s="12">
        <v>46077</v>
      </c>
      <c r="AC7" s="12">
        <v>46078</v>
      </c>
      <c r="AD7" s="12">
        <v>46079</v>
      </c>
      <c r="AE7" s="12">
        <v>46080</v>
      </c>
      <c r="AF7" s="51">
        <v>46081</v>
      </c>
      <c r="AG7" s="145"/>
      <c r="AH7" s="12">
        <v>46082</v>
      </c>
      <c r="AI7" s="12">
        <v>46083</v>
      </c>
      <c r="AJ7" s="12">
        <v>46084</v>
      </c>
      <c r="AK7" s="12">
        <v>46085</v>
      </c>
      <c r="AL7" s="12">
        <v>46086</v>
      </c>
      <c r="AM7" s="12">
        <v>46087</v>
      </c>
      <c r="AN7" s="12">
        <v>46088</v>
      </c>
      <c r="AO7" s="12">
        <v>46089</v>
      </c>
      <c r="AP7" s="12">
        <v>46090</v>
      </c>
      <c r="AQ7" s="12">
        <v>46091</v>
      </c>
      <c r="AR7" s="12">
        <v>46092</v>
      </c>
      <c r="AS7" s="12">
        <v>46093</v>
      </c>
      <c r="AT7" s="12">
        <v>46094</v>
      </c>
      <c r="AU7" s="12">
        <v>46095</v>
      </c>
      <c r="AV7" s="12">
        <v>46096</v>
      </c>
      <c r="AW7" s="12">
        <v>46097</v>
      </c>
      <c r="AX7" s="12">
        <v>46098</v>
      </c>
      <c r="AY7" s="12">
        <v>46099</v>
      </c>
      <c r="AZ7" s="12">
        <v>46100</v>
      </c>
      <c r="BA7" s="12">
        <v>46101</v>
      </c>
      <c r="BB7" s="12">
        <v>46102</v>
      </c>
      <c r="BC7" s="12">
        <v>46103</v>
      </c>
      <c r="BD7" s="12">
        <v>46104</v>
      </c>
      <c r="BE7" s="12">
        <v>46105</v>
      </c>
      <c r="BF7" s="12">
        <v>46106</v>
      </c>
      <c r="BG7" s="12">
        <v>46107</v>
      </c>
      <c r="BH7" s="12">
        <v>46108</v>
      </c>
      <c r="BI7" s="12">
        <v>46109</v>
      </c>
      <c r="BJ7" s="12">
        <v>46110</v>
      </c>
      <c r="BK7" s="12">
        <v>46111</v>
      </c>
      <c r="BL7" s="12">
        <v>46112</v>
      </c>
      <c r="BM7" s="145"/>
      <c r="BN7" s="12">
        <v>46113</v>
      </c>
      <c r="BO7" s="12">
        <v>46114</v>
      </c>
      <c r="BP7" s="12">
        <v>46115</v>
      </c>
      <c r="BQ7" s="12">
        <v>46116</v>
      </c>
      <c r="BR7" s="12">
        <v>46117</v>
      </c>
      <c r="BS7" s="12">
        <v>46118</v>
      </c>
      <c r="BT7" s="12">
        <v>46119</v>
      </c>
      <c r="BU7" s="12">
        <v>46120</v>
      </c>
      <c r="BV7" s="12">
        <v>46121</v>
      </c>
      <c r="BW7" s="12">
        <v>46122</v>
      </c>
      <c r="BX7" s="12">
        <v>46123</v>
      </c>
      <c r="BY7" s="12">
        <v>46124</v>
      </c>
      <c r="BZ7" s="12">
        <v>46125</v>
      </c>
      <c r="CA7" s="12">
        <v>46126</v>
      </c>
      <c r="CB7" s="12">
        <v>46127</v>
      </c>
      <c r="CC7" s="12">
        <v>46128</v>
      </c>
      <c r="CD7" s="12">
        <v>46129</v>
      </c>
      <c r="CE7" s="12">
        <v>46130</v>
      </c>
      <c r="CF7" s="12">
        <v>46131</v>
      </c>
      <c r="CG7" s="12">
        <v>46132</v>
      </c>
      <c r="CH7" s="12">
        <v>46133</v>
      </c>
      <c r="CI7" s="12">
        <v>46134</v>
      </c>
      <c r="CJ7" s="12">
        <v>46135</v>
      </c>
      <c r="CK7" s="12">
        <v>46136</v>
      </c>
      <c r="CL7" s="12">
        <v>46137</v>
      </c>
      <c r="CM7" s="12">
        <v>46138</v>
      </c>
      <c r="CN7" s="12">
        <v>46139</v>
      </c>
      <c r="CO7" s="12">
        <v>46140</v>
      </c>
      <c r="CP7" s="12">
        <v>46141</v>
      </c>
      <c r="CQ7" s="51">
        <v>46142</v>
      </c>
      <c r="CR7" s="70">
        <v>46143</v>
      </c>
      <c r="CS7" s="12">
        <v>46144</v>
      </c>
      <c r="CT7" s="12">
        <v>46145</v>
      </c>
      <c r="CU7" s="12">
        <v>46146</v>
      </c>
      <c r="CV7" s="12">
        <v>46147</v>
      </c>
      <c r="CW7" s="12">
        <v>46148</v>
      </c>
      <c r="CX7" s="12">
        <v>46149</v>
      </c>
      <c r="CY7" s="12">
        <v>46150</v>
      </c>
      <c r="CZ7" s="14">
        <v>46151</v>
      </c>
      <c r="DA7" s="14">
        <v>46152</v>
      </c>
      <c r="DB7" s="14">
        <v>46153</v>
      </c>
      <c r="DC7" s="14">
        <v>46154</v>
      </c>
      <c r="DD7" s="14">
        <v>46155</v>
      </c>
      <c r="DE7" s="14">
        <v>46156</v>
      </c>
      <c r="DF7" s="14">
        <v>46157</v>
      </c>
      <c r="DG7" s="14">
        <v>46158</v>
      </c>
      <c r="DH7" s="14">
        <v>46159</v>
      </c>
      <c r="DI7" s="14">
        <v>46160</v>
      </c>
      <c r="DJ7" s="14">
        <v>46161</v>
      </c>
      <c r="DK7" s="14">
        <v>46162</v>
      </c>
      <c r="DL7" s="14">
        <v>46163</v>
      </c>
      <c r="DM7" s="14">
        <v>46164</v>
      </c>
      <c r="DN7" s="14">
        <v>46165</v>
      </c>
      <c r="DO7" s="14">
        <v>46166</v>
      </c>
      <c r="DP7" s="14">
        <v>46167</v>
      </c>
      <c r="DQ7" s="14">
        <v>46168</v>
      </c>
      <c r="DR7" s="14">
        <v>46169</v>
      </c>
      <c r="DS7" s="14">
        <v>46170</v>
      </c>
      <c r="DT7" s="14">
        <v>46171</v>
      </c>
      <c r="DU7" s="14">
        <v>46172</v>
      </c>
      <c r="DV7" s="14">
        <v>46173</v>
      </c>
      <c r="DW7" s="87">
        <v>46174</v>
      </c>
      <c r="DX7" s="51">
        <v>46175</v>
      </c>
      <c r="DY7" s="51">
        <v>46176</v>
      </c>
      <c r="DZ7" s="51">
        <v>46177</v>
      </c>
      <c r="EA7" s="51">
        <v>46178</v>
      </c>
      <c r="EB7" s="51">
        <v>46179</v>
      </c>
      <c r="EC7" s="51">
        <v>46180</v>
      </c>
      <c r="ED7" s="51">
        <v>46181</v>
      </c>
      <c r="EE7" s="51">
        <v>46182</v>
      </c>
      <c r="EF7" s="51">
        <v>46183</v>
      </c>
      <c r="EG7" s="51">
        <v>46184</v>
      </c>
      <c r="EH7" s="51">
        <v>46185</v>
      </c>
      <c r="EI7" s="51">
        <v>46186</v>
      </c>
      <c r="EJ7" s="51">
        <v>46187</v>
      </c>
      <c r="EK7" s="51">
        <v>46188</v>
      </c>
      <c r="EL7" s="51">
        <v>46189</v>
      </c>
      <c r="EM7" s="51">
        <v>46190</v>
      </c>
      <c r="EN7" s="51">
        <v>46191</v>
      </c>
      <c r="EO7" s="51">
        <v>46192</v>
      </c>
      <c r="EP7" s="14">
        <v>46193</v>
      </c>
      <c r="EQ7" s="51">
        <v>46194</v>
      </c>
      <c r="ER7" s="14">
        <v>46195</v>
      </c>
      <c r="ES7" s="51">
        <v>46196</v>
      </c>
      <c r="ET7" s="14">
        <v>46197</v>
      </c>
      <c r="EU7" s="51">
        <v>46198</v>
      </c>
      <c r="EV7" s="14">
        <v>46199</v>
      </c>
      <c r="EW7" s="51">
        <v>46200</v>
      </c>
      <c r="EX7" s="14">
        <v>46201</v>
      </c>
      <c r="EY7" s="51">
        <v>46202</v>
      </c>
      <c r="EZ7" s="51">
        <v>46203</v>
      </c>
      <c r="FA7" s="167">
        <v>46204</v>
      </c>
      <c r="FB7" s="14">
        <v>46205</v>
      </c>
      <c r="FC7" s="14">
        <v>46206</v>
      </c>
      <c r="FD7" s="14">
        <v>46207</v>
      </c>
      <c r="FE7" s="14">
        <v>46208</v>
      </c>
      <c r="FF7" s="14">
        <v>46209</v>
      </c>
      <c r="FG7" s="14">
        <v>46210</v>
      </c>
      <c r="FH7" s="14">
        <v>46211</v>
      </c>
      <c r="FI7" s="14">
        <v>46212</v>
      </c>
      <c r="FJ7" s="14">
        <v>46213</v>
      </c>
      <c r="FK7" s="14">
        <v>46214</v>
      </c>
      <c r="FL7" s="14">
        <v>46215</v>
      </c>
      <c r="FM7" s="14">
        <v>46216</v>
      </c>
      <c r="FN7" s="14">
        <v>46217</v>
      </c>
      <c r="FO7" s="14">
        <v>46218</v>
      </c>
      <c r="FP7" s="14">
        <v>46219</v>
      </c>
      <c r="FQ7" s="14">
        <v>46220</v>
      </c>
      <c r="FR7" s="14">
        <v>46221</v>
      </c>
      <c r="FS7" s="14">
        <v>46222</v>
      </c>
      <c r="FT7" s="14">
        <v>46223</v>
      </c>
      <c r="FU7" s="14">
        <v>46224</v>
      </c>
      <c r="FV7" s="14">
        <v>46225</v>
      </c>
      <c r="FW7" s="14">
        <v>46226</v>
      </c>
      <c r="FX7" s="14">
        <v>46227</v>
      </c>
      <c r="FY7" s="14">
        <v>46228</v>
      </c>
      <c r="FZ7" s="14">
        <v>46229</v>
      </c>
      <c r="GA7" s="14">
        <v>46230</v>
      </c>
      <c r="GB7" s="14">
        <v>46231</v>
      </c>
      <c r="GC7" s="14">
        <v>46232</v>
      </c>
      <c r="GD7" s="14">
        <v>46233</v>
      </c>
      <c r="GE7" s="51">
        <v>46234</v>
      </c>
      <c r="GF7" s="181">
        <v>46235</v>
      </c>
      <c r="GG7" s="327">
        <v>46236</v>
      </c>
      <c r="GH7" s="327">
        <v>46237</v>
      </c>
      <c r="GI7" s="327">
        <v>46238</v>
      </c>
      <c r="GJ7" s="327">
        <v>46239</v>
      </c>
      <c r="GK7" s="327">
        <v>46240</v>
      </c>
      <c r="GL7" s="327">
        <v>46241</v>
      </c>
      <c r="GM7" s="327">
        <v>46242</v>
      </c>
      <c r="GN7" s="327">
        <v>46243</v>
      </c>
      <c r="GO7" s="327">
        <v>46244</v>
      </c>
      <c r="GP7" s="327">
        <v>46245</v>
      </c>
      <c r="GQ7" s="327">
        <v>46246</v>
      </c>
      <c r="GR7" s="327">
        <v>46247</v>
      </c>
      <c r="GS7" s="327">
        <v>46248</v>
      </c>
      <c r="GT7" s="327">
        <v>46249</v>
      </c>
      <c r="GU7" s="327">
        <v>46250</v>
      </c>
      <c r="GV7" s="327">
        <v>46251</v>
      </c>
      <c r="GW7" s="327">
        <v>46252</v>
      </c>
      <c r="GX7" s="327">
        <v>46253</v>
      </c>
      <c r="GY7" s="327">
        <v>46254</v>
      </c>
      <c r="GZ7" s="348" t="s">
        <v>26</v>
      </c>
    </row>
    <row r="8" spans="1:208" ht="29.25" customHeight="1" thickBot="1" x14ac:dyDescent="0.3">
      <c r="A8" s="476" t="s">
        <v>106</v>
      </c>
      <c r="B8" s="477"/>
      <c r="C8" s="477"/>
      <c r="D8" s="478"/>
      <c r="E8" s="209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1"/>
      <c r="AG8" s="212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48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1"/>
      <c r="CR8" s="209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0"/>
      <c r="DE8" s="210"/>
      <c r="DF8" s="210"/>
      <c r="DG8" s="210"/>
      <c r="DH8" s="210"/>
      <c r="DI8" s="210"/>
      <c r="DJ8" s="210"/>
      <c r="DK8" s="210"/>
      <c r="DL8" s="210"/>
      <c r="DM8" s="210"/>
      <c r="DN8" s="210"/>
      <c r="DO8" s="210"/>
      <c r="DP8" s="210"/>
      <c r="DQ8" s="210"/>
      <c r="DR8" s="210"/>
      <c r="DS8" s="210"/>
      <c r="DT8" s="210"/>
      <c r="DU8" s="210"/>
      <c r="DV8" s="211"/>
      <c r="DW8" s="209"/>
      <c r="DX8" s="210"/>
      <c r="DY8" s="210"/>
      <c r="DZ8" s="210"/>
      <c r="EA8" s="210"/>
      <c r="EB8" s="210"/>
      <c r="EC8" s="210"/>
      <c r="ED8" s="210"/>
      <c r="EE8" s="210"/>
      <c r="EF8" s="210"/>
      <c r="EG8" s="210"/>
      <c r="EH8" s="210"/>
      <c r="EI8" s="210"/>
      <c r="EJ8" s="210"/>
      <c r="EK8" s="210"/>
      <c r="EL8" s="210"/>
      <c r="EM8" s="210"/>
      <c r="EN8" s="210"/>
      <c r="EO8" s="210"/>
      <c r="EP8" s="210"/>
      <c r="EQ8" s="210"/>
      <c r="ER8" s="210"/>
      <c r="ES8" s="210"/>
      <c r="ET8" s="210"/>
      <c r="EU8" s="210"/>
      <c r="EV8" s="210"/>
      <c r="EW8" s="210"/>
      <c r="EX8" s="210"/>
      <c r="EY8" s="210"/>
      <c r="EZ8" s="211"/>
      <c r="FA8" s="209"/>
      <c r="FB8" s="210"/>
      <c r="FC8" s="210"/>
      <c r="FD8" s="210"/>
      <c r="FE8" s="210"/>
      <c r="FF8" s="210"/>
      <c r="FG8" s="210"/>
      <c r="FH8" s="210"/>
      <c r="FI8" s="210"/>
      <c r="FJ8" s="210"/>
      <c r="FK8" s="210"/>
      <c r="FL8" s="210"/>
      <c r="FM8" s="210"/>
      <c r="FN8" s="210"/>
      <c r="FO8" s="210"/>
      <c r="FP8" s="210"/>
      <c r="FQ8" s="210"/>
      <c r="FR8" s="210"/>
      <c r="FS8" s="210"/>
      <c r="FT8" s="210"/>
      <c r="FU8" s="210"/>
      <c r="FV8" s="210"/>
      <c r="FW8" s="210"/>
      <c r="FX8" s="210"/>
      <c r="FY8" s="210"/>
      <c r="FZ8" s="210"/>
      <c r="GA8" s="210"/>
      <c r="GB8" s="210"/>
      <c r="GC8" s="210"/>
      <c r="GD8" s="210"/>
      <c r="GE8" s="211"/>
      <c r="GF8" s="209"/>
      <c r="GG8" s="210"/>
      <c r="GH8" s="210"/>
      <c r="GI8" s="210"/>
      <c r="GJ8" s="210"/>
      <c r="GK8" s="210"/>
      <c r="GL8" s="210"/>
      <c r="GM8" s="210"/>
      <c r="GN8" s="210"/>
      <c r="GO8" s="210"/>
      <c r="GP8" s="210"/>
      <c r="GQ8" s="210"/>
      <c r="GR8" s="210"/>
      <c r="GS8" s="210"/>
      <c r="GT8" s="210"/>
      <c r="GU8" s="210"/>
      <c r="GV8" s="210"/>
      <c r="GW8" s="210"/>
      <c r="GX8" s="210"/>
      <c r="GY8" s="211"/>
      <c r="GZ8" s="441"/>
    </row>
    <row r="9" spans="1:208" ht="15" hidden="1" customHeight="1" thickBot="1" x14ac:dyDescent="0.3">
      <c r="A9" s="479"/>
      <c r="B9" s="474" t="s">
        <v>23</v>
      </c>
      <c r="C9" s="22" t="s">
        <v>82</v>
      </c>
      <c r="D9" s="9" t="s">
        <v>86</v>
      </c>
      <c r="E9" s="71">
        <f>+Columns!O75</f>
        <v>0</v>
      </c>
      <c r="F9" s="37">
        <f>+Columns!P75</f>
        <v>0</v>
      </c>
      <c r="G9" s="37">
        <f>+Columns!Q75</f>
        <v>0</v>
      </c>
      <c r="H9" s="37">
        <f>+Columns!R75</f>
        <v>0</v>
      </c>
      <c r="I9" s="37">
        <f>+Columns!S75</f>
        <v>0</v>
      </c>
      <c r="J9" s="37">
        <f>+Columns!T75</f>
        <v>0</v>
      </c>
      <c r="K9" s="37">
        <f>+Columns!U75</f>
        <v>0</v>
      </c>
      <c r="L9" s="37">
        <f>+Columns!V75</f>
        <v>0</v>
      </c>
      <c r="M9" s="37">
        <f>+Columns!W75</f>
        <v>0</v>
      </c>
      <c r="N9" s="37">
        <f>+Columns!X75</f>
        <v>0</v>
      </c>
      <c r="O9" s="37">
        <f>+Columns!Y75</f>
        <v>0</v>
      </c>
      <c r="P9" s="37">
        <f>+Columns!Z75</f>
        <v>0</v>
      </c>
      <c r="Q9" s="37">
        <f>+Columns!AA75</f>
        <v>0</v>
      </c>
      <c r="R9" s="37">
        <f>+Columns!AB75</f>
        <v>0</v>
      </c>
      <c r="S9" s="37">
        <f>+Columns!AC75</f>
        <v>0</v>
      </c>
      <c r="T9" s="37">
        <f>+Columns!AD75</f>
        <v>0</v>
      </c>
      <c r="U9" s="37">
        <f>+Columns!AE75</f>
        <v>0</v>
      </c>
      <c r="V9" s="37">
        <f>+Columns!AF75</f>
        <v>0</v>
      </c>
      <c r="W9" s="37">
        <f>+Columns!AG75</f>
        <v>0</v>
      </c>
      <c r="X9" s="37">
        <f>+Columns!AH75</f>
        <v>0</v>
      </c>
      <c r="Y9" s="37">
        <f>+Columns!AI75</f>
        <v>0</v>
      </c>
      <c r="Z9" s="37">
        <f>+Columns!AJ75</f>
        <v>0</v>
      </c>
      <c r="AA9" s="37">
        <f>+Columns!AK75</f>
        <v>0</v>
      </c>
      <c r="AB9" s="37">
        <f>+Columns!AL75</f>
        <v>0</v>
      </c>
      <c r="AC9" s="37">
        <f>+Columns!AM75</f>
        <v>0</v>
      </c>
      <c r="AD9" s="37">
        <f>+Columns!AN75</f>
        <v>0</v>
      </c>
      <c r="AE9" s="37">
        <f>+Columns!AO75</f>
        <v>0</v>
      </c>
      <c r="AF9" s="276">
        <f>+Columns!AP75</f>
        <v>0</v>
      </c>
      <c r="AG9" s="179">
        <f>+Columns!AQ75</f>
        <v>0</v>
      </c>
      <c r="AH9" s="71">
        <f>+Columns!AR75</f>
        <v>0</v>
      </c>
      <c r="AI9" s="37">
        <f>+Columns!AS75</f>
        <v>0</v>
      </c>
      <c r="AJ9" s="37">
        <f>+Columns!AT75</f>
        <v>0</v>
      </c>
      <c r="AK9" s="37">
        <f>+Columns!AU75</f>
        <v>0</v>
      </c>
      <c r="AL9" s="37">
        <f>+Columns!AV75</f>
        <v>0</v>
      </c>
      <c r="AM9" s="37">
        <f>+Columns!AW75</f>
        <v>0</v>
      </c>
      <c r="AN9" s="37">
        <f>+Columns!AX75</f>
        <v>0</v>
      </c>
      <c r="AO9" s="37">
        <f>+Columns!AY75</f>
        <v>0</v>
      </c>
      <c r="AP9" s="37">
        <f>+Columns!AZ75</f>
        <v>0</v>
      </c>
      <c r="AQ9" s="37">
        <f>+Columns!BA75</f>
        <v>0</v>
      </c>
      <c r="AR9" s="37">
        <f>+Columns!BB75</f>
        <v>0</v>
      </c>
      <c r="AS9" s="37">
        <f>+Columns!BC75</f>
        <v>0</v>
      </c>
      <c r="AT9" s="37">
        <f>+Columns!BD75</f>
        <v>0</v>
      </c>
      <c r="AU9" s="37">
        <f>+Columns!BE75</f>
        <v>0</v>
      </c>
      <c r="AV9" s="37">
        <f>+Columns!BF75</f>
        <v>0</v>
      </c>
      <c r="AW9" s="37">
        <f>+Columns!BG75</f>
        <v>0</v>
      </c>
      <c r="AX9" s="37">
        <f>+Columns!BH75</f>
        <v>0</v>
      </c>
      <c r="AY9" s="37">
        <f>+Columns!BI75</f>
        <v>0</v>
      </c>
      <c r="AZ9" s="37">
        <f>+Columns!BJ75</f>
        <v>0</v>
      </c>
      <c r="BA9" s="37">
        <f>+Columns!BK75</f>
        <v>0</v>
      </c>
      <c r="BB9" s="37">
        <f>+Columns!BL75</f>
        <v>0</v>
      </c>
      <c r="BC9" s="37">
        <f>+Columns!BM75</f>
        <v>0</v>
      </c>
      <c r="BD9" s="37">
        <f>+Columns!BN75</f>
        <v>0</v>
      </c>
      <c r="BE9" s="37">
        <f>+Columns!BO75</f>
        <v>3</v>
      </c>
      <c r="BF9" s="37">
        <f>+Columns!BP75</f>
        <v>0</v>
      </c>
      <c r="BG9" s="37">
        <f>+Columns!BQ75</f>
        <v>0</v>
      </c>
      <c r="BH9" s="37">
        <f>+Columns!BR75</f>
        <v>0</v>
      </c>
      <c r="BI9" s="37">
        <f>+Columns!BS75</f>
        <v>0</v>
      </c>
      <c r="BJ9" s="37">
        <f>+Columns!BT75</f>
        <v>0</v>
      </c>
      <c r="BK9" s="37">
        <f>+Columns!BU75</f>
        <v>0</v>
      </c>
      <c r="BL9" s="276">
        <f>+Columns!BV75</f>
        <v>0</v>
      </c>
      <c r="BM9" s="247">
        <f>+Columns!BW75</f>
        <v>0</v>
      </c>
      <c r="BN9" s="71">
        <f>+Columns!BX75</f>
        <v>2</v>
      </c>
      <c r="BO9" s="37">
        <f>+Columns!BY75</f>
        <v>0</v>
      </c>
      <c r="BP9" s="37">
        <f>+Columns!BZ75</f>
        <v>0</v>
      </c>
      <c r="BQ9" s="37">
        <f>+Columns!CA75</f>
        <v>0</v>
      </c>
      <c r="BR9" s="37">
        <f>+Columns!CB75</f>
        <v>0</v>
      </c>
      <c r="BS9" s="37">
        <f>+Columns!CC75</f>
        <v>0</v>
      </c>
      <c r="BT9" s="37">
        <f>+Columns!CD75</f>
        <v>0</v>
      </c>
      <c r="BU9" s="37">
        <f>+Columns!CE75</f>
        <v>0</v>
      </c>
      <c r="BV9" s="37">
        <f>+Columns!CF75</f>
        <v>0</v>
      </c>
      <c r="BW9" s="37">
        <f>+Columns!CG75</f>
        <v>0</v>
      </c>
      <c r="BX9" s="37">
        <f>+Columns!CH75</f>
        <v>0</v>
      </c>
      <c r="BY9" s="37">
        <f>+Columns!CI75</f>
        <v>0</v>
      </c>
      <c r="BZ9" s="37">
        <f>+Columns!CJ75</f>
        <v>0</v>
      </c>
      <c r="CA9" s="37">
        <f>+Columns!CK75</f>
        <v>0</v>
      </c>
      <c r="CB9" s="37">
        <f>+Columns!CL75</f>
        <v>0</v>
      </c>
      <c r="CC9" s="37">
        <f>+Columns!CM75</f>
        <v>0</v>
      </c>
      <c r="CD9" s="37">
        <f>+Columns!CN75</f>
        <v>0</v>
      </c>
      <c r="CE9" s="37">
        <f>+Columns!CO75</f>
        <v>0</v>
      </c>
      <c r="CF9" s="37">
        <f>+Columns!CP75</f>
        <v>0</v>
      </c>
      <c r="CG9" s="37">
        <f>+Columns!CQ75</f>
        <v>0</v>
      </c>
      <c r="CH9" s="37">
        <f>+Columns!CR75</f>
        <v>0</v>
      </c>
      <c r="CI9" s="37">
        <f>+Columns!CS75</f>
        <v>0</v>
      </c>
      <c r="CJ9" s="37">
        <f>+Columns!CT75</f>
        <v>0</v>
      </c>
      <c r="CK9" s="37">
        <f>+Columns!CU75</f>
        <v>0</v>
      </c>
      <c r="CL9" s="37">
        <f>+Columns!CV75</f>
        <v>0</v>
      </c>
      <c r="CM9" s="37">
        <f>+Columns!CW75</f>
        <v>0</v>
      </c>
      <c r="CN9" s="37">
        <f>+Columns!CX75</f>
        <v>0</v>
      </c>
      <c r="CO9" s="37">
        <f>+Columns!CY75</f>
        <v>0</v>
      </c>
      <c r="CP9" s="37">
        <f>+Columns!CZ75</f>
        <v>0</v>
      </c>
      <c r="CQ9" s="157">
        <f>+Columns!DA75</f>
        <v>5</v>
      </c>
      <c r="CR9" s="71">
        <f>+Columns!DB75</f>
        <v>0</v>
      </c>
      <c r="CS9" s="37">
        <f>+Columns!DC75</f>
        <v>0</v>
      </c>
      <c r="CT9" s="37">
        <f>+Columns!DD75</f>
        <v>0</v>
      </c>
      <c r="CU9" s="37">
        <f>+Columns!DE75</f>
        <v>0</v>
      </c>
      <c r="CV9" s="37">
        <f>+Columns!DF75</f>
        <v>0</v>
      </c>
      <c r="CW9" s="37">
        <f>+Columns!DG75</f>
        <v>0</v>
      </c>
      <c r="CX9" s="37">
        <f>+Columns!DH75</f>
        <v>0</v>
      </c>
      <c r="CY9" s="37">
        <f>+Columns!DI75</f>
        <v>0</v>
      </c>
      <c r="CZ9" s="37">
        <f>+Columns!DJ75</f>
        <v>0</v>
      </c>
      <c r="DA9" s="37">
        <f>+Columns!DK75</f>
        <v>0</v>
      </c>
      <c r="DB9" s="37">
        <f>+Columns!DL75</f>
        <v>0</v>
      </c>
      <c r="DC9" s="37">
        <f>+Columns!DM75</f>
        <v>0</v>
      </c>
      <c r="DD9" s="37">
        <f>+Columns!DN75</f>
        <v>0</v>
      </c>
      <c r="DE9" s="37">
        <f>+Columns!DO75</f>
        <v>0</v>
      </c>
      <c r="DF9" s="37">
        <f>+Columns!DP75</f>
        <v>0</v>
      </c>
      <c r="DG9" s="37">
        <f>+Columns!DQ75</f>
        <v>0</v>
      </c>
      <c r="DH9" s="37">
        <f>+Columns!DR75</f>
        <v>0</v>
      </c>
      <c r="DI9" s="37">
        <f>+Columns!DS75</f>
        <v>0</v>
      </c>
      <c r="DJ9" s="37">
        <f>+Columns!DT75</f>
        <v>0</v>
      </c>
      <c r="DK9" s="37">
        <f>+Columns!DU75</f>
        <v>0</v>
      </c>
      <c r="DL9" s="37">
        <f>+Columns!DV75</f>
        <v>0</v>
      </c>
      <c r="DM9" s="37">
        <f>+Columns!DW75</f>
        <v>0</v>
      </c>
      <c r="DN9" s="37">
        <f>+Columns!DX75</f>
        <v>0</v>
      </c>
      <c r="DO9" s="37">
        <f>+Columns!DY75</f>
        <v>0</v>
      </c>
      <c r="DP9" s="37">
        <f>+Columns!DZ75</f>
        <v>0</v>
      </c>
      <c r="DQ9" s="37">
        <f>+Columns!EA75</f>
        <v>0</v>
      </c>
      <c r="DR9" s="37">
        <f>+Columns!EB75</f>
        <v>0</v>
      </c>
      <c r="DS9" s="37">
        <f>+Columns!EC75</f>
        <v>0</v>
      </c>
      <c r="DT9" s="37">
        <f>+Columns!ED75</f>
        <v>0</v>
      </c>
      <c r="DU9" s="37">
        <f>+Columns!EE75</f>
        <v>0</v>
      </c>
      <c r="DV9" s="276">
        <f>+Columns!EF75</f>
        <v>0</v>
      </c>
      <c r="DW9" s="88">
        <f>+Columns!EG75</f>
        <v>0</v>
      </c>
      <c r="DX9" s="68">
        <f>+Columns!EH75</f>
        <v>0</v>
      </c>
      <c r="DY9" s="68">
        <f>+Columns!EI75</f>
        <v>0</v>
      </c>
      <c r="DZ9" s="68">
        <f>+Columns!EJ75</f>
        <v>0</v>
      </c>
      <c r="EA9" s="68">
        <f>+Columns!EK75</f>
        <v>0</v>
      </c>
      <c r="EB9" s="68">
        <f>+Columns!EL75</f>
        <v>0</v>
      </c>
      <c r="EC9" s="68">
        <f>+Columns!EM75</f>
        <v>0</v>
      </c>
      <c r="ED9" s="68">
        <f>+Columns!EN75</f>
        <v>0</v>
      </c>
      <c r="EE9" s="68">
        <f>+Columns!EO75</f>
        <v>0</v>
      </c>
      <c r="EF9" s="68">
        <f>+Columns!EP75</f>
        <v>0</v>
      </c>
      <c r="EG9" s="68">
        <f>+Columns!EQ75</f>
        <v>0</v>
      </c>
      <c r="EH9" s="68">
        <f>+Columns!ER75</f>
        <v>0</v>
      </c>
      <c r="EI9" s="68">
        <f>+Columns!ES75</f>
        <v>0</v>
      </c>
      <c r="EJ9" s="68">
        <f>+Columns!ET75</f>
        <v>0</v>
      </c>
      <c r="EK9" s="68">
        <f>+Columns!EU75</f>
        <v>0</v>
      </c>
      <c r="EL9" s="68">
        <f>+Columns!EV75</f>
        <v>0</v>
      </c>
      <c r="EM9" s="68">
        <f>+Columns!EW75</f>
        <v>0</v>
      </c>
      <c r="EN9" s="68">
        <f>+Columns!EX75</f>
        <v>0</v>
      </c>
      <c r="EO9" s="68">
        <f>+Columns!EY75</f>
        <v>0</v>
      </c>
      <c r="EP9" s="68">
        <f>+Columns!EZ75</f>
        <v>0</v>
      </c>
      <c r="EQ9" s="68">
        <f>+Columns!FA75</f>
        <v>0</v>
      </c>
      <c r="ER9" s="68">
        <f>+Columns!FB75</f>
        <v>0</v>
      </c>
      <c r="ES9" s="68">
        <f>+Columns!FC75</f>
        <v>0</v>
      </c>
      <c r="ET9" s="68">
        <f>+Columns!FD75</f>
        <v>0</v>
      </c>
      <c r="EU9" s="68">
        <f>+Columns!FE75</f>
        <v>0</v>
      </c>
      <c r="EV9" s="68">
        <f>+Columns!FF75</f>
        <v>0</v>
      </c>
      <c r="EW9" s="68">
        <f>+Columns!FG75</f>
        <v>0</v>
      </c>
      <c r="EX9" s="68">
        <f>+Columns!FH75</f>
        <v>0</v>
      </c>
      <c r="EY9" s="68">
        <f>+Columns!FI75</f>
        <v>0</v>
      </c>
      <c r="EZ9" s="100">
        <f>+Columns!FJ75</f>
        <v>0</v>
      </c>
      <c r="FA9" s="88">
        <f>+Columns!FK75</f>
        <v>0</v>
      </c>
      <c r="FB9" s="68">
        <f>+Columns!FL75</f>
        <v>0</v>
      </c>
      <c r="FC9" s="68">
        <f>+Columns!FM75</f>
        <v>0</v>
      </c>
      <c r="FD9" s="68">
        <f>+Columns!FN75</f>
        <v>0</v>
      </c>
      <c r="FE9" s="68">
        <f>+Columns!FO75</f>
        <v>0</v>
      </c>
      <c r="FF9" s="68">
        <f>+Columns!FP75</f>
        <v>0</v>
      </c>
      <c r="FG9" s="68">
        <f>+Columns!FQ75</f>
        <v>0</v>
      </c>
      <c r="FH9" s="68">
        <f>+Columns!FR75</f>
        <v>0</v>
      </c>
      <c r="FI9" s="68">
        <f>+Columns!FS75</f>
        <v>0</v>
      </c>
      <c r="FJ9" s="68">
        <f>+Columns!FT75</f>
        <v>0</v>
      </c>
      <c r="FK9" s="68">
        <f>+Columns!FU75</f>
        <v>0</v>
      </c>
      <c r="FL9" s="68">
        <f>+Columns!FV75</f>
        <v>0</v>
      </c>
      <c r="FM9" s="68">
        <f>+Columns!FW75</f>
        <v>0</v>
      </c>
      <c r="FN9" s="68">
        <f>+Columns!FX75</f>
        <v>0</v>
      </c>
      <c r="FO9" s="68">
        <f>+Columns!FY75</f>
        <v>0</v>
      </c>
      <c r="FP9" s="68">
        <f>+Columns!FZ75</f>
        <v>0</v>
      </c>
      <c r="FQ9" s="68">
        <f>+Columns!GA75</f>
        <v>0</v>
      </c>
      <c r="FR9" s="68">
        <f>+Columns!GB75</f>
        <v>0</v>
      </c>
      <c r="FS9" s="68">
        <f>+Columns!GC75</f>
        <v>0</v>
      </c>
      <c r="FT9" s="68">
        <f>+Columns!GD75</f>
        <v>0</v>
      </c>
      <c r="FU9" s="68">
        <f>+Columns!GE75</f>
        <v>0</v>
      </c>
      <c r="FV9" s="68">
        <f>+Columns!GF75</f>
        <v>0</v>
      </c>
      <c r="FW9" s="68">
        <f>+Columns!GG75</f>
        <v>0</v>
      </c>
      <c r="FX9" s="68">
        <f>+Columns!GH75</f>
        <v>0</v>
      </c>
      <c r="FY9" s="68">
        <f>+Columns!GI75</f>
        <v>0</v>
      </c>
      <c r="FZ9" s="68">
        <f>+Columns!GJ75</f>
        <v>0</v>
      </c>
      <c r="GA9" s="68">
        <f>+Columns!GK75</f>
        <v>0</v>
      </c>
      <c r="GB9" s="68">
        <f>+Columns!GL75</f>
        <v>0</v>
      </c>
      <c r="GC9" s="68">
        <f>+Columns!GM75</f>
        <v>0</v>
      </c>
      <c r="GD9" s="68">
        <f>+Columns!GN75</f>
        <v>0</v>
      </c>
      <c r="GE9" s="100">
        <f>+Columns!GO75</f>
        <v>0</v>
      </c>
      <c r="GF9" s="436"/>
      <c r="GG9" s="424"/>
      <c r="GH9" s="424"/>
      <c r="GI9" s="424"/>
      <c r="GJ9" s="424"/>
      <c r="GK9" s="424"/>
      <c r="GL9" s="424"/>
      <c r="GM9" s="424"/>
      <c r="GN9" s="424"/>
      <c r="GO9" s="424"/>
      <c r="GP9" s="424"/>
      <c r="GQ9" s="424"/>
      <c r="GR9" s="424"/>
      <c r="GS9" s="424"/>
      <c r="GT9" s="424"/>
      <c r="GU9" s="424"/>
      <c r="GV9" s="424"/>
      <c r="GW9" s="424"/>
      <c r="GX9" s="424"/>
      <c r="GY9" s="424"/>
      <c r="GZ9" s="442"/>
    </row>
    <row r="10" spans="1:208" ht="15" hidden="1" customHeight="1" thickBot="1" x14ac:dyDescent="0.3">
      <c r="A10" s="479"/>
      <c r="B10" s="474"/>
      <c r="C10" s="23" t="s">
        <v>81</v>
      </c>
      <c r="D10" s="2" t="s">
        <v>87</v>
      </c>
      <c r="E10" s="73">
        <f>+'Internal Wall'!O88</f>
        <v>0</v>
      </c>
      <c r="F10" s="13">
        <f>+'Internal Wall'!P88</f>
        <v>10.199999999999999</v>
      </c>
      <c r="G10" s="13">
        <f>+'Internal Wall'!Q88</f>
        <v>0</v>
      </c>
      <c r="H10" s="13">
        <f>+'Internal Wall'!R88</f>
        <v>0</v>
      </c>
      <c r="I10" s="13">
        <f>+'Internal Wall'!S88</f>
        <v>0</v>
      </c>
      <c r="J10" s="13">
        <f>+'Internal Wall'!T88</f>
        <v>0</v>
      </c>
      <c r="K10" s="13">
        <f>+'Internal Wall'!U88</f>
        <v>0</v>
      </c>
      <c r="L10" s="13">
        <f>+'Internal Wall'!V88</f>
        <v>40.200000000000003</v>
      </c>
      <c r="M10" s="13">
        <f>+'Internal Wall'!W88</f>
        <v>0</v>
      </c>
      <c r="N10" s="13">
        <f>+'Internal Wall'!X88</f>
        <v>0</v>
      </c>
      <c r="O10" s="13">
        <f>+'Internal Wall'!Y88</f>
        <v>0</v>
      </c>
      <c r="P10" s="13">
        <f>+'Internal Wall'!Z88</f>
        <v>2</v>
      </c>
      <c r="Q10" s="13">
        <f>+'Internal Wall'!AA88</f>
        <v>0</v>
      </c>
      <c r="R10" s="13">
        <f>+'Internal Wall'!AB88</f>
        <v>0</v>
      </c>
      <c r="S10" s="13">
        <f>+'Internal Wall'!AC88</f>
        <v>4</v>
      </c>
      <c r="T10" s="13">
        <f>+'Internal Wall'!AD88</f>
        <v>23</v>
      </c>
      <c r="U10" s="13">
        <f>+'Internal Wall'!AE88</f>
        <v>0</v>
      </c>
      <c r="V10" s="13">
        <f>+'Internal Wall'!AF88</f>
        <v>0</v>
      </c>
      <c r="W10" s="13">
        <f>+'Internal Wall'!AG88</f>
        <v>0</v>
      </c>
      <c r="X10" s="13">
        <f>+'Internal Wall'!AH88</f>
        <v>0</v>
      </c>
      <c r="Y10" s="13">
        <f>+'Internal Wall'!AI88</f>
        <v>0</v>
      </c>
      <c r="Z10" s="13">
        <f>+'Internal Wall'!AJ88</f>
        <v>0</v>
      </c>
      <c r="AA10" s="13">
        <f>+'Internal Wall'!AK88</f>
        <v>0</v>
      </c>
      <c r="AB10" s="13">
        <f>+'Internal Wall'!AL88</f>
        <v>0</v>
      </c>
      <c r="AC10" s="13">
        <f>+'Internal Wall'!AM88</f>
        <v>9</v>
      </c>
      <c r="AD10" s="13">
        <f>+'Internal Wall'!AN88</f>
        <v>74.099999999999994</v>
      </c>
      <c r="AE10" s="13">
        <f>+'Internal Wall'!AO88</f>
        <v>0</v>
      </c>
      <c r="AF10" s="274">
        <f>+'Internal Wall'!AP88</f>
        <v>0</v>
      </c>
      <c r="AG10" s="162">
        <f>+'Internal Wall'!BN88</f>
        <v>0</v>
      </c>
      <c r="AH10" s="73">
        <f>+'Internal Wall'!AR88</f>
        <v>4.5</v>
      </c>
      <c r="AI10" s="13">
        <f>+'Internal Wall'!AS88</f>
        <v>0</v>
      </c>
      <c r="AJ10" s="13">
        <f>+'Internal Wall'!AT88</f>
        <v>0</v>
      </c>
      <c r="AK10" s="13">
        <f>+'Internal Wall'!AU88</f>
        <v>6.1</v>
      </c>
      <c r="AL10" s="13">
        <f>+'Internal Wall'!AV88</f>
        <v>0</v>
      </c>
      <c r="AM10" s="13">
        <f>+'Internal Wall'!AW88</f>
        <v>0</v>
      </c>
      <c r="AN10" s="13">
        <f>+'Internal Wall'!AX88</f>
        <v>16</v>
      </c>
      <c r="AO10" s="13">
        <f>+'Internal Wall'!AY88</f>
        <v>0</v>
      </c>
      <c r="AP10" s="13">
        <f>+'Internal Wall'!AZ88</f>
        <v>0</v>
      </c>
      <c r="AQ10" s="13">
        <f>+'Internal Wall'!BA88</f>
        <v>19.5</v>
      </c>
      <c r="AR10" s="13">
        <f>+'Internal Wall'!BB88</f>
        <v>14.6</v>
      </c>
      <c r="AS10" s="13">
        <f>+'Internal Wall'!BC88</f>
        <v>37</v>
      </c>
      <c r="AT10" s="13">
        <f>+'Internal Wall'!BD88</f>
        <v>0</v>
      </c>
      <c r="AU10" s="13">
        <f>+'Internal Wall'!BE88</f>
        <v>0</v>
      </c>
      <c r="AV10" s="13">
        <f>+'Internal Wall'!BF88</f>
        <v>21.5</v>
      </c>
      <c r="AW10" s="13">
        <f>+'Internal Wall'!BG88</f>
        <v>16.399999999999999</v>
      </c>
      <c r="AX10" s="13">
        <f>+'Internal Wall'!BH88</f>
        <v>18.100000000000001</v>
      </c>
      <c r="AY10" s="13">
        <f>+'Internal Wall'!BI88</f>
        <v>18</v>
      </c>
      <c r="AZ10" s="13">
        <f>+'Internal Wall'!BJ88</f>
        <v>0</v>
      </c>
      <c r="BA10" s="13">
        <f>+'Internal Wall'!BK88</f>
        <v>0</v>
      </c>
      <c r="BB10" s="13">
        <f>+'Internal Wall'!BL88</f>
        <v>0</v>
      </c>
      <c r="BC10" s="13">
        <f>+'Internal Wall'!BM88</f>
        <v>0</v>
      </c>
      <c r="BD10" s="13">
        <f>+'Internal Wall'!BN88</f>
        <v>0</v>
      </c>
      <c r="BE10" s="13">
        <f>+'Internal Wall'!BO88</f>
        <v>0</v>
      </c>
      <c r="BF10" s="13">
        <f>+'Internal Wall'!BP88</f>
        <v>0</v>
      </c>
      <c r="BG10" s="13">
        <f>+'Internal Wall'!BQ88</f>
        <v>0</v>
      </c>
      <c r="BH10" s="13">
        <f>+'Internal Wall'!BR88</f>
        <v>0</v>
      </c>
      <c r="BI10" s="13">
        <f>+'Internal Wall'!BS88</f>
        <v>0</v>
      </c>
      <c r="BJ10" s="13">
        <f>+'Internal Wall'!BT88</f>
        <v>0</v>
      </c>
      <c r="BK10" s="13">
        <f>+'Internal Wall'!BU88</f>
        <v>93.7</v>
      </c>
      <c r="BL10" s="274">
        <f>+'Internal Wall'!BV88</f>
        <v>0</v>
      </c>
      <c r="BM10" s="247">
        <f>+'Internal Wall'!IR88</f>
        <v>0</v>
      </c>
      <c r="BN10" s="73">
        <f>+'Internal Wall'!BX88</f>
        <v>17</v>
      </c>
      <c r="BO10" s="13">
        <f>+'Internal Wall'!BY88</f>
        <v>0</v>
      </c>
      <c r="BP10" s="13">
        <f>+'Internal Wall'!BZ88</f>
        <v>0</v>
      </c>
      <c r="BQ10" s="13">
        <f>+'Internal Wall'!CA88</f>
        <v>0</v>
      </c>
      <c r="BR10" s="13">
        <f>+'Internal Wall'!CB88</f>
        <v>0</v>
      </c>
      <c r="BS10" s="13">
        <f>+'Internal Wall'!CC88</f>
        <v>0</v>
      </c>
      <c r="BT10" s="13">
        <f>+'Internal Wall'!CD88</f>
        <v>80</v>
      </c>
      <c r="BU10" s="13">
        <f>+'Internal Wall'!CE88</f>
        <v>3</v>
      </c>
      <c r="BV10" s="13">
        <f>+'Internal Wall'!CF88</f>
        <v>0</v>
      </c>
      <c r="BW10" s="13">
        <f>+'Internal Wall'!CG88</f>
        <v>0</v>
      </c>
      <c r="BX10" s="13">
        <f>+'Internal Wall'!CH88</f>
        <v>11</v>
      </c>
      <c r="BY10" s="13">
        <f>+'Internal Wall'!CI88</f>
        <v>0</v>
      </c>
      <c r="BZ10" s="13">
        <f>+'Internal Wall'!CJ88</f>
        <v>0</v>
      </c>
      <c r="CA10" s="13">
        <f>+'Internal Wall'!CK88</f>
        <v>0</v>
      </c>
      <c r="CB10" s="13">
        <f>+'Internal Wall'!CL88</f>
        <v>0</v>
      </c>
      <c r="CC10" s="13">
        <f>+'Internal Wall'!CM88</f>
        <v>30</v>
      </c>
      <c r="CD10" s="13">
        <f>+'Internal Wall'!CN88</f>
        <v>0</v>
      </c>
      <c r="CE10" s="13">
        <f>+'Internal Wall'!CO88</f>
        <v>0</v>
      </c>
      <c r="CF10" s="13">
        <f>+'Internal Wall'!CP88</f>
        <v>0</v>
      </c>
      <c r="CG10" s="13">
        <f>+'Internal Wall'!CQ88</f>
        <v>0</v>
      </c>
      <c r="CH10" s="13">
        <f>+'Internal Wall'!CR88</f>
        <v>0</v>
      </c>
      <c r="CI10" s="13">
        <f>+'Internal Wall'!CS88</f>
        <v>0</v>
      </c>
      <c r="CJ10" s="13">
        <f>+'Internal Wall'!CT88</f>
        <v>0</v>
      </c>
      <c r="CK10" s="13">
        <f>+'Internal Wall'!CU88</f>
        <v>0</v>
      </c>
      <c r="CL10" s="13">
        <f>+'Internal Wall'!CV88</f>
        <v>0</v>
      </c>
      <c r="CM10" s="13">
        <f>+'Internal Wall'!CW88</f>
        <v>0</v>
      </c>
      <c r="CN10" s="13">
        <f>+'Internal Wall'!CX88</f>
        <v>0</v>
      </c>
      <c r="CO10" s="13">
        <f>+'Internal Wall'!CY88</f>
        <v>0</v>
      </c>
      <c r="CP10" s="13">
        <f>+'Internal Wall'!CZ88</f>
        <v>0</v>
      </c>
      <c r="CQ10" s="101">
        <f>+'Internal Wall'!DA88</f>
        <v>0</v>
      </c>
      <c r="CR10" s="73">
        <f>+'Internal Wall'!DB88</f>
        <v>0</v>
      </c>
      <c r="CS10" s="13">
        <f>+'Internal Wall'!DC88</f>
        <v>0</v>
      </c>
      <c r="CT10" s="13">
        <f>+'Internal Wall'!DD88</f>
        <v>0</v>
      </c>
      <c r="CU10" s="13">
        <f>+'Internal Wall'!DE88</f>
        <v>0</v>
      </c>
      <c r="CV10" s="13">
        <f>+'Internal Wall'!DF88</f>
        <v>0</v>
      </c>
      <c r="CW10" s="13">
        <f>+'Internal Wall'!DG88</f>
        <v>0</v>
      </c>
      <c r="CX10" s="13">
        <f>+'Internal Wall'!DH88</f>
        <v>0</v>
      </c>
      <c r="CY10" s="13">
        <f>+'Internal Wall'!DI88</f>
        <v>0</v>
      </c>
      <c r="CZ10" s="13">
        <f>+'Internal Wall'!DJ88</f>
        <v>0</v>
      </c>
      <c r="DA10" s="13">
        <f>+'Internal Wall'!DK88</f>
        <v>0</v>
      </c>
      <c r="DB10" s="13">
        <f>+'Internal Wall'!DL88</f>
        <v>0</v>
      </c>
      <c r="DC10" s="13">
        <f>+'Internal Wall'!DM88</f>
        <v>0</v>
      </c>
      <c r="DD10" s="13">
        <f>+'Internal Wall'!DN88</f>
        <v>0</v>
      </c>
      <c r="DE10" s="13">
        <f>+'Internal Wall'!DO88</f>
        <v>0</v>
      </c>
      <c r="DF10" s="13">
        <f>+'Internal Wall'!DP88</f>
        <v>0</v>
      </c>
      <c r="DG10" s="13">
        <f>+'Internal Wall'!DQ88</f>
        <v>0</v>
      </c>
      <c r="DH10" s="13">
        <f>+'Internal Wall'!DR88</f>
        <v>0</v>
      </c>
      <c r="DI10" s="13">
        <f>+'Internal Wall'!DS88</f>
        <v>0</v>
      </c>
      <c r="DJ10" s="13">
        <f>+'Internal Wall'!DT88</f>
        <v>0</v>
      </c>
      <c r="DK10" s="13">
        <f>+'Internal Wall'!DU88</f>
        <v>0</v>
      </c>
      <c r="DL10" s="13">
        <f>+'Internal Wall'!DV88</f>
        <v>0</v>
      </c>
      <c r="DM10" s="13">
        <f>+'Internal Wall'!DW88</f>
        <v>0</v>
      </c>
      <c r="DN10" s="13">
        <f>+'Internal Wall'!DX88</f>
        <v>0</v>
      </c>
      <c r="DO10" s="13">
        <f>+'Internal Wall'!DY88</f>
        <v>0</v>
      </c>
      <c r="DP10" s="13">
        <f>+'Internal Wall'!DZ88</f>
        <v>0</v>
      </c>
      <c r="DQ10" s="13">
        <f>+'Internal Wall'!EA88</f>
        <v>0</v>
      </c>
      <c r="DR10" s="13">
        <f>+'Internal Wall'!EB88</f>
        <v>0</v>
      </c>
      <c r="DS10" s="13">
        <f>+'Internal Wall'!EC88</f>
        <v>0</v>
      </c>
      <c r="DT10" s="13">
        <f>+'Internal Wall'!ED88</f>
        <v>0</v>
      </c>
      <c r="DU10" s="13">
        <f>+'Internal Wall'!EE88</f>
        <v>0</v>
      </c>
      <c r="DV10" s="274">
        <f>+'Internal Wall'!EF88</f>
        <v>0</v>
      </c>
      <c r="DW10" s="73">
        <f>+'Internal Wall'!EG88</f>
        <v>0</v>
      </c>
      <c r="DX10" s="13">
        <f>+'Internal Wall'!EH88</f>
        <v>0</v>
      </c>
      <c r="DY10" s="13">
        <f>+'Internal Wall'!EI88</f>
        <v>0</v>
      </c>
      <c r="DZ10" s="13">
        <f>+'Internal Wall'!EJ88</f>
        <v>0</v>
      </c>
      <c r="EA10" s="13">
        <f>+'Internal Wall'!EK88</f>
        <v>0</v>
      </c>
      <c r="EB10" s="13">
        <f>+'Internal Wall'!EL88</f>
        <v>0</v>
      </c>
      <c r="EC10" s="13">
        <f>+'Internal Wall'!EM88</f>
        <v>0</v>
      </c>
      <c r="ED10" s="13">
        <f>+'Internal Wall'!EN88</f>
        <v>0</v>
      </c>
      <c r="EE10" s="13">
        <f>+'Internal Wall'!EO88</f>
        <v>0</v>
      </c>
      <c r="EF10" s="13">
        <f>+'Internal Wall'!EP88</f>
        <v>0</v>
      </c>
      <c r="EG10" s="13">
        <f>+'Internal Wall'!EQ88</f>
        <v>0</v>
      </c>
      <c r="EH10" s="13">
        <f>+'Internal Wall'!ER88</f>
        <v>0</v>
      </c>
      <c r="EI10" s="13">
        <f>+'Internal Wall'!ES88</f>
        <v>0</v>
      </c>
      <c r="EJ10" s="13">
        <f>+'Internal Wall'!ET88</f>
        <v>0</v>
      </c>
      <c r="EK10" s="13">
        <f>+'Internal Wall'!EU88</f>
        <v>0</v>
      </c>
      <c r="EL10" s="13">
        <f>+'Internal Wall'!EV88</f>
        <v>0</v>
      </c>
      <c r="EM10" s="13">
        <f>+'Internal Wall'!EW88</f>
        <v>0</v>
      </c>
      <c r="EN10" s="13">
        <f>+'Internal Wall'!EX88</f>
        <v>0</v>
      </c>
      <c r="EO10" s="13">
        <f>+'Internal Wall'!EY88</f>
        <v>0</v>
      </c>
      <c r="EP10" s="13">
        <f>+'Internal Wall'!EZ88</f>
        <v>0</v>
      </c>
      <c r="EQ10" s="13">
        <f>+'Internal Wall'!FA88</f>
        <v>0</v>
      </c>
      <c r="ER10" s="13">
        <f>+'Internal Wall'!FB88</f>
        <v>0</v>
      </c>
      <c r="ES10" s="13">
        <f>+'Internal Wall'!FC88</f>
        <v>0</v>
      </c>
      <c r="ET10" s="13">
        <f>+'Internal Wall'!FD88</f>
        <v>0</v>
      </c>
      <c r="EU10" s="13">
        <f>+'Internal Wall'!FE88</f>
        <v>0</v>
      </c>
      <c r="EV10" s="13">
        <f>+'Internal Wall'!FF88</f>
        <v>0</v>
      </c>
      <c r="EW10" s="13">
        <f>+'Internal Wall'!FG88</f>
        <v>0</v>
      </c>
      <c r="EX10" s="13">
        <f>+'Internal Wall'!FH88</f>
        <v>0</v>
      </c>
      <c r="EY10" s="13">
        <f>+'Internal Wall'!FI88</f>
        <v>0</v>
      </c>
      <c r="EZ10" s="101">
        <f>+'Internal Wall'!FJ88</f>
        <v>0</v>
      </c>
      <c r="FA10" s="73">
        <f>+'Internal Wall'!FK88</f>
        <v>0</v>
      </c>
      <c r="FB10" s="13">
        <f>+'Internal Wall'!FL88</f>
        <v>0</v>
      </c>
      <c r="FC10" s="13">
        <f>+'Internal Wall'!FM88</f>
        <v>0</v>
      </c>
      <c r="FD10" s="13">
        <f>+'Internal Wall'!FN88</f>
        <v>0</v>
      </c>
      <c r="FE10" s="13">
        <f>+'Internal Wall'!FO88</f>
        <v>0</v>
      </c>
      <c r="FF10" s="13">
        <f>+'Internal Wall'!FP88</f>
        <v>0</v>
      </c>
      <c r="FG10" s="13">
        <f>+'Internal Wall'!FQ88</f>
        <v>0</v>
      </c>
      <c r="FH10" s="13">
        <f>+'Internal Wall'!FR88</f>
        <v>0</v>
      </c>
      <c r="FI10" s="13">
        <f>+'Internal Wall'!FS88</f>
        <v>0</v>
      </c>
      <c r="FJ10" s="13">
        <f>+'Internal Wall'!FT88</f>
        <v>0</v>
      </c>
      <c r="FK10" s="13">
        <f>+'Internal Wall'!FU88</f>
        <v>0</v>
      </c>
      <c r="FL10" s="13">
        <f>+'Internal Wall'!FV88</f>
        <v>0</v>
      </c>
      <c r="FM10" s="13">
        <f>+'Internal Wall'!FW88</f>
        <v>0</v>
      </c>
      <c r="FN10" s="13">
        <f>+'Internal Wall'!FX88</f>
        <v>0</v>
      </c>
      <c r="FO10" s="13">
        <f>+'Internal Wall'!FY88</f>
        <v>0</v>
      </c>
      <c r="FP10" s="13">
        <f>+'Internal Wall'!FZ88</f>
        <v>0</v>
      </c>
      <c r="FQ10" s="13">
        <f>+'Internal Wall'!GA88</f>
        <v>0</v>
      </c>
      <c r="FR10" s="13">
        <f>+'Internal Wall'!GB88</f>
        <v>0</v>
      </c>
      <c r="FS10" s="13">
        <f>+'Internal Wall'!GC88</f>
        <v>0</v>
      </c>
      <c r="FT10" s="13">
        <f>+'Internal Wall'!GD88</f>
        <v>0</v>
      </c>
      <c r="FU10" s="13">
        <f>+'Internal Wall'!GE88</f>
        <v>0</v>
      </c>
      <c r="FV10" s="13">
        <f>+'Internal Wall'!GF88</f>
        <v>0</v>
      </c>
      <c r="FW10" s="13">
        <f>+'Internal Wall'!GG88</f>
        <v>0</v>
      </c>
      <c r="FX10" s="13">
        <f>+'Internal Wall'!GH88</f>
        <v>0</v>
      </c>
      <c r="FY10" s="13">
        <f>+'Internal Wall'!GI88</f>
        <v>0</v>
      </c>
      <c r="FZ10" s="13">
        <f>+'Internal Wall'!GJ88</f>
        <v>0</v>
      </c>
      <c r="GA10" s="13">
        <f>+'Internal Wall'!GK88</f>
        <v>0</v>
      </c>
      <c r="GB10" s="13">
        <f>+'Internal Wall'!GL88</f>
        <v>0</v>
      </c>
      <c r="GC10" s="13">
        <f>+'Internal Wall'!GM88</f>
        <v>0</v>
      </c>
      <c r="GD10" s="13">
        <f>+'Internal Wall'!GN88</f>
        <v>0</v>
      </c>
      <c r="GE10" s="101">
        <f>+'Internal Wall'!GO88</f>
        <v>0</v>
      </c>
      <c r="GF10" s="436"/>
      <c r="GG10" s="424"/>
      <c r="GH10" s="424"/>
      <c r="GI10" s="424"/>
      <c r="GJ10" s="424"/>
      <c r="GK10" s="424"/>
      <c r="GL10" s="424"/>
      <c r="GM10" s="424"/>
      <c r="GN10" s="424"/>
      <c r="GO10" s="424"/>
      <c r="GP10" s="424"/>
      <c r="GQ10" s="424"/>
      <c r="GR10" s="424"/>
      <c r="GS10" s="424"/>
      <c r="GT10" s="424"/>
      <c r="GU10" s="424"/>
      <c r="GV10" s="424"/>
      <c r="GW10" s="424"/>
      <c r="GX10" s="424"/>
      <c r="GY10" s="424"/>
      <c r="GZ10" s="442"/>
    </row>
    <row r="11" spans="1:208" ht="15" hidden="1" customHeight="1" thickBot="1" x14ac:dyDescent="0.3">
      <c r="A11" s="479"/>
      <c r="B11" s="474"/>
      <c r="C11" s="23" t="s">
        <v>83</v>
      </c>
      <c r="D11" s="2" t="s">
        <v>87</v>
      </c>
      <c r="E11" s="73">
        <f>+'External Wall'!O38</f>
        <v>16</v>
      </c>
      <c r="F11" s="13">
        <f>+'External Wall'!P38</f>
        <v>26</v>
      </c>
      <c r="G11" s="13">
        <f>+'External Wall'!Q38</f>
        <v>0</v>
      </c>
      <c r="H11" s="13">
        <f>+'External Wall'!R38</f>
        <v>0</v>
      </c>
      <c r="I11" s="13">
        <f>+'External Wall'!S38</f>
        <v>0</v>
      </c>
      <c r="J11" s="13">
        <f>+'External Wall'!T38</f>
        <v>0</v>
      </c>
      <c r="K11" s="13">
        <f>+'External Wall'!U38</f>
        <v>7.6</v>
      </c>
      <c r="L11" s="13">
        <f>+'External Wall'!V38</f>
        <v>0</v>
      </c>
      <c r="M11" s="13">
        <f>+'External Wall'!W38</f>
        <v>17.5</v>
      </c>
      <c r="N11" s="13">
        <f>+'External Wall'!X38</f>
        <v>0</v>
      </c>
      <c r="O11" s="13">
        <f>+'External Wall'!Y38</f>
        <v>0</v>
      </c>
      <c r="P11" s="13">
        <f>+'External Wall'!Z38</f>
        <v>11</v>
      </c>
      <c r="Q11" s="13">
        <f>+'External Wall'!AA38</f>
        <v>0</v>
      </c>
      <c r="R11" s="13">
        <f>+'External Wall'!AB38</f>
        <v>0</v>
      </c>
      <c r="S11" s="13">
        <f>+'External Wall'!AC38</f>
        <v>3</v>
      </c>
      <c r="T11" s="13">
        <f>+'External Wall'!AD38</f>
        <v>0</v>
      </c>
      <c r="U11" s="13">
        <f>+'External Wall'!AE38</f>
        <v>10.5</v>
      </c>
      <c r="V11" s="13">
        <f>+'External Wall'!AF38</f>
        <v>0</v>
      </c>
      <c r="W11" s="13">
        <f>+'External Wall'!AG38</f>
        <v>0</v>
      </c>
      <c r="X11" s="13">
        <f>+'External Wall'!AH38</f>
        <v>0</v>
      </c>
      <c r="Y11" s="13">
        <f>+'External Wall'!AI38</f>
        <v>0</v>
      </c>
      <c r="Z11" s="13">
        <f>+'External Wall'!AJ38</f>
        <v>0</v>
      </c>
      <c r="AA11" s="13">
        <f>+'External Wall'!AK38</f>
        <v>0</v>
      </c>
      <c r="AB11" s="13">
        <f>+'External Wall'!AL38</f>
        <v>0</v>
      </c>
      <c r="AC11" s="13">
        <f>+'External Wall'!AM38</f>
        <v>21.5</v>
      </c>
      <c r="AD11" s="13">
        <f>+'External Wall'!AN38</f>
        <v>0</v>
      </c>
      <c r="AE11" s="13">
        <f>+'External Wall'!AO38</f>
        <v>0</v>
      </c>
      <c r="AF11" s="274">
        <f>+'External Wall'!AP38</f>
        <v>0</v>
      </c>
      <c r="AG11" s="162">
        <f>+'External Wall'!AQ38</f>
        <v>0</v>
      </c>
      <c r="AH11" s="73">
        <f>+'External Wall'!AR38</f>
        <v>0</v>
      </c>
      <c r="AI11" s="13">
        <f>+'External Wall'!AS38</f>
        <v>0</v>
      </c>
      <c r="AJ11" s="13">
        <f>+'External Wall'!AT38</f>
        <v>10.5</v>
      </c>
      <c r="AK11" s="13">
        <f>+'External Wall'!AU38</f>
        <v>2.5</v>
      </c>
      <c r="AL11" s="13">
        <f>+'External Wall'!AV38</f>
        <v>0</v>
      </c>
      <c r="AM11" s="13">
        <f>+'External Wall'!AW38</f>
        <v>0</v>
      </c>
      <c r="AN11" s="13">
        <f>+'External Wall'!AX38</f>
        <v>8</v>
      </c>
      <c r="AO11" s="13">
        <f>+'External Wall'!AY38</f>
        <v>0</v>
      </c>
      <c r="AP11" s="13">
        <f>+'External Wall'!AZ38</f>
        <v>0</v>
      </c>
      <c r="AQ11" s="13">
        <f>+'External Wall'!BA38</f>
        <v>0</v>
      </c>
      <c r="AR11" s="13">
        <f>+'External Wall'!BB38</f>
        <v>0</v>
      </c>
      <c r="AS11" s="13">
        <f>+'External Wall'!BC38</f>
        <v>0</v>
      </c>
      <c r="AT11" s="13">
        <f>+'External Wall'!BD38</f>
        <v>0</v>
      </c>
      <c r="AU11" s="13">
        <f>+'External Wall'!BE38</f>
        <v>25</v>
      </c>
      <c r="AV11" s="13">
        <f>+'External Wall'!BF38</f>
        <v>0</v>
      </c>
      <c r="AW11" s="13">
        <f>+'External Wall'!BG38</f>
        <v>0</v>
      </c>
      <c r="AX11" s="13">
        <f>+'External Wall'!BH38</f>
        <v>21.8</v>
      </c>
      <c r="AY11" s="13">
        <f>+'External Wall'!BI38</f>
        <v>0</v>
      </c>
      <c r="AZ11" s="13">
        <f>+'External Wall'!BJ38</f>
        <v>0</v>
      </c>
      <c r="BA11" s="13">
        <f>+'External Wall'!BK38</f>
        <v>0</v>
      </c>
      <c r="BB11" s="13">
        <f>+'External Wall'!BL38</f>
        <v>0</v>
      </c>
      <c r="BC11" s="13">
        <f>+'External Wall'!BM38</f>
        <v>0</v>
      </c>
      <c r="BD11" s="13">
        <f>+'External Wall'!BN38</f>
        <v>0</v>
      </c>
      <c r="BE11" s="13">
        <f>+'External Wall'!BO38</f>
        <v>19.5</v>
      </c>
      <c r="BF11" s="13">
        <f>+'External Wall'!BP38</f>
        <v>0</v>
      </c>
      <c r="BG11" s="13">
        <f>+'External Wall'!BQ38</f>
        <v>0</v>
      </c>
      <c r="BH11" s="13">
        <f>+'External Wall'!BR38</f>
        <v>0</v>
      </c>
      <c r="BI11" s="13">
        <f>+'External Wall'!BS38</f>
        <v>0</v>
      </c>
      <c r="BJ11" s="13">
        <f>+'External Wall'!BT38</f>
        <v>27</v>
      </c>
      <c r="BK11" s="13">
        <f>+'External Wall'!BU38</f>
        <v>0</v>
      </c>
      <c r="BL11" s="274">
        <f>+'External Wall'!BV38</f>
        <v>0</v>
      </c>
      <c r="BM11" s="247">
        <f>+'External Wall'!BW38</f>
        <v>0</v>
      </c>
      <c r="BN11" s="73">
        <f>+'External Wall'!BX38</f>
        <v>0</v>
      </c>
      <c r="BO11" s="13">
        <f>+'External Wall'!BY38</f>
        <v>0</v>
      </c>
      <c r="BP11" s="13">
        <f>+'External Wall'!BZ38</f>
        <v>0</v>
      </c>
      <c r="BQ11" s="13">
        <f>+'External Wall'!CA38</f>
        <v>0</v>
      </c>
      <c r="BR11" s="13">
        <f>+'External Wall'!CB38</f>
        <v>0</v>
      </c>
      <c r="BS11" s="13">
        <f>+'External Wall'!CC38</f>
        <v>27</v>
      </c>
      <c r="BT11" s="13">
        <f>+'External Wall'!CD38</f>
        <v>0</v>
      </c>
      <c r="BU11" s="13">
        <f>+'External Wall'!CE38</f>
        <v>0</v>
      </c>
      <c r="BV11" s="13">
        <f>+'External Wall'!CF38</f>
        <v>0</v>
      </c>
      <c r="BW11" s="13">
        <f>+'External Wall'!CG38</f>
        <v>0</v>
      </c>
      <c r="BX11" s="13">
        <f>+'External Wall'!CH38</f>
        <v>0</v>
      </c>
      <c r="BY11" s="13">
        <f>+'External Wall'!CI38</f>
        <v>0</v>
      </c>
      <c r="BZ11" s="13">
        <f>+'External Wall'!CJ38</f>
        <v>0</v>
      </c>
      <c r="CA11" s="13">
        <f>+'External Wall'!CK38</f>
        <v>0</v>
      </c>
      <c r="CB11" s="13">
        <f>+'External Wall'!CL38</f>
        <v>0</v>
      </c>
      <c r="CC11" s="13">
        <f>+'External Wall'!CM38</f>
        <v>0</v>
      </c>
      <c r="CD11" s="13">
        <f>+'External Wall'!CN38</f>
        <v>0</v>
      </c>
      <c r="CE11" s="13">
        <f>+'External Wall'!CO38</f>
        <v>0</v>
      </c>
      <c r="CF11" s="13">
        <f>+'External Wall'!CP38</f>
        <v>0</v>
      </c>
      <c r="CG11" s="13">
        <f>+'External Wall'!CQ38</f>
        <v>0</v>
      </c>
      <c r="CH11" s="13">
        <f>+'External Wall'!CR38</f>
        <v>0</v>
      </c>
      <c r="CI11" s="13">
        <f>+'External Wall'!CS38</f>
        <v>0</v>
      </c>
      <c r="CJ11" s="13">
        <f>+'External Wall'!CT38</f>
        <v>0</v>
      </c>
      <c r="CK11" s="13">
        <f>+'External Wall'!CU38</f>
        <v>0</v>
      </c>
      <c r="CL11" s="13">
        <f>+'External Wall'!CV38</f>
        <v>0</v>
      </c>
      <c r="CM11" s="13">
        <f>+'External Wall'!CW38</f>
        <v>0</v>
      </c>
      <c r="CN11" s="13">
        <f>+'External Wall'!CX38</f>
        <v>0</v>
      </c>
      <c r="CO11" s="13">
        <f>+'External Wall'!CY38</f>
        <v>0</v>
      </c>
      <c r="CP11" s="13">
        <f>+'External Wall'!CZ38</f>
        <v>0</v>
      </c>
      <c r="CQ11" s="101">
        <f>+'External Wall'!DA38</f>
        <v>0</v>
      </c>
      <c r="CR11" s="73">
        <f>+'External Wall'!DB38</f>
        <v>0</v>
      </c>
      <c r="CS11" s="13">
        <f>+'External Wall'!DC38</f>
        <v>0</v>
      </c>
      <c r="CT11" s="13">
        <f>+'External Wall'!DD38</f>
        <v>0</v>
      </c>
      <c r="CU11" s="13">
        <f>+'External Wall'!DE38</f>
        <v>0</v>
      </c>
      <c r="CV11" s="13">
        <f>+'External Wall'!DF38</f>
        <v>0</v>
      </c>
      <c r="CW11" s="13">
        <f>+'External Wall'!DG38</f>
        <v>0</v>
      </c>
      <c r="CX11" s="13">
        <f>+'External Wall'!DH38</f>
        <v>0</v>
      </c>
      <c r="CY11" s="13">
        <f>+'External Wall'!DI38</f>
        <v>0</v>
      </c>
      <c r="CZ11" s="13">
        <f>+'External Wall'!DJ38</f>
        <v>0</v>
      </c>
      <c r="DA11" s="13">
        <f>+'External Wall'!DK38</f>
        <v>0</v>
      </c>
      <c r="DB11" s="13">
        <f>+'External Wall'!DL38</f>
        <v>0</v>
      </c>
      <c r="DC11" s="13">
        <f>+'External Wall'!DM38</f>
        <v>0</v>
      </c>
      <c r="DD11" s="13">
        <f>+'External Wall'!DN38</f>
        <v>0</v>
      </c>
      <c r="DE11" s="13">
        <f>+'External Wall'!DO38</f>
        <v>0</v>
      </c>
      <c r="DF11" s="13">
        <f>+'External Wall'!DP38</f>
        <v>0</v>
      </c>
      <c r="DG11" s="13">
        <f>+'External Wall'!DQ38</f>
        <v>0</v>
      </c>
      <c r="DH11" s="13">
        <f>+'External Wall'!DR38</f>
        <v>0</v>
      </c>
      <c r="DI11" s="13">
        <f>+'External Wall'!DS38</f>
        <v>0</v>
      </c>
      <c r="DJ11" s="13">
        <f>+'External Wall'!DT38</f>
        <v>0</v>
      </c>
      <c r="DK11" s="13">
        <f>+'External Wall'!DU38</f>
        <v>0</v>
      </c>
      <c r="DL11" s="13">
        <f>+'External Wall'!DV38</f>
        <v>0</v>
      </c>
      <c r="DM11" s="13">
        <f>+'External Wall'!DW38</f>
        <v>0</v>
      </c>
      <c r="DN11" s="13">
        <f>+'External Wall'!DX38</f>
        <v>0</v>
      </c>
      <c r="DO11" s="13">
        <f>+'External Wall'!DY38</f>
        <v>0</v>
      </c>
      <c r="DP11" s="13">
        <f>+'External Wall'!DZ38</f>
        <v>0</v>
      </c>
      <c r="DQ11" s="13">
        <f>+'External Wall'!EA38</f>
        <v>0</v>
      </c>
      <c r="DR11" s="13">
        <f>+'External Wall'!EB38</f>
        <v>0</v>
      </c>
      <c r="DS11" s="13">
        <f>+'External Wall'!EC38</f>
        <v>0</v>
      </c>
      <c r="DT11" s="13">
        <f>+'External Wall'!ED38</f>
        <v>0</v>
      </c>
      <c r="DU11" s="13">
        <f>+'External Wall'!EE38</f>
        <v>0</v>
      </c>
      <c r="DV11" s="274">
        <f>+'External Wall'!EF38</f>
        <v>0</v>
      </c>
      <c r="DW11" s="73">
        <f>+'External Wall'!EG38</f>
        <v>0</v>
      </c>
      <c r="DX11" s="13">
        <f>+'External Wall'!EH38</f>
        <v>0</v>
      </c>
      <c r="DY11" s="13">
        <f>+'External Wall'!EI38</f>
        <v>0</v>
      </c>
      <c r="DZ11" s="13">
        <f>+'External Wall'!EJ38</f>
        <v>0</v>
      </c>
      <c r="EA11" s="13">
        <f>+'External Wall'!EK38</f>
        <v>0</v>
      </c>
      <c r="EB11" s="13">
        <f>+'External Wall'!EL38</f>
        <v>0</v>
      </c>
      <c r="EC11" s="13">
        <f>+'External Wall'!EM38</f>
        <v>0</v>
      </c>
      <c r="ED11" s="13">
        <f>+'External Wall'!EN38</f>
        <v>0</v>
      </c>
      <c r="EE11" s="13">
        <f>+'External Wall'!EO38</f>
        <v>0</v>
      </c>
      <c r="EF11" s="13">
        <f>+'External Wall'!EP38</f>
        <v>0</v>
      </c>
      <c r="EG11" s="13">
        <f>+'External Wall'!EQ38</f>
        <v>0</v>
      </c>
      <c r="EH11" s="13">
        <f>+'External Wall'!ER38</f>
        <v>0</v>
      </c>
      <c r="EI11" s="13">
        <f>+'External Wall'!ES38</f>
        <v>0</v>
      </c>
      <c r="EJ11" s="13">
        <f>+'External Wall'!ET38</f>
        <v>0</v>
      </c>
      <c r="EK11" s="13">
        <f>+'External Wall'!EU38</f>
        <v>0</v>
      </c>
      <c r="EL11" s="13">
        <f>+'External Wall'!EV38</f>
        <v>0</v>
      </c>
      <c r="EM11" s="13">
        <f>+'External Wall'!EW38</f>
        <v>0</v>
      </c>
      <c r="EN11" s="13">
        <f>+'External Wall'!EX38</f>
        <v>0</v>
      </c>
      <c r="EO11" s="13">
        <f>+'External Wall'!EY38</f>
        <v>0</v>
      </c>
      <c r="EP11" s="13">
        <f>+'External Wall'!EZ38</f>
        <v>0</v>
      </c>
      <c r="EQ11" s="13">
        <f>+'External Wall'!FA38</f>
        <v>0</v>
      </c>
      <c r="ER11" s="13">
        <f>+'External Wall'!FB38</f>
        <v>0</v>
      </c>
      <c r="ES11" s="13">
        <f>+'External Wall'!FC38</f>
        <v>0</v>
      </c>
      <c r="ET11" s="13">
        <f>+'External Wall'!FD38</f>
        <v>0</v>
      </c>
      <c r="EU11" s="13">
        <f>+'External Wall'!FE38</f>
        <v>0</v>
      </c>
      <c r="EV11" s="13">
        <f>+'External Wall'!FF38</f>
        <v>0</v>
      </c>
      <c r="EW11" s="13">
        <f>+'External Wall'!FG38</f>
        <v>0</v>
      </c>
      <c r="EX11" s="13">
        <f>+'External Wall'!FH38</f>
        <v>0</v>
      </c>
      <c r="EY11" s="13">
        <f>+'External Wall'!FI38</f>
        <v>0</v>
      </c>
      <c r="EZ11" s="101">
        <f>+'External Wall'!FJ38</f>
        <v>0</v>
      </c>
      <c r="FA11" s="73">
        <f>+'External Wall'!FK38</f>
        <v>0</v>
      </c>
      <c r="FB11" s="13">
        <f>+'External Wall'!FL38</f>
        <v>0</v>
      </c>
      <c r="FC11" s="13">
        <f>+'External Wall'!FM38</f>
        <v>0</v>
      </c>
      <c r="FD11" s="13">
        <f>+'External Wall'!FN38</f>
        <v>0</v>
      </c>
      <c r="FE11" s="13">
        <f>+'External Wall'!FO38</f>
        <v>0</v>
      </c>
      <c r="FF11" s="13">
        <f>+'External Wall'!FP38</f>
        <v>0</v>
      </c>
      <c r="FG11" s="13">
        <f>+'External Wall'!FQ38</f>
        <v>0</v>
      </c>
      <c r="FH11" s="13">
        <f>+'External Wall'!FR38</f>
        <v>0</v>
      </c>
      <c r="FI11" s="13">
        <f>+'External Wall'!FS38</f>
        <v>0</v>
      </c>
      <c r="FJ11" s="13">
        <f>+'External Wall'!FT38</f>
        <v>0</v>
      </c>
      <c r="FK11" s="13">
        <f>+'External Wall'!FU38</f>
        <v>0</v>
      </c>
      <c r="FL11" s="13">
        <f>+'External Wall'!FV38</f>
        <v>0</v>
      </c>
      <c r="FM11" s="13">
        <f>+'External Wall'!FW38</f>
        <v>0</v>
      </c>
      <c r="FN11" s="13">
        <f>+'External Wall'!FX38</f>
        <v>0</v>
      </c>
      <c r="FO11" s="13">
        <f>+'External Wall'!FY38</f>
        <v>0</v>
      </c>
      <c r="FP11" s="13">
        <f>+'External Wall'!FZ38</f>
        <v>0</v>
      </c>
      <c r="FQ11" s="13">
        <f>+'External Wall'!GA38</f>
        <v>0</v>
      </c>
      <c r="FR11" s="13">
        <f>+'External Wall'!GB38</f>
        <v>0</v>
      </c>
      <c r="FS11" s="13">
        <f>+'External Wall'!GC38</f>
        <v>0</v>
      </c>
      <c r="FT11" s="13">
        <f>+'External Wall'!GD38</f>
        <v>0</v>
      </c>
      <c r="FU11" s="13">
        <f>+'External Wall'!GE38</f>
        <v>0</v>
      </c>
      <c r="FV11" s="13">
        <f>+'External Wall'!GF38</f>
        <v>0</v>
      </c>
      <c r="FW11" s="13">
        <f>+'External Wall'!GG38</f>
        <v>0</v>
      </c>
      <c r="FX11" s="13">
        <f>+'External Wall'!GH38</f>
        <v>0</v>
      </c>
      <c r="FY11" s="13">
        <f>+'External Wall'!GI38</f>
        <v>0</v>
      </c>
      <c r="FZ11" s="13">
        <f>+'External Wall'!GJ38</f>
        <v>0</v>
      </c>
      <c r="GA11" s="13">
        <f>+'External Wall'!GK38</f>
        <v>0</v>
      </c>
      <c r="GB11" s="13">
        <f>+'External Wall'!GL38</f>
        <v>0</v>
      </c>
      <c r="GC11" s="13">
        <f>+'External Wall'!GM38</f>
        <v>0</v>
      </c>
      <c r="GD11" s="13">
        <f>+'External Wall'!GN38</f>
        <v>0</v>
      </c>
      <c r="GE11" s="101">
        <f>+'External Wall'!GO38</f>
        <v>0</v>
      </c>
      <c r="GF11" s="436"/>
      <c r="GG11" s="424"/>
      <c r="GH11" s="424"/>
      <c r="GI11" s="424"/>
      <c r="GJ11" s="424"/>
      <c r="GK11" s="424"/>
      <c r="GL11" s="424"/>
      <c r="GM11" s="424"/>
      <c r="GN11" s="424"/>
      <c r="GO11" s="424"/>
      <c r="GP11" s="424"/>
      <c r="GQ11" s="424"/>
      <c r="GR11" s="424"/>
      <c r="GS11" s="424"/>
      <c r="GT11" s="424"/>
      <c r="GU11" s="424"/>
      <c r="GV11" s="424"/>
      <c r="GW11" s="424"/>
      <c r="GX11" s="424"/>
      <c r="GY11" s="424"/>
      <c r="GZ11" s="442"/>
    </row>
    <row r="12" spans="1:208" ht="15" hidden="1" customHeight="1" thickBot="1" x14ac:dyDescent="0.3">
      <c r="A12" s="480"/>
      <c r="B12" s="475"/>
      <c r="C12" s="196" t="s">
        <v>84</v>
      </c>
      <c r="D12" s="195" t="s">
        <v>88</v>
      </c>
      <c r="E12" s="197">
        <f>+Slab!O74</f>
        <v>0</v>
      </c>
      <c r="F12" s="198">
        <f>+Slab!P74</f>
        <v>0</v>
      </c>
      <c r="G12" s="198">
        <f>+Slab!Q74</f>
        <v>0</v>
      </c>
      <c r="H12" s="198">
        <f>+Slab!R74</f>
        <v>0</v>
      </c>
      <c r="I12" s="198">
        <f>+Slab!S74</f>
        <v>0</v>
      </c>
      <c r="J12" s="198">
        <f>+Slab!T74</f>
        <v>0</v>
      </c>
      <c r="K12" s="198">
        <f>+Slab!U74</f>
        <v>0</v>
      </c>
      <c r="L12" s="198">
        <f>+Slab!V74</f>
        <v>0</v>
      </c>
      <c r="M12" s="198">
        <f>+Slab!W74</f>
        <v>0</v>
      </c>
      <c r="N12" s="198">
        <f>+Slab!X74</f>
        <v>0</v>
      </c>
      <c r="O12" s="198">
        <f>+Slab!Y74</f>
        <v>0</v>
      </c>
      <c r="P12" s="198">
        <f>+Slab!Z74</f>
        <v>0</v>
      </c>
      <c r="Q12" s="198">
        <f>+Slab!AA74</f>
        <v>0</v>
      </c>
      <c r="R12" s="198">
        <f>+Slab!AB74</f>
        <v>0</v>
      </c>
      <c r="S12" s="198">
        <f>+Slab!AC74</f>
        <v>0</v>
      </c>
      <c r="T12" s="198">
        <f>+Slab!AD74</f>
        <v>0</v>
      </c>
      <c r="U12" s="198">
        <f>+Slab!AE74</f>
        <v>0</v>
      </c>
      <c r="V12" s="198">
        <f>+Slab!AF74</f>
        <v>0</v>
      </c>
      <c r="W12" s="198">
        <f>+Slab!AG74</f>
        <v>153</v>
      </c>
      <c r="X12" s="198">
        <f>+Slab!AH74</f>
        <v>0</v>
      </c>
      <c r="Y12" s="198">
        <f>+Slab!AI74</f>
        <v>0</v>
      </c>
      <c r="Z12" s="198">
        <f>+Slab!AJ74</f>
        <v>0</v>
      </c>
      <c r="AA12" s="198">
        <f>+Slab!AK74</f>
        <v>0</v>
      </c>
      <c r="AB12" s="198">
        <f>+Slab!AL74</f>
        <v>0</v>
      </c>
      <c r="AC12" s="198">
        <f>+Slab!AM74</f>
        <v>0</v>
      </c>
      <c r="AD12" s="198">
        <f>+Slab!AN74</f>
        <v>517</v>
      </c>
      <c r="AE12" s="198">
        <f>+Slab!AO74</f>
        <v>0</v>
      </c>
      <c r="AF12" s="287">
        <f>+Slab!AP74</f>
        <v>12</v>
      </c>
      <c r="AG12" s="200">
        <f>+Slab!AQ74</f>
        <v>0</v>
      </c>
      <c r="AH12" s="197">
        <f>+Slab!AR74</f>
        <v>0</v>
      </c>
      <c r="AI12" s="198">
        <f>+Slab!AS74</f>
        <v>1467</v>
      </c>
      <c r="AJ12" s="198">
        <f>+Slab!AT74</f>
        <v>0</v>
      </c>
      <c r="AK12" s="198">
        <f>+Slab!AU74</f>
        <v>0</v>
      </c>
      <c r="AL12" s="198">
        <f>+Slab!AV74</f>
        <v>0</v>
      </c>
      <c r="AM12" s="198">
        <f>+Slab!AW74</f>
        <v>0</v>
      </c>
      <c r="AN12" s="198">
        <f>+Slab!AX74</f>
        <v>0</v>
      </c>
      <c r="AO12" s="198">
        <f>+Slab!AY74</f>
        <v>0</v>
      </c>
      <c r="AP12" s="198">
        <f>+Slab!AZ74</f>
        <v>0</v>
      </c>
      <c r="AQ12" s="198">
        <f>+Slab!BA74</f>
        <v>0</v>
      </c>
      <c r="AR12" s="198">
        <f>+Slab!BB74</f>
        <v>0</v>
      </c>
      <c r="AS12" s="198">
        <f>+Slab!BC74</f>
        <v>0</v>
      </c>
      <c r="AT12" s="198">
        <f>+Slab!BD74</f>
        <v>0</v>
      </c>
      <c r="AU12" s="198">
        <f>+Slab!BE74</f>
        <v>0</v>
      </c>
      <c r="AV12" s="198">
        <f>+Slab!BF74</f>
        <v>0</v>
      </c>
      <c r="AW12" s="198">
        <f>+Slab!BG74</f>
        <v>0</v>
      </c>
      <c r="AX12" s="198">
        <f>+Slab!BH74</f>
        <v>0</v>
      </c>
      <c r="AY12" s="198">
        <f>+Slab!BI74</f>
        <v>0</v>
      </c>
      <c r="AZ12" s="198">
        <f>+Slab!BJ74</f>
        <v>0</v>
      </c>
      <c r="BA12" s="198">
        <f>+Slab!BK74</f>
        <v>0</v>
      </c>
      <c r="BB12" s="198">
        <f>+Slab!BL74</f>
        <v>0</v>
      </c>
      <c r="BC12" s="198">
        <f>+Slab!BM74</f>
        <v>0</v>
      </c>
      <c r="BD12" s="198">
        <f>+Slab!BN74</f>
        <v>0</v>
      </c>
      <c r="BE12" s="198">
        <f>+Slab!BO74</f>
        <v>0</v>
      </c>
      <c r="BF12" s="198">
        <f>+Slab!BP74</f>
        <v>200</v>
      </c>
      <c r="BG12" s="198">
        <f>+Slab!BQ74</f>
        <v>0</v>
      </c>
      <c r="BH12" s="198">
        <f>+Slab!BR74</f>
        <v>0</v>
      </c>
      <c r="BI12" s="198">
        <f>+Slab!BS74</f>
        <v>950</v>
      </c>
      <c r="BJ12" s="198">
        <f>+Slab!BT74</f>
        <v>0</v>
      </c>
      <c r="BK12" s="198">
        <f>+Slab!BU74</f>
        <v>0</v>
      </c>
      <c r="BL12" s="287">
        <f>+Slab!BV74</f>
        <v>50</v>
      </c>
      <c r="BM12" s="247">
        <f>+Slab!BW74</f>
        <v>0</v>
      </c>
      <c r="BN12" s="197">
        <f>+Slab!BX74</f>
        <v>0</v>
      </c>
      <c r="BO12" s="198">
        <f>+Slab!BY74</f>
        <v>0</v>
      </c>
      <c r="BP12" s="198">
        <f>+Slab!BZ74</f>
        <v>0</v>
      </c>
      <c r="BQ12" s="198">
        <f>+Slab!CA74</f>
        <v>0</v>
      </c>
      <c r="BR12" s="198">
        <f>+Slab!CB74</f>
        <v>0</v>
      </c>
      <c r="BS12" s="198">
        <f>+Slab!CC74</f>
        <v>0</v>
      </c>
      <c r="BT12" s="198">
        <f>+Slab!CD74</f>
        <v>0</v>
      </c>
      <c r="BU12" s="198">
        <f>+Slab!CE74</f>
        <v>0</v>
      </c>
      <c r="BV12" s="198">
        <f>+Slab!CF74</f>
        <v>0</v>
      </c>
      <c r="BW12" s="198">
        <f>+Slab!CG74</f>
        <v>0</v>
      </c>
      <c r="BX12" s="198">
        <f>+Slab!CH74</f>
        <v>0</v>
      </c>
      <c r="BY12" s="198">
        <f>+Slab!CI74</f>
        <v>924</v>
      </c>
      <c r="BZ12" s="198">
        <f>+Slab!CJ74</f>
        <v>0</v>
      </c>
      <c r="CA12" s="198">
        <f>+Slab!CK74</f>
        <v>0</v>
      </c>
      <c r="CB12" s="198">
        <f>+Slab!CL74</f>
        <v>0</v>
      </c>
      <c r="CC12" s="198">
        <f>+Slab!CM74</f>
        <v>0</v>
      </c>
      <c r="CD12" s="198">
        <f>+Slab!CN74</f>
        <v>0</v>
      </c>
      <c r="CE12" s="198">
        <f>+Slab!CO74</f>
        <v>16</v>
      </c>
      <c r="CF12" s="198">
        <f>+Slab!CP74</f>
        <v>0</v>
      </c>
      <c r="CG12" s="198">
        <f>+Slab!CQ74</f>
        <v>0</v>
      </c>
      <c r="CH12" s="198">
        <f>+Slab!CR74</f>
        <v>0</v>
      </c>
      <c r="CI12" s="198">
        <f>+Slab!CS74</f>
        <v>0</v>
      </c>
      <c r="CJ12" s="198">
        <f>+Slab!CT74</f>
        <v>75</v>
      </c>
      <c r="CK12" s="198">
        <f>+Slab!CU74</f>
        <v>0</v>
      </c>
      <c r="CL12" s="198">
        <f>+Slab!CV74</f>
        <v>0</v>
      </c>
      <c r="CM12" s="198">
        <f>+Slab!CW74</f>
        <v>0</v>
      </c>
      <c r="CN12" s="198">
        <f>+Slab!CX74</f>
        <v>0</v>
      </c>
      <c r="CO12" s="198">
        <f>+Slab!CY74</f>
        <v>66</v>
      </c>
      <c r="CP12" s="198">
        <f>+Slab!CZ74</f>
        <v>0</v>
      </c>
      <c r="CQ12" s="199">
        <f>+Slab!DA74</f>
        <v>884</v>
      </c>
      <c r="CR12" s="197">
        <f>+Slab!DB74</f>
        <v>0</v>
      </c>
      <c r="CS12" s="198">
        <f>+Slab!DC74</f>
        <v>0</v>
      </c>
      <c r="CT12" s="198">
        <f>+Slab!DD74</f>
        <v>0</v>
      </c>
      <c r="CU12" s="198">
        <f>+Slab!DE74</f>
        <v>0</v>
      </c>
      <c r="CV12" s="198">
        <f>+Slab!DF74</f>
        <v>0</v>
      </c>
      <c r="CW12" s="198">
        <f>+Slab!DG74</f>
        <v>0</v>
      </c>
      <c r="CX12" s="198">
        <f>+Slab!DH74</f>
        <v>0</v>
      </c>
      <c r="CY12" s="198">
        <f>+Slab!DI74</f>
        <v>0</v>
      </c>
      <c r="CZ12" s="198">
        <f>+Slab!DJ74</f>
        <v>0</v>
      </c>
      <c r="DA12" s="198">
        <f>+Slab!DK74</f>
        <v>0</v>
      </c>
      <c r="DB12" s="198">
        <f>+Slab!DL74</f>
        <v>0</v>
      </c>
      <c r="DC12" s="198">
        <f>+Slab!DM74</f>
        <v>0</v>
      </c>
      <c r="DD12" s="198">
        <f>+Slab!DN74</f>
        <v>0</v>
      </c>
      <c r="DE12" s="198">
        <f>+Slab!DO74</f>
        <v>0</v>
      </c>
      <c r="DF12" s="198">
        <f>+Slab!DP74</f>
        <v>0</v>
      </c>
      <c r="DG12" s="198">
        <f>+Slab!DQ74</f>
        <v>0</v>
      </c>
      <c r="DH12" s="198">
        <f>+Slab!DR74</f>
        <v>0</v>
      </c>
      <c r="DI12" s="198">
        <f>+Slab!DS74</f>
        <v>0</v>
      </c>
      <c r="DJ12" s="198">
        <f>+Slab!DT74</f>
        <v>0</v>
      </c>
      <c r="DK12" s="198">
        <f>+Slab!DU74</f>
        <v>0</v>
      </c>
      <c r="DL12" s="198">
        <f>+Slab!DV74</f>
        <v>0</v>
      </c>
      <c r="DM12" s="198">
        <f>+Slab!DW74</f>
        <v>0</v>
      </c>
      <c r="DN12" s="198">
        <f>+Slab!DX74</f>
        <v>0</v>
      </c>
      <c r="DO12" s="198">
        <f>+Slab!DY74</f>
        <v>0</v>
      </c>
      <c r="DP12" s="198">
        <f>+Slab!DZ74</f>
        <v>0</v>
      </c>
      <c r="DQ12" s="198">
        <f>+Slab!EA74</f>
        <v>0</v>
      </c>
      <c r="DR12" s="198">
        <f>+Slab!EB74</f>
        <v>0</v>
      </c>
      <c r="DS12" s="198">
        <f>+Slab!EC74</f>
        <v>0</v>
      </c>
      <c r="DT12" s="198">
        <f>+Slab!ED74</f>
        <v>0</v>
      </c>
      <c r="DU12" s="198">
        <f>+Slab!EE74</f>
        <v>0</v>
      </c>
      <c r="DV12" s="287">
        <f>+Slab!EF74</f>
        <v>0</v>
      </c>
      <c r="DW12" s="197">
        <f>+Slab!EG74</f>
        <v>0</v>
      </c>
      <c r="DX12" s="198">
        <f>+Slab!EH74</f>
        <v>0</v>
      </c>
      <c r="DY12" s="198">
        <f>+Slab!EI74</f>
        <v>0</v>
      </c>
      <c r="DZ12" s="198">
        <f>+Slab!EJ74</f>
        <v>0</v>
      </c>
      <c r="EA12" s="198">
        <f>+Slab!EK74</f>
        <v>0</v>
      </c>
      <c r="EB12" s="198">
        <f>+Slab!EL74</f>
        <v>0</v>
      </c>
      <c r="EC12" s="198">
        <f>+Slab!EM74</f>
        <v>0</v>
      </c>
      <c r="ED12" s="198">
        <f>+Slab!EN74</f>
        <v>0</v>
      </c>
      <c r="EE12" s="198">
        <f>+Slab!EO74</f>
        <v>0</v>
      </c>
      <c r="EF12" s="198">
        <f>+Slab!EP74</f>
        <v>0</v>
      </c>
      <c r="EG12" s="198">
        <f>+Slab!EQ74</f>
        <v>0</v>
      </c>
      <c r="EH12" s="198">
        <f>+Slab!ER74</f>
        <v>0</v>
      </c>
      <c r="EI12" s="198">
        <f>+Slab!ES74</f>
        <v>0</v>
      </c>
      <c r="EJ12" s="198">
        <f>+Slab!ET74</f>
        <v>0</v>
      </c>
      <c r="EK12" s="198">
        <f>+Slab!EU74</f>
        <v>0</v>
      </c>
      <c r="EL12" s="198">
        <f>+Slab!EV74</f>
        <v>0</v>
      </c>
      <c r="EM12" s="198">
        <f>+Slab!EW74</f>
        <v>0</v>
      </c>
      <c r="EN12" s="198">
        <f>+Slab!EX74</f>
        <v>0</v>
      </c>
      <c r="EO12" s="198">
        <f>+Slab!EY74</f>
        <v>0</v>
      </c>
      <c r="EP12" s="198">
        <f>+Slab!EZ74</f>
        <v>0</v>
      </c>
      <c r="EQ12" s="198">
        <f>+Slab!FA74</f>
        <v>0</v>
      </c>
      <c r="ER12" s="198">
        <f>+Slab!FB74</f>
        <v>0</v>
      </c>
      <c r="ES12" s="198">
        <f>+Slab!FC74</f>
        <v>0</v>
      </c>
      <c r="ET12" s="198">
        <f>+Slab!FD74</f>
        <v>0</v>
      </c>
      <c r="EU12" s="198">
        <f>+Slab!FE74</f>
        <v>0</v>
      </c>
      <c r="EV12" s="198">
        <f>+Slab!FF74</f>
        <v>0</v>
      </c>
      <c r="EW12" s="198">
        <f>+Slab!FG74</f>
        <v>0</v>
      </c>
      <c r="EX12" s="198">
        <f>+Slab!FH74</f>
        <v>0</v>
      </c>
      <c r="EY12" s="198">
        <f>+Slab!FI74</f>
        <v>0</v>
      </c>
      <c r="EZ12" s="199">
        <f>+Slab!FJ74</f>
        <v>0</v>
      </c>
      <c r="FA12" s="197">
        <f>+Slab!FK74</f>
        <v>0</v>
      </c>
      <c r="FB12" s="198">
        <f>+Slab!FL74</f>
        <v>0</v>
      </c>
      <c r="FC12" s="198">
        <f>+Slab!FM74</f>
        <v>0</v>
      </c>
      <c r="FD12" s="198">
        <f>+Slab!FN74</f>
        <v>0</v>
      </c>
      <c r="FE12" s="198">
        <f>+Slab!FO74</f>
        <v>0</v>
      </c>
      <c r="FF12" s="198">
        <f>+Slab!FP74</f>
        <v>0</v>
      </c>
      <c r="FG12" s="198">
        <f>+Slab!FQ74</f>
        <v>0</v>
      </c>
      <c r="FH12" s="198">
        <f>+Slab!FR74</f>
        <v>0</v>
      </c>
      <c r="FI12" s="198">
        <f>+Slab!FS74</f>
        <v>0</v>
      </c>
      <c r="FJ12" s="198">
        <f>+Slab!FT74</f>
        <v>0</v>
      </c>
      <c r="FK12" s="198">
        <f>+Slab!FU74</f>
        <v>0</v>
      </c>
      <c r="FL12" s="198">
        <f>+Slab!FV74</f>
        <v>0</v>
      </c>
      <c r="FM12" s="198">
        <f>+Slab!FW74</f>
        <v>0</v>
      </c>
      <c r="FN12" s="198">
        <f>+Slab!FX74</f>
        <v>0</v>
      </c>
      <c r="FO12" s="198">
        <f>+Slab!FY74</f>
        <v>0</v>
      </c>
      <c r="FP12" s="198">
        <f>+Slab!FZ74</f>
        <v>0</v>
      </c>
      <c r="FQ12" s="198">
        <f>+Slab!GA74</f>
        <v>0</v>
      </c>
      <c r="FR12" s="198">
        <f>+Slab!GB74</f>
        <v>0</v>
      </c>
      <c r="FS12" s="198">
        <f>+Slab!GC74</f>
        <v>0</v>
      </c>
      <c r="FT12" s="198">
        <f>+Slab!GD74</f>
        <v>0</v>
      </c>
      <c r="FU12" s="198">
        <f>+Slab!GE74</f>
        <v>0</v>
      </c>
      <c r="FV12" s="198">
        <f>+Slab!GF74</f>
        <v>0</v>
      </c>
      <c r="FW12" s="198">
        <f>+Slab!GG74</f>
        <v>0</v>
      </c>
      <c r="FX12" s="198">
        <f>+Slab!GH74</f>
        <v>0</v>
      </c>
      <c r="FY12" s="198">
        <f>+Slab!GI74</f>
        <v>0</v>
      </c>
      <c r="FZ12" s="198">
        <f>+Slab!GJ74</f>
        <v>0</v>
      </c>
      <c r="GA12" s="198">
        <f>+Slab!GK74</f>
        <v>0</v>
      </c>
      <c r="GB12" s="198">
        <f>+Slab!GL74</f>
        <v>0</v>
      </c>
      <c r="GC12" s="198">
        <f>+Slab!GM74</f>
        <v>0</v>
      </c>
      <c r="GD12" s="198">
        <f>+Slab!GN74</f>
        <v>0</v>
      </c>
      <c r="GE12" s="199">
        <f>+Slab!GO74</f>
        <v>0</v>
      </c>
      <c r="GF12" s="437"/>
      <c r="GG12" s="435"/>
      <c r="GH12" s="435"/>
      <c r="GI12" s="435"/>
      <c r="GJ12" s="435"/>
      <c r="GK12" s="435"/>
      <c r="GL12" s="435"/>
      <c r="GM12" s="435"/>
      <c r="GN12" s="435"/>
      <c r="GO12" s="435"/>
      <c r="GP12" s="435"/>
      <c r="GQ12" s="435"/>
      <c r="GR12" s="435"/>
      <c r="GS12" s="435"/>
      <c r="GT12" s="435"/>
      <c r="GU12" s="435"/>
      <c r="GV12" s="435"/>
      <c r="GW12" s="435"/>
      <c r="GX12" s="435"/>
      <c r="GY12" s="435"/>
      <c r="GZ12" s="443"/>
    </row>
    <row r="13" spans="1:208" ht="15" hidden="1" customHeight="1" thickBot="1" x14ac:dyDescent="0.3">
      <c r="A13" s="204"/>
      <c r="B13" s="201"/>
      <c r="C13" s="205"/>
      <c r="D13" s="206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8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4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88"/>
      <c r="CS13" s="289"/>
      <c r="CT13" s="289"/>
      <c r="CU13" s="289"/>
      <c r="CV13" s="289"/>
      <c r="CW13" s="289"/>
      <c r="CX13" s="289"/>
      <c r="CY13" s="289"/>
      <c r="CZ13" s="289"/>
      <c r="DA13" s="289"/>
      <c r="DB13" s="289"/>
      <c r="DC13" s="289"/>
      <c r="DD13" s="289"/>
      <c r="DE13" s="289"/>
      <c r="DF13" s="289"/>
      <c r="DG13" s="289"/>
      <c r="DH13" s="289"/>
      <c r="DI13" s="289"/>
      <c r="DJ13" s="289"/>
      <c r="DK13" s="289"/>
      <c r="DL13" s="289"/>
      <c r="DM13" s="289"/>
      <c r="DN13" s="289"/>
      <c r="DO13" s="289"/>
      <c r="DP13" s="289"/>
      <c r="DQ13" s="289"/>
      <c r="DR13" s="289"/>
      <c r="DS13" s="289"/>
      <c r="DT13" s="289"/>
      <c r="DU13" s="289"/>
      <c r="DV13" s="352"/>
      <c r="DW13" s="288"/>
      <c r="DX13" s="289"/>
      <c r="DY13" s="289"/>
      <c r="DZ13" s="289"/>
      <c r="EA13" s="289"/>
      <c r="EB13" s="289"/>
      <c r="EC13" s="289"/>
      <c r="ED13" s="289"/>
      <c r="EE13" s="289"/>
      <c r="EF13" s="289"/>
      <c r="EG13" s="289"/>
      <c r="EH13" s="289"/>
      <c r="EI13" s="289"/>
      <c r="EJ13" s="289"/>
      <c r="EK13" s="289"/>
      <c r="EL13" s="289"/>
      <c r="EM13" s="289"/>
      <c r="EN13" s="289"/>
      <c r="EO13" s="289"/>
      <c r="EP13" s="289"/>
      <c r="EQ13" s="289"/>
      <c r="ER13" s="289"/>
      <c r="ES13" s="289"/>
      <c r="ET13" s="289"/>
      <c r="EU13" s="289"/>
      <c r="EV13" s="289"/>
      <c r="EW13" s="289"/>
      <c r="EX13" s="289"/>
      <c r="EY13" s="289"/>
      <c r="EZ13" s="289"/>
      <c r="FA13" s="288"/>
      <c r="FB13" s="289"/>
      <c r="FC13" s="289"/>
      <c r="FD13" s="289"/>
      <c r="FE13" s="289"/>
      <c r="FF13" s="289"/>
      <c r="FG13" s="289"/>
      <c r="FH13" s="289"/>
      <c r="FI13" s="289"/>
      <c r="FJ13" s="289"/>
      <c r="FK13" s="289"/>
      <c r="FL13" s="289"/>
      <c r="FM13" s="289"/>
      <c r="FN13" s="289"/>
      <c r="FO13" s="289"/>
      <c r="FP13" s="289"/>
      <c r="FQ13" s="289"/>
      <c r="FR13" s="289"/>
      <c r="FS13" s="289"/>
      <c r="FT13" s="289"/>
      <c r="FU13" s="289"/>
      <c r="FV13" s="289"/>
      <c r="FW13" s="289"/>
      <c r="FX13" s="289"/>
      <c r="FY13" s="289"/>
      <c r="FZ13" s="289"/>
      <c r="GA13" s="289"/>
      <c r="GB13" s="289"/>
      <c r="GC13" s="289"/>
      <c r="GD13" s="289"/>
      <c r="GE13" s="289"/>
      <c r="GF13" s="288"/>
      <c r="GG13" s="289"/>
      <c r="GH13" s="289"/>
      <c r="GI13" s="289"/>
      <c r="GJ13" s="289"/>
      <c r="GK13" s="289"/>
      <c r="GL13" s="289"/>
      <c r="GM13" s="289"/>
      <c r="GN13" s="289"/>
      <c r="GO13" s="289"/>
      <c r="GP13" s="289"/>
      <c r="GQ13" s="289"/>
      <c r="GR13" s="289"/>
      <c r="GS13" s="289"/>
      <c r="GT13" s="289"/>
      <c r="GU13" s="289"/>
      <c r="GV13" s="289"/>
      <c r="GW13" s="289"/>
      <c r="GX13" s="289"/>
      <c r="GY13" s="289"/>
      <c r="GZ13" s="444"/>
    </row>
    <row r="14" spans="1:208" ht="15" hidden="1" customHeight="1" thickBot="1" x14ac:dyDescent="0.3">
      <c r="A14" s="482"/>
      <c r="B14" s="481" t="s">
        <v>16</v>
      </c>
      <c r="C14" s="25" t="s">
        <v>82</v>
      </c>
      <c r="D14" s="32" t="s">
        <v>86</v>
      </c>
      <c r="E14" s="71">
        <f>+Columns!O79</f>
        <v>2</v>
      </c>
      <c r="F14" s="37">
        <f>+Columns!P79</f>
        <v>2</v>
      </c>
      <c r="G14" s="37">
        <f>+Columns!Q79</f>
        <v>0</v>
      </c>
      <c r="H14" s="37">
        <f>+Columns!R79</f>
        <v>1</v>
      </c>
      <c r="I14" s="37">
        <f>+Columns!S79</f>
        <v>1</v>
      </c>
      <c r="J14" s="37">
        <f>+Columns!T79</f>
        <v>0</v>
      </c>
      <c r="K14" s="37">
        <f>+Columns!U79</f>
        <v>0</v>
      </c>
      <c r="L14" s="37">
        <f>+Columns!V79</f>
        <v>0</v>
      </c>
      <c r="M14" s="37">
        <f>+Columns!W79</f>
        <v>0</v>
      </c>
      <c r="N14" s="37">
        <f>+Columns!X79</f>
        <v>0</v>
      </c>
      <c r="O14" s="37">
        <f>+Columns!Y79</f>
        <v>0</v>
      </c>
      <c r="P14" s="37">
        <f>+Columns!Z79</f>
        <v>0</v>
      </c>
      <c r="Q14" s="37">
        <f>+Columns!AA79</f>
        <v>0</v>
      </c>
      <c r="R14" s="37">
        <f>+Columns!AB79</f>
        <v>0</v>
      </c>
      <c r="S14" s="37">
        <f>+Columns!AC79</f>
        <v>0</v>
      </c>
      <c r="T14" s="37">
        <f>+Columns!AD79</f>
        <v>0</v>
      </c>
      <c r="U14" s="37">
        <f>+Columns!AE79</f>
        <v>0</v>
      </c>
      <c r="V14" s="37">
        <f>+Columns!AF79</f>
        <v>0</v>
      </c>
      <c r="W14" s="37">
        <f>+Columns!AG79</f>
        <v>0</v>
      </c>
      <c r="X14" s="37">
        <f>+Columns!AH79</f>
        <v>0</v>
      </c>
      <c r="Y14" s="37">
        <f>+Columns!AI79</f>
        <v>0</v>
      </c>
      <c r="Z14" s="37">
        <f>+Columns!AJ79</f>
        <v>0</v>
      </c>
      <c r="AA14" s="37">
        <f>+Columns!AK79</f>
        <v>0</v>
      </c>
      <c r="AB14" s="37">
        <f>+Columns!AL79</f>
        <v>0</v>
      </c>
      <c r="AC14" s="37">
        <f>+Columns!AM79</f>
        <v>0</v>
      </c>
      <c r="AD14" s="37">
        <f>+Columns!AN79</f>
        <v>0</v>
      </c>
      <c r="AE14" s="37">
        <f>+Columns!AO79</f>
        <v>0</v>
      </c>
      <c r="AF14" s="276">
        <f>+Columns!AP79</f>
        <v>0</v>
      </c>
      <c r="AG14" s="165">
        <f>+Columns!AQ79</f>
        <v>0</v>
      </c>
      <c r="AH14" s="71">
        <f>+Columns!AR79</f>
        <v>0</v>
      </c>
      <c r="AI14" s="37">
        <f>+Columns!AS79</f>
        <v>0</v>
      </c>
      <c r="AJ14" s="37">
        <f>+Columns!AT79</f>
        <v>0</v>
      </c>
      <c r="AK14" s="37">
        <f>+Columns!AU79</f>
        <v>0</v>
      </c>
      <c r="AL14" s="37">
        <f>+Columns!AV79</f>
        <v>0</v>
      </c>
      <c r="AM14" s="37">
        <f>+Columns!AW79</f>
        <v>0</v>
      </c>
      <c r="AN14" s="37">
        <f>+Columns!AX79</f>
        <v>1</v>
      </c>
      <c r="AO14" s="37">
        <f>+Columns!AY79</f>
        <v>0</v>
      </c>
      <c r="AP14" s="37">
        <f>+Columns!AZ79</f>
        <v>5</v>
      </c>
      <c r="AQ14" s="37">
        <f>+Columns!BA79</f>
        <v>2</v>
      </c>
      <c r="AR14" s="37">
        <f>+Columns!BB79</f>
        <v>3</v>
      </c>
      <c r="AS14" s="37">
        <f>+Columns!BC79</f>
        <v>2</v>
      </c>
      <c r="AT14" s="37">
        <f>+Columns!BD79</f>
        <v>0</v>
      </c>
      <c r="AU14" s="37">
        <f>+Columns!BE79</f>
        <v>2</v>
      </c>
      <c r="AV14" s="37">
        <f>+Columns!BF79</f>
        <v>0</v>
      </c>
      <c r="AW14" s="37">
        <f>+Columns!BG79</f>
        <v>2</v>
      </c>
      <c r="AX14" s="37">
        <f>+Columns!BH79</f>
        <v>2</v>
      </c>
      <c r="AY14" s="37">
        <f>+Columns!BI79</f>
        <v>0</v>
      </c>
      <c r="AZ14" s="37">
        <f>+Columns!BJ79</f>
        <v>0</v>
      </c>
      <c r="BA14" s="37">
        <f>+Columns!BK79</f>
        <v>0</v>
      </c>
      <c r="BB14" s="37">
        <f>+Columns!BL79</f>
        <v>0</v>
      </c>
      <c r="BC14" s="37">
        <f>+Columns!BM79</f>
        <v>0</v>
      </c>
      <c r="BD14" s="37">
        <f>+Columns!BN79</f>
        <v>0</v>
      </c>
      <c r="BE14" s="37">
        <f>+Columns!BO79</f>
        <v>5</v>
      </c>
      <c r="BF14" s="37">
        <f>+Columns!BP79</f>
        <v>3</v>
      </c>
      <c r="BG14" s="37">
        <f>+Columns!BQ79</f>
        <v>0</v>
      </c>
      <c r="BH14" s="37">
        <f>+Columns!BR79</f>
        <v>0</v>
      </c>
      <c r="BI14" s="37">
        <f>+Columns!BS79</f>
        <v>0</v>
      </c>
      <c r="BJ14" s="37">
        <f>+Columns!BT79</f>
        <v>0</v>
      </c>
      <c r="BK14" s="37">
        <f>+Columns!BU79</f>
        <v>0</v>
      </c>
      <c r="BL14" s="276">
        <f>+Columns!BV79</f>
        <v>0</v>
      </c>
      <c r="BM14" s="247">
        <f>+Columns!BW79</f>
        <v>0</v>
      </c>
      <c r="BN14" s="71">
        <f>+Columns!BX79</f>
        <v>5</v>
      </c>
      <c r="BO14" s="37">
        <f>+Columns!BY79</f>
        <v>4</v>
      </c>
      <c r="BP14" s="37">
        <f>+Columns!BZ79</f>
        <v>0</v>
      </c>
      <c r="BQ14" s="37">
        <f>+Columns!CA79</f>
        <v>1</v>
      </c>
      <c r="BR14" s="37">
        <f>+Columns!CB79</f>
        <v>2</v>
      </c>
      <c r="BS14" s="37">
        <f>+Columns!CC79</f>
        <v>0</v>
      </c>
      <c r="BT14" s="37">
        <f>+Columns!CD79</f>
        <v>0</v>
      </c>
      <c r="BU14" s="37">
        <f>+Columns!CE79</f>
        <v>0</v>
      </c>
      <c r="BV14" s="37">
        <f>+Columns!CF79</f>
        <v>0</v>
      </c>
      <c r="BW14" s="37">
        <f>+Columns!CG79</f>
        <v>0</v>
      </c>
      <c r="BX14" s="37">
        <f>+Columns!CH79</f>
        <v>0</v>
      </c>
      <c r="BY14" s="37">
        <f>+Columns!CI79</f>
        <v>4</v>
      </c>
      <c r="BZ14" s="37">
        <f>+Columns!CJ79</f>
        <v>2</v>
      </c>
      <c r="CA14" s="37">
        <f>+Columns!CK79</f>
        <v>0</v>
      </c>
      <c r="CB14" s="37">
        <f>+Columns!CL79</f>
        <v>0</v>
      </c>
      <c r="CC14" s="37">
        <f>+Columns!CM79</f>
        <v>0</v>
      </c>
      <c r="CD14" s="37">
        <f>+Columns!CN79</f>
        <v>0</v>
      </c>
      <c r="CE14" s="37">
        <f>+Columns!CO79</f>
        <v>4</v>
      </c>
      <c r="CF14" s="37">
        <f>+Columns!CP79</f>
        <v>3</v>
      </c>
      <c r="CG14" s="37">
        <f>+Columns!CQ79</f>
        <v>4</v>
      </c>
      <c r="CH14" s="37">
        <f>+Columns!CR79</f>
        <v>1</v>
      </c>
      <c r="CI14" s="37">
        <f>+Columns!CS79</f>
        <v>1</v>
      </c>
      <c r="CJ14" s="37">
        <f>+Columns!CT79</f>
        <v>0</v>
      </c>
      <c r="CK14" s="37">
        <f>+Columns!CU79</f>
        <v>0</v>
      </c>
      <c r="CL14" s="37">
        <f>+Columns!CV79</f>
        <v>0</v>
      </c>
      <c r="CM14" s="37">
        <f>+Columns!CW79</f>
        <v>0</v>
      </c>
      <c r="CN14" s="37">
        <f>+Columns!CX79</f>
        <v>0</v>
      </c>
      <c r="CO14" s="37">
        <f>+Columns!CY79</f>
        <v>0</v>
      </c>
      <c r="CP14" s="37">
        <f>+Columns!CZ79</f>
        <v>0</v>
      </c>
      <c r="CQ14" s="157">
        <f>+Columns!DA79</f>
        <v>0</v>
      </c>
      <c r="CR14" s="71">
        <f>+Columns!DB79</f>
        <v>0</v>
      </c>
      <c r="CS14" s="37">
        <f>+Columns!DC79</f>
        <v>1</v>
      </c>
      <c r="CT14" s="37">
        <f>+Columns!DD79</f>
        <v>0</v>
      </c>
      <c r="CU14" s="37">
        <f>+Columns!DE79</f>
        <v>0</v>
      </c>
      <c r="CV14" s="37">
        <f>+Columns!DF79</f>
        <v>0</v>
      </c>
      <c r="CW14" s="37">
        <f>+Columns!DG79</f>
        <v>1</v>
      </c>
      <c r="CX14" s="37">
        <f>+Columns!DH79</f>
        <v>4</v>
      </c>
      <c r="CY14" s="37">
        <f>+Columns!DI79</f>
        <v>0</v>
      </c>
      <c r="CZ14" s="37">
        <f>+Columns!DJ79</f>
        <v>9</v>
      </c>
      <c r="DA14" s="37">
        <f>+Columns!DK79</f>
        <v>5</v>
      </c>
      <c r="DB14" s="37">
        <f>+Columns!DL79</f>
        <v>1</v>
      </c>
      <c r="DC14" s="37">
        <f>+Columns!DM79</f>
        <v>4</v>
      </c>
      <c r="DD14" s="37">
        <f>+Columns!DN79</f>
        <v>0</v>
      </c>
      <c r="DE14" s="37">
        <f>+Columns!DO79</f>
        <v>1</v>
      </c>
      <c r="DF14" s="37">
        <f>+Columns!DP79</f>
        <v>0</v>
      </c>
      <c r="DG14" s="37">
        <f>+Columns!DQ79</f>
        <v>0</v>
      </c>
      <c r="DH14" s="37">
        <f>+Columns!DR79</f>
        <v>0</v>
      </c>
      <c r="DI14" s="37">
        <f>+Columns!DS79</f>
        <v>0</v>
      </c>
      <c r="DJ14" s="37">
        <f>+Columns!DT79</f>
        <v>0</v>
      </c>
      <c r="DK14" s="37">
        <f>+Columns!DU79</f>
        <v>0</v>
      </c>
      <c r="DL14" s="37">
        <f>+Columns!DV79</f>
        <v>0</v>
      </c>
      <c r="DM14" s="37">
        <f>+Columns!DW79</f>
        <v>0</v>
      </c>
      <c r="DN14" s="37">
        <f>+Columns!DX79</f>
        <v>0</v>
      </c>
      <c r="DO14" s="37">
        <f>+Columns!DY79</f>
        <v>0</v>
      </c>
      <c r="DP14" s="37">
        <f>+Columns!DZ79</f>
        <v>0</v>
      </c>
      <c r="DQ14" s="37">
        <f>+Columns!EA79</f>
        <v>0</v>
      </c>
      <c r="DR14" s="37">
        <f>+Columns!EB79</f>
        <v>0</v>
      </c>
      <c r="DS14" s="37">
        <f>+Columns!EC79</f>
        <v>0</v>
      </c>
      <c r="DT14" s="37">
        <f>+Columns!ED79</f>
        <v>0</v>
      </c>
      <c r="DU14" s="37">
        <f>+Columns!EE79</f>
        <v>0</v>
      </c>
      <c r="DV14" s="276">
        <f>+Columns!EF79</f>
        <v>0</v>
      </c>
      <c r="DW14" s="71">
        <f>+Columns!EG79</f>
        <v>0</v>
      </c>
      <c r="DX14" s="37">
        <f>+Columns!EH79</f>
        <v>0</v>
      </c>
      <c r="DY14" s="37">
        <f>+Columns!EI79</f>
        <v>0</v>
      </c>
      <c r="DZ14" s="37">
        <f>+Columns!EJ79</f>
        <v>0</v>
      </c>
      <c r="EA14" s="37">
        <f>+Columns!EK79</f>
        <v>0</v>
      </c>
      <c r="EB14" s="37">
        <f>+Columns!EL79</f>
        <v>0</v>
      </c>
      <c r="EC14" s="37">
        <f>+Columns!EM79</f>
        <v>0</v>
      </c>
      <c r="ED14" s="37">
        <f>+Columns!EN79</f>
        <v>0</v>
      </c>
      <c r="EE14" s="37">
        <f>+Columns!EO79</f>
        <v>0</v>
      </c>
      <c r="EF14" s="37">
        <f>+Columns!EP79</f>
        <v>0</v>
      </c>
      <c r="EG14" s="37">
        <f>+Columns!EQ79</f>
        <v>0</v>
      </c>
      <c r="EH14" s="37">
        <f>+Columns!ER79</f>
        <v>0</v>
      </c>
      <c r="EI14" s="37">
        <f>+Columns!ES79</f>
        <v>0</v>
      </c>
      <c r="EJ14" s="37">
        <f>+Columns!ET79</f>
        <v>0</v>
      </c>
      <c r="EK14" s="37">
        <f>+Columns!EU79</f>
        <v>0</v>
      </c>
      <c r="EL14" s="37">
        <f>+Columns!EV79</f>
        <v>0</v>
      </c>
      <c r="EM14" s="37">
        <f>+Columns!EW79</f>
        <v>0</v>
      </c>
      <c r="EN14" s="37">
        <f>+Columns!EX79</f>
        <v>0</v>
      </c>
      <c r="EO14" s="37">
        <f>+Columns!EY79</f>
        <v>0</v>
      </c>
      <c r="EP14" s="37">
        <f>+Columns!EZ79</f>
        <v>0</v>
      </c>
      <c r="EQ14" s="37">
        <f>+Columns!FA79</f>
        <v>0</v>
      </c>
      <c r="ER14" s="37">
        <f>+Columns!FB79</f>
        <v>0</v>
      </c>
      <c r="ES14" s="37">
        <f>+Columns!FC79</f>
        <v>0</v>
      </c>
      <c r="ET14" s="37">
        <f>+Columns!FD79</f>
        <v>0</v>
      </c>
      <c r="EU14" s="37">
        <f>+Columns!FE79</f>
        <v>0</v>
      </c>
      <c r="EV14" s="37">
        <f>+Columns!FF79</f>
        <v>0</v>
      </c>
      <c r="EW14" s="37">
        <f>+Columns!FG79</f>
        <v>0</v>
      </c>
      <c r="EX14" s="37">
        <f>+Columns!FH79</f>
        <v>0</v>
      </c>
      <c r="EY14" s="37">
        <f>+Columns!FI79</f>
        <v>0</v>
      </c>
      <c r="EZ14" s="157">
        <f>+Columns!FJ79</f>
        <v>0</v>
      </c>
      <c r="FA14" s="71">
        <f>+Columns!FK79</f>
        <v>0</v>
      </c>
      <c r="FB14" s="37">
        <f>+Columns!FL79</f>
        <v>0</v>
      </c>
      <c r="FC14" s="37">
        <f>+Columns!FM79</f>
        <v>0</v>
      </c>
      <c r="FD14" s="37">
        <f>+Columns!FN79</f>
        <v>0</v>
      </c>
      <c r="FE14" s="37">
        <f>+Columns!FO79</f>
        <v>0</v>
      </c>
      <c r="FF14" s="37">
        <f>+Columns!FP79</f>
        <v>0</v>
      </c>
      <c r="FG14" s="37">
        <f>+Columns!FQ79</f>
        <v>0</v>
      </c>
      <c r="FH14" s="37">
        <f>+Columns!FR79</f>
        <v>0</v>
      </c>
      <c r="FI14" s="37">
        <f>+Columns!FS79</f>
        <v>0</v>
      </c>
      <c r="FJ14" s="37">
        <f>+Columns!FT79</f>
        <v>0</v>
      </c>
      <c r="FK14" s="37">
        <f>+Columns!FU79</f>
        <v>0</v>
      </c>
      <c r="FL14" s="37">
        <f>+Columns!FV79</f>
        <v>0</v>
      </c>
      <c r="FM14" s="37">
        <f>+Columns!FW79</f>
        <v>0</v>
      </c>
      <c r="FN14" s="37">
        <f>+Columns!FX79</f>
        <v>0</v>
      </c>
      <c r="FO14" s="37">
        <f>+Columns!FY79</f>
        <v>0</v>
      </c>
      <c r="FP14" s="37">
        <f>+Columns!FZ79</f>
        <v>0</v>
      </c>
      <c r="FQ14" s="37">
        <f>+Columns!GA79</f>
        <v>0</v>
      </c>
      <c r="FR14" s="37">
        <f>+Columns!GB79</f>
        <v>0</v>
      </c>
      <c r="FS14" s="37">
        <f>+Columns!GC79</f>
        <v>0</v>
      </c>
      <c r="FT14" s="37">
        <f>+Columns!GD79</f>
        <v>0</v>
      </c>
      <c r="FU14" s="37">
        <f>+Columns!GE79</f>
        <v>0</v>
      </c>
      <c r="FV14" s="37">
        <f>+Columns!GF79</f>
        <v>0</v>
      </c>
      <c r="FW14" s="37">
        <f>+Columns!GG79</f>
        <v>0</v>
      </c>
      <c r="FX14" s="37">
        <f>+Columns!GH79</f>
        <v>0</v>
      </c>
      <c r="FY14" s="37">
        <f>+Columns!GI79</f>
        <v>0</v>
      </c>
      <c r="FZ14" s="37">
        <f>+Columns!GJ79</f>
        <v>0</v>
      </c>
      <c r="GA14" s="37">
        <f>+Columns!GK79</f>
        <v>0</v>
      </c>
      <c r="GB14" s="37">
        <f>+Columns!GL79</f>
        <v>0</v>
      </c>
      <c r="GC14" s="37">
        <f>+Columns!GM79</f>
        <v>0</v>
      </c>
      <c r="GD14" s="37">
        <f>+Columns!GN79</f>
        <v>0</v>
      </c>
      <c r="GE14" s="157">
        <f>+Columns!GO79</f>
        <v>0</v>
      </c>
      <c r="GF14" s="389"/>
      <c r="GG14" s="154"/>
      <c r="GH14" s="154"/>
      <c r="GI14" s="154"/>
      <c r="GJ14" s="154"/>
      <c r="GK14" s="154"/>
      <c r="GL14" s="154"/>
      <c r="GM14" s="154"/>
      <c r="GN14" s="154"/>
      <c r="GO14" s="154"/>
      <c r="GP14" s="154"/>
      <c r="GQ14" s="154"/>
      <c r="GR14" s="154"/>
      <c r="GS14" s="154"/>
      <c r="GT14" s="154"/>
      <c r="GU14" s="154"/>
      <c r="GV14" s="154"/>
      <c r="GW14" s="154"/>
      <c r="GX14" s="154"/>
      <c r="GY14" s="154"/>
      <c r="GZ14" s="168"/>
    </row>
    <row r="15" spans="1:208" ht="15" hidden="1" customHeight="1" thickBot="1" x14ac:dyDescent="0.3">
      <c r="A15" s="479"/>
      <c r="B15" s="474"/>
      <c r="C15" s="23" t="s">
        <v>81</v>
      </c>
      <c r="D15" s="2" t="s">
        <v>87</v>
      </c>
      <c r="E15" s="13">
        <f>+'Internal Wall'!O92</f>
        <v>0</v>
      </c>
      <c r="F15" s="13">
        <f>+'Internal Wall'!P92</f>
        <v>0</v>
      </c>
      <c r="G15" s="13">
        <f>+'Internal Wall'!Q92</f>
        <v>9.5</v>
      </c>
      <c r="H15" s="13">
        <f>+'Internal Wall'!R92</f>
        <v>0</v>
      </c>
      <c r="I15" s="13">
        <f>+'Internal Wall'!S92</f>
        <v>10</v>
      </c>
      <c r="J15" s="13">
        <f>+'Internal Wall'!T92</f>
        <v>0</v>
      </c>
      <c r="K15" s="13">
        <f>+'Internal Wall'!U92</f>
        <v>17.600000000000001</v>
      </c>
      <c r="L15" s="13">
        <f>+'Internal Wall'!V92</f>
        <v>0</v>
      </c>
      <c r="M15" s="13">
        <f>+'Internal Wall'!W92</f>
        <v>0</v>
      </c>
      <c r="N15" s="13">
        <f>+'Internal Wall'!X92</f>
        <v>0</v>
      </c>
      <c r="O15" s="13">
        <f>+'Internal Wall'!Y92</f>
        <v>27.8</v>
      </c>
      <c r="P15" s="13">
        <f>+'Internal Wall'!Z92</f>
        <v>0</v>
      </c>
      <c r="Q15" s="13">
        <f>+'Internal Wall'!AA92</f>
        <v>0</v>
      </c>
      <c r="R15" s="13">
        <f>+'Internal Wall'!AB92</f>
        <v>0</v>
      </c>
      <c r="S15" s="13">
        <f>+'Internal Wall'!AC92</f>
        <v>0</v>
      </c>
      <c r="T15" s="13">
        <f>+'Internal Wall'!AD92</f>
        <v>0</v>
      </c>
      <c r="U15" s="13">
        <f>+'Internal Wall'!AE92</f>
        <v>0</v>
      </c>
      <c r="V15" s="13">
        <f>+'Internal Wall'!AF92</f>
        <v>0</v>
      </c>
      <c r="W15" s="13">
        <f>+'Internal Wall'!AG92</f>
        <v>19</v>
      </c>
      <c r="X15" s="13">
        <f>+'Internal Wall'!AH92</f>
        <v>0</v>
      </c>
      <c r="Y15" s="13">
        <f>+'Internal Wall'!AI92</f>
        <v>0</v>
      </c>
      <c r="Z15" s="13">
        <f>+'Internal Wall'!AJ92</f>
        <v>0</v>
      </c>
      <c r="AA15" s="13">
        <f>+'Internal Wall'!AK92</f>
        <v>0</v>
      </c>
      <c r="AB15" s="13">
        <f>+'Internal Wall'!AL92</f>
        <v>25.5</v>
      </c>
      <c r="AC15" s="13">
        <f>+'Internal Wall'!AM92</f>
        <v>16.5</v>
      </c>
      <c r="AD15" s="13">
        <f>+'Internal Wall'!AN92</f>
        <v>0</v>
      </c>
      <c r="AE15" s="13">
        <f>+'Internal Wall'!AO92</f>
        <v>0</v>
      </c>
      <c r="AF15" s="13">
        <f>+'Internal Wall'!AP92</f>
        <v>16.5</v>
      </c>
      <c r="AG15" s="162">
        <f>+'Internal Wall'!BN92</f>
        <v>0</v>
      </c>
      <c r="AH15" s="13">
        <f>+'Internal Wall'!AR92</f>
        <v>0</v>
      </c>
      <c r="AI15" s="13">
        <f>+'Internal Wall'!AS92</f>
        <v>0</v>
      </c>
      <c r="AJ15" s="13">
        <f>+'Internal Wall'!AT92</f>
        <v>21</v>
      </c>
      <c r="AK15" s="13">
        <f>+'Internal Wall'!AU92</f>
        <v>0</v>
      </c>
      <c r="AL15" s="13">
        <f>+'Internal Wall'!AV92</f>
        <v>0</v>
      </c>
      <c r="AM15" s="13">
        <f>+'Internal Wall'!AW92</f>
        <v>0</v>
      </c>
      <c r="AN15" s="13">
        <f>+'Internal Wall'!AX92</f>
        <v>20</v>
      </c>
      <c r="AO15" s="13">
        <f>+'Internal Wall'!AY92</f>
        <v>9.8000000000000007</v>
      </c>
      <c r="AP15" s="13">
        <f>+'Internal Wall'!AZ92</f>
        <v>0</v>
      </c>
      <c r="AQ15" s="13">
        <f>+'Internal Wall'!BA92</f>
        <v>0</v>
      </c>
      <c r="AR15" s="13">
        <f>+'Internal Wall'!BB92</f>
        <v>0</v>
      </c>
      <c r="AS15" s="13">
        <f>+'Internal Wall'!BC92</f>
        <v>0</v>
      </c>
      <c r="AT15" s="13">
        <f>+'Internal Wall'!BD92</f>
        <v>0</v>
      </c>
      <c r="AU15" s="13">
        <f>+'Internal Wall'!BE92</f>
        <v>0</v>
      </c>
      <c r="AV15" s="13">
        <f>+'Internal Wall'!BF92</f>
        <v>0</v>
      </c>
      <c r="AW15" s="13">
        <f>+'Internal Wall'!BG92</f>
        <v>0</v>
      </c>
      <c r="AX15" s="13">
        <f>+'Internal Wall'!BH92</f>
        <v>0</v>
      </c>
      <c r="AY15" s="13">
        <f>+'Internal Wall'!BI92</f>
        <v>0</v>
      </c>
      <c r="AZ15" s="13">
        <f>+'Internal Wall'!BJ92</f>
        <v>0</v>
      </c>
      <c r="BA15" s="13">
        <f>+'Internal Wall'!BK92</f>
        <v>0</v>
      </c>
      <c r="BB15" s="13">
        <f>+'Internal Wall'!BL92</f>
        <v>0</v>
      </c>
      <c r="BC15" s="13">
        <f>+'Internal Wall'!BM92</f>
        <v>0</v>
      </c>
      <c r="BD15" s="13">
        <f>+'Internal Wall'!BN92</f>
        <v>0</v>
      </c>
      <c r="BE15" s="13">
        <f>+'Internal Wall'!BO92</f>
        <v>0</v>
      </c>
      <c r="BF15" s="13">
        <f>+'Internal Wall'!BP92</f>
        <v>0</v>
      </c>
      <c r="BG15" s="13">
        <f>+'Internal Wall'!BQ92</f>
        <v>0</v>
      </c>
      <c r="BH15" s="13">
        <f>+'Internal Wall'!BR92</f>
        <v>0</v>
      </c>
      <c r="BI15" s="13">
        <f>+'Internal Wall'!BS92</f>
        <v>0</v>
      </c>
      <c r="BJ15" s="13">
        <f>+'Internal Wall'!BT92</f>
        <v>0</v>
      </c>
      <c r="BK15" s="13">
        <f>+'Internal Wall'!BU92</f>
        <v>7</v>
      </c>
      <c r="BL15" s="13">
        <f>+'Internal Wall'!BV92</f>
        <v>0</v>
      </c>
      <c r="BM15" s="247">
        <f>+'Internal Wall'!IR92</f>
        <v>0</v>
      </c>
      <c r="BN15" s="13">
        <f>+'Internal Wall'!BX92</f>
        <v>0</v>
      </c>
      <c r="BO15" s="13">
        <f>+'Internal Wall'!BY92</f>
        <v>0</v>
      </c>
      <c r="BP15" s="13">
        <f>+'Internal Wall'!BZ92</f>
        <v>0</v>
      </c>
      <c r="BQ15" s="13">
        <f>+'Internal Wall'!CA92</f>
        <v>0</v>
      </c>
      <c r="BR15" s="13">
        <f>+'Internal Wall'!CB92</f>
        <v>22</v>
      </c>
      <c r="BS15" s="13">
        <f>+'Internal Wall'!CC92</f>
        <v>0</v>
      </c>
      <c r="BT15" s="13">
        <f>+'Internal Wall'!CD92</f>
        <v>0</v>
      </c>
      <c r="BU15" s="13">
        <f>+'Internal Wall'!CE92</f>
        <v>0</v>
      </c>
      <c r="BV15" s="13">
        <f>+'Internal Wall'!CF92</f>
        <v>0</v>
      </c>
      <c r="BW15" s="13">
        <f>+'Internal Wall'!CG92</f>
        <v>0</v>
      </c>
      <c r="BX15" s="13">
        <f>+'Internal Wall'!CH92</f>
        <v>0</v>
      </c>
      <c r="BY15" s="13">
        <f>+'Internal Wall'!CI92</f>
        <v>20.5</v>
      </c>
      <c r="BZ15" s="13">
        <f>+'Internal Wall'!CJ92</f>
        <v>0</v>
      </c>
      <c r="CA15" s="13">
        <f>+'Internal Wall'!CK92</f>
        <v>0</v>
      </c>
      <c r="CB15" s="13">
        <f>+'Internal Wall'!CL92</f>
        <v>0</v>
      </c>
      <c r="CC15" s="13">
        <f>+'Internal Wall'!CM92</f>
        <v>45</v>
      </c>
      <c r="CD15" s="13">
        <f>+'Internal Wall'!CN92</f>
        <v>0</v>
      </c>
      <c r="CE15" s="13">
        <f>+'Internal Wall'!CO92</f>
        <v>31</v>
      </c>
      <c r="CF15" s="13">
        <f>+'Internal Wall'!CP92</f>
        <v>17.7</v>
      </c>
      <c r="CG15" s="13">
        <f>+'Internal Wall'!CQ92</f>
        <v>0</v>
      </c>
      <c r="CH15" s="13">
        <f>+'Internal Wall'!CR92</f>
        <v>0</v>
      </c>
      <c r="CI15" s="13">
        <f>+'Internal Wall'!CS92</f>
        <v>0</v>
      </c>
      <c r="CJ15" s="13">
        <f>+'Internal Wall'!CT92</f>
        <v>0</v>
      </c>
      <c r="CK15" s="13">
        <f>+'Internal Wall'!CU92</f>
        <v>0</v>
      </c>
      <c r="CL15" s="13">
        <f>+'Internal Wall'!CV92</f>
        <v>0</v>
      </c>
      <c r="CM15" s="13">
        <f>+'Internal Wall'!CW92</f>
        <v>42</v>
      </c>
      <c r="CN15" s="13">
        <f>+'Internal Wall'!CX92</f>
        <v>0</v>
      </c>
      <c r="CO15" s="13">
        <f>+'Internal Wall'!CY92</f>
        <v>0</v>
      </c>
      <c r="CP15" s="13">
        <f>+'Internal Wall'!CZ92</f>
        <v>0</v>
      </c>
      <c r="CQ15" s="101">
        <f>+'Internal Wall'!DA92</f>
        <v>45</v>
      </c>
      <c r="CR15" s="73">
        <f>+'Internal Wall'!DB92</f>
        <v>0</v>
      </c>
      <c r="CS15" s="13">
        <f>+'Internal Wall'!DC92</f>
        <v>15.5</v>
      </c>
      <c r="CT15" s="13">
        <f>+'Internal Wall'!DD92</f>
        <v>0</v>
      </c>
      <c r="CU15" s="13">
        <f>+'Internal Wall'!DE92</f>
        <v>21.5</v>
      </c>
      <c r="CV15" s="13">
        <f>+'Internal Wall'!DF92</f>
        <v>0</v>
      </c>
      <c r="CW15" s="13">
        <f>+'Internal Wall'!DG92</f>
        <v>0</v>
      </c>
      <c r="CX15" s="13">
        <f>+'Internal Wall'!DH92</f>
        <v>20.100000000000001</v>
      </c>
      <c r="CY15" s="13">
        <f>+'Internal Wall'!DI92</f>
        <v>0</v>
      </c>
      <c r="CZ15" s="13">
        <f>+'Internal Wall'!DJ92</f>
        <v>0</v>
      </c>
      <c r="DA15" s="13">
        <f>+'Internal Wall'!DK92</f>
        <v>0</v>
      </c>
      <c r="DB15" s="13">
        <f>+'Internal Wall'!DL92</f>
        <v>23.3</v>
      </c>
      <c r="DC15" s="13">
        <f>+'Internal Wall'!DM92</f>
        <v>0</v>
      </c>
      <c r="DD15" s="13">
        <f>+'Internal Wall'!DN92</f>
        <v>0</v>
      </c>
      <c r="DE15" s="13">
        <f>+'Internal Wall'!DO92</f>
        <v>17.5</v>
      </c>
      <c r="DF15" s="13">
        <f>+'Internal Wall'!DP92</f>
        <v>0</v>
      </c>
      <c r="DG15" s="13">
        <f>+'Internal Wall'!DQ92</f>
        <v>7.6</v>
      </c>
      <c r="DH15" s="13">
        <f>+'Internal Wall'!DR92</f>
        <v>0</v>
      </c>
      <c r="DI15" s="13">
        <f>+'Internal Wall'!DS92</f>
        <v>0</v>
      </c>
      <c r="DJ15" s="13">
        <f>+'Internal Wall'!DT92</f>
        <v>53.7</v>
      </c>
      <c r="DK15" s="13">
        <f>+'Internal Wall'!DU92</f>
        <v>0</v>
      </c>
      <c r="DL15" s="13">
        <f>+'Internal Wall'!DV92</f>
        <v>0</v>
      </c>
      <c r="DM15" s="13">
        <f>+'Internal Wall'!DW92</f>
        <v>0</v>
      </c>
      <c r="DN15" s="13">
        <f>+'Internal Wall'!DX92</f>
        <v>0</v>
      </c>
      <c r="DO15" s="13">
        <f>+'Internal Wall'!DY92</f>
        <v>63.4</v>
      </c>
      <c r="DP15" s="13">
        <f>+'Internal Wall'!DZ92</f>
        <v>0</v>
      </c>
      <c r="DQ15" s="13">
        <f>+'Internal Wall'!EA92</f>
        <v>0</v>
      </c>
      <c r="DR15" s="13">
        <f>+'Internal Wall'!EB92</f>
        <v>0</v>
      </c>
      <c r="DS15" s="13">
        <f>+'Internal Wall'!EC92</f>
        <v>0</v>
      </c>
      <c r="DT15" s="13">
        <f>+'Internal Wall'!ED92</f>
        <v>0</v>
      </c>
      <c r="DU15" s="13">
        <f>+'Internal Wall'!EE92</f>
        <v>0</v>
      </c>
      <c r="DV15" s="274">
        <f>+'Internal Wall'!EF92</f>
        <v>0</v>
      </c>
      <c r="DW15" s="73">
        <f>+'Internal Wall'!EG92</f>
        <v>0</v>
      </c>
      <c r="DX15" s="13">
        <f>+'Internal Wall'!EH92</f>
        <v>0</v>
      </c>
      <c r="DY15" s="13">
        <f>+'Internal Wall'!EI92</f>
        <v>0</v>
      </c>
      <c r="DZ15" s="13">
        <f>+'Internal Wall'!EJ92</f>
        <v>7.1</v>
      </c>
      <c r="EA15" s="13">
        <f>+'Internal Wall'!EK92</f>
        <v>0</v>
      </c>
      <c r="EB15" s="13">
        <f>+'Internal Wall'!EL92</f>
        <v>0</v>
      </c>
      <c r="EC15" s="13">
        <f>+'Internal Wall'!EM92</f>
        <v>0</v>
      </c>
      <c r="ED15" s="13">
        <f>+'Internal Wall'!EN92</f>
        <v>0</v>
      </c>
      <c r="EE15" s="13">
        <f>+'Internal Wall'!EO92</f>
        <v>0</v>
      </c>
      <c r="EF15" s="13">
        <f>+'Internal Wall'!EP92</f>
        <v>0</v>
      </c>
      <c r="EG15" s="13">
        <f>+'Internal Wall'!EQ92</f>
        <v>0</v>
      </c>
      <c r="EH15" s="13">
        <f>+'Internal Wall'!ER92</f>
        <v>0</v>
      </c>
      <c r="EI15" s="13">
        <f>+'Internal Wall'!ES92</f>
        <v>0</v>
      </c>
      <c r="EJ15" s="13">
        <f>+'Internal Wall'!ET92</f>
        <v>0</v>
      </c>
      <c r="EK15" s="13">
        <f>+'Internal Wall'!EU92</f>
        <v>0</v>
      </c>
      <c r="EL15" s="13">
        <f>+'Internal Wall'!EV92</f>
        <v>0</v>
      </c>
      <c r="EM15" s="13">
        <f>+'Internal Wall'!EW92</f>
        <v>0</v>
      </c>
      <c r="EN15" s="13">
        <f>+'Internal Wall'!EX92</f>
        <v>0</v>
      </c>
      <c r="EO15" s="13">
        <f>+'Internal Wall'!EY92</f>
        <v>0</v>
      </c>
      <c r="EP15" s="13">
        <f>+'Internal Wall'!EZ92</f>
        <v>0</v>
      </c>
      <c r="EQ15" s="13">
        <f>+'Internal Wall'!FA92</f>
        <v>0</v>
      </c>
      <c r="ER15" s="13">
        <f>+'Internal Wall'!FB92</f>
        <v>0</v>
      </c>
      <c r="ES15" s="13">
        <f>+'Internal Wall'!FC92</f>
        <v>0</v>
      </c>
      <c r="ET15" s="13">
        <f>+'Internal Wall'!FD92</f>
        <v>0</v>
      </c>
      <c r="EU15" s="13">
        <f>+'Internal Wall'!FE92</f>
        <v>0</v>
      </c>
      <c r="EV15" s="13">
        <f>+'Internal Wall'!FF92</f>
        <v>0</v>
      </c>
      <c r="EW15" s="13">
        <f>+'Internal Wall'!FG92</f>
        <v>0</v>
      </c>
      <c r="EX15" s="13">
        <f>+'Internal Wall'!FH92</f>
        <v>0</v>
      </c>
      <c r="EY15" s="13">
        <f>+'Internal Wall'!FI92</f>
        <v>0</v>
      </c>
      <c r="EZ15" s="101">
        <f>+'Internal Wall'!FJ92</f>
        <v>0</v>
      </c>
      <c r="FA15" s="73">
        <f>+'Internal Wall'!FK92</f>
        <v>0</v>
      </c>
      <c r="FB15" s="13">
        <f>+'Internal Wall'!FL92</f>
        <v>0</v>
      </c>
      <c r="FC15" s="13">
        <f>+'Internal Wall'!FM92</f>
        <v>0</v>
      </c>
      <c r="FD15" s="13">
        <f>+'Internal Wall'!FN92</f>
        <v>0</v>
      </c>
      <c r="FE15" s="13">
        <f>+'Internal Wall'!FO92</f>
        <v>0</v>
      </c>
      <c r="FF15" s="13">
        <f>+'Internal Wall'!FP92</f>
        <v>0</v>
      </c>
      <c r="FG15" s="13">
        <f>+'Internal Wall'!FQ92</f>
        <v>0</v>
      </c>
      <c r="FH15" s="13">
        <f>+'Internal Wall'!FR92</f>
        <v>0</v>
      </c>
      <c r="FI15" s="13">
        <f>+'Internal Wall'!FS92</f>
        <v>0</v>
      </c>
      <c r="FJ15" s="13">
        <f>+'Internal Wall'!FT92</f>
        <v>0</v>
      </c>
      <c r="FK15" s="13">
        <f>+'Internal Wall'!FU92</f>
        <v>0</v>
      </c>
      <c r="FL15" s="13">
        <f>+'Internal Wall'!FV92</f>
        <v>0</v>
      </c>
      <c r="FM15" s="13">
        <f>+'Internal Wall'!FW92</f>
        <v>0</v>
      </c>
      <c r="FN15" s="13">
        <f>+'Internal Wall'!FX92</f>
        <v>0</v>
      </c>
      <c r="FO15" s="13">
        <f>+'Internal Wall'!FY92</f>
        <v>0</v>
      </c>
      <c r="FP15" s="13">
        <f>+'Internal Wall'!FZ92</f>
        <v>0</v>
      </c>
      <c r="FQ15" s="13">
        <f>+'Internal Wall'!GA92</f>
        <v>0</v>
      </c>
      <c r="FR15" s="13">
        <f>+'Internal Wall'!GB92</f>
        <v>0</v>
      </c>
      <c r="FS15" s="13">
        <f>+'Internal Wall'!GC92</f>
        <v>0</v>
      </c>
      <c r="FT15" s="13">
        <f>+'Internal Wall'!GD92</f>
        <v>0</v>
      </c>
      <c r="FU15" s="13">
        <f>+'Internal Wall'!GE92</f>
        <v>0</v>
      </c>
      <c r="FV15" s="13">
        <f>+'Internal Wall'!GF92</f>
        <v>0</v>
      </c>
      <c r="FW15" s="13">
        <f>+'Internal Wall'!GG92</f>
        <v>0</v>
      </c>
      <c r="FX15" s="13">
        <f>+'Internal Wall'!GH92</f>
        <v>0</v>
      </c>
      <c r="FY15" s="13">
        <f>+'Internal Wall'!GI92</f>
        <v>0</v>
      </c>
      <c r="FZ15" s="13">
        <f>+'Internal Wall'!GJ92</f>
        <v>0</v>
      </c>
      <c r="GA15" s="13">
        <f>+'Internal Wall'!GK92</f>
        <v>0</v>
      </c>
      <c r="GB15" s="13">
        <f>+'Internal Wall'!GL92</f>
        <v>0</v>
      </c>
      <c r="GC15" s="13">
        <f>+'Internal Wall'!GM92</f>
        <v>0</v>
      </c>
      <c r="GD15" s="13">
        <f>+'Internal Wall'!GN92</f>
        <v>0</v>
      </c>
      <c r="GE15" s="101">
        <f>+'Internal Wall'!GO92</f>
        <v>0</v>
      </c>
      <c r="GF15" s="436"/>
      <c r="GG15" s="424"/>
      <c r="GH15" s="424"/>
      <c r="GI15" s="424"/>
      <c r="GJ15" s="424"/>
      <c r="GK15" s="424"/>
      <c r="GL15" s="424"/>
      <c r="GM15" s="424"/>
      <c r="GN15" s="424"/>
      <c r="GO15" s="424"/>
      <c r="GP15" s="424"/>
      <c r="GQ15" s="424"/>
      <c r="GR15" s="424"/>
      <c r="GS15" s="424"/>
      <c r="GT15" s="424"/>
      <c r="GU15" s="424"/>
      <c r="GV15" s="424"/>
      <c r="GW15" s="424"/>
      <c r="GX15" s="424"/>
      <c r="GY15" s="424"/>
      <c r="GZ15" s="442"/>
    </row>
    <row r="16" spans="1:208" ht="15" hidden="1" customHeight="1" thickBot="1" x14ac:dyDescent="0.3">
      <c r="A16" s="479"/>
      <c r="B16" s="474"/>
      <c r="C16" s="23" t="s">
        <v>83</v>
      </c>
      <c r="D16" s="2" t="s">
        <v>87</v>
      </c>
      <c r="E16" s="73">
        <f>+'External Wall'!O42</f>
        <v>0</v>
      </c>
      <c r="F16" s="13">
        <f>+'External Wall'!P42</f>
        <v>0</v>
      </c>
      <c r="G16" s="13">
        <f>+'External Wall'!Q42</f>
        <v>0</v>
      </c>
      <c r="H16" s="13">
        <f>+'External Wall'!R42</f>
        <v>0</v>
      </c>
      <c r="I16" s="13">
        <f>+'External Wall'!S42</f>
        <v>0</v>
      </c>
      <c r="J16" s="13">
        <f>+'External Wall'!T42</f>
        <v>0</v>
      </c>
      <c r="K16" s="13">
        <f>+'External Wall'!U42</f>
        <v>0</v>
      </c>
      <c r="L16" s="13">
        <f>+'External Wall'!V42</f>
        <v>0</v>
      </c>
      <c r="M16" s="13">
        <f>+'External Wall'!W42</f>
        <v>0</v>
      </c>
      <c r="N16" s="13">
        <f>+'External Wall'!X42</f>
        <v>0</v>
      </c>
      <c r="O16" s="13">
        <f>+'External Wall'!Y42</f>
        <v>0</v>
      </c>
      <c r="P16" s="13">
        <f>+'External Wall'!Z42</f>
        <v>0</v>
      </c>
      <c r="Q16" s="13">
        <f>+'External Wall'!AA42</f>
        <v>0</v>
      </c>
      <c r="R16" s="13">
        <f>+'External Wall'!AB42</f>
        <v>0</v>
      </c>
      <c r="S16" s="13">
        <f>+'External Wall'!AC42</f>
        <v>0</v>
      </c>
      <c r="T16" s="13">
        <f>+'External Wall'!AD42</f>
        <v>0</v>
      </c>
      <c r="U16" s="13">
        <f>+'External Wall'!AE42</f>
        <v>0</v>
      </c>
      <c r="V16" s="13">
        <f>+'External Wall'!AF42</f>
        <v>0</v>
      </c>
      <c r="W16" s="13">
        <f>+'External Wall'!AG42</f>
        <v>0</v>
      </c>
      <c r="X16" s="13">
        <f>+'External Wall'!AH42</f>
        <v>0</v>
      </c>
      <c r="Y16" s="13">
        <f>+'External Wall'!AI42</f>
        <v>0</v>
      </c>
      <c r="Z16" s="13">
        <f>+'External Wall'!AJ42</f>
        <v>0</v>
      </c>
      <c r="AA16" s="13">
        <f>+'External Wall'!AK42</f>
        <v>0</v>
      </c>
      <c r="AB16" s="13">
        <f>+'External Wall'!AL42</f>
        <v>0</v>
      </c>
      <c r="AC16" s="13">
        <f>+'External Wall'!AM42</f>
        <v>0</v>
      </c>
      <c r="AD16" s="13">
        <f>+'External Wall'!AN42</f>
        <v>0</v>
      </c>
      <c r="AE16" s="13">
        <f>+'External Wall'!AO42</f>
        <v>0</v>
      </c>
      <c r="AF16" s="274">
        <f>+'External Wall'!AP42</f>
        <v>0</v>
      </c>
      <c r="AG16" s="162">
        <f>+'External Wall'!AQ42</f>
        <v>0</v>
      </c>
      <c r="AH16" s="73">
        <f>+'External Wall'!AR42</f>
        <v>0</v>
      </c>
      <c r="AI16" s="13">
        <f>+'External Wall'!AS42</f>
        <v>0</v>
      </c>
      <c r="AJ16" s="13">
        <f>+'External Wall'!AT42</f>
        <v>0</v>
      </c>
      <c r="AK16" s="13">
        <f>+'External Wall'!AU42</f>
        <v>0</v>
      </c>
      <c r="AL16" s="13">
        <f>+'External Wall'!AV42</f>
        <v>0</v>
      </c>
      <c r="AM16" s="13">
        <f>+'External Wall'!AW42</f>
        <v>0</v>
      </c>
      <c r="AN16" s="13">
        <f>+'External Wall'!AX42</f>
        <v>0</v>
      </c>
      <c r="AO16" s="13">
        <f>+'External Wall'!AY42</f>
        <v>0</v>
      </c>
      <c r="AP16" s="13">
        <f>+'External Wall'!AZ42</f>
        <v>0</v>
      </c>
      <c r="AQ16" s="13">
        <f>+'External Wall'!BA42</f>
        <v>0</v>
      </c>
      <c r="AR16" s="13">
        <f>+'External Wall'!BB42</f>
        <v>0</v>
      </c>
      <c r="AS16" s="13">
        <f>+'External Wall'!BC42</f>
        <v>0</v>
      </c>
      <c r="AT16" s="13">
        <f>+'External Wall'!BD42</f>
        <v>0</v>
      </c>
      <c r="AU16" s="13">
        <f>+'External Wall'!BE42</f>
        <v>0</v>
      </c>
      <c r="AV16" s="13">
        <f>+'External Wall'!BF42</f>
        <v>0</v>
      </c>
      <c r="AW16" s="13">
        <f>+'External Wall'!BG42</f>
        <v>0</v>
      </c>
      <c r="AX16" s="13">
        <f>+'External Wall'!BH42</f>
        <v>0</v>
      </c>
      <c r="AY16" s="13">
        <f>+'External Wall'!BI42</f>
        <v>0</v>
      </c>
      <c r="AZ16" s="13">
        <f>+'External Wall'!BJ42</f>
        <v>0</v>
      </c>
      <c r="BA16" s="13">
        <f>+'External Wall'!BK42</f>
        <v>0</v>
      </c>
      <c r="BB16" s="13">
        <f>+'External Wall'!BL42</f>
        <v>0</v>
      </c>
      <c r="BC16" s="13">
        <f>+'External Wall'!BM42</f>
        <v>0</v>
      </c>
      <c r="BD16" s="13">
        <f>+'External Wall'!BN42</f>
        <v>0</v>
      </c>
      <c r="BE16" s="13">
        <f>+'External Wall'!BO42</f>
        <v>0</v>
      </c>
      <c r="BF16" s="13">
        <f>+'External Wall'!BP42</f>
        <v>0</v>
      </c>
      <c r="BG16" s="13">
        <f>+'External Wall'!BQ42</f>
        <v>0</v>
      </c>
      <c r="BH16" s="13">
        <f>+'External Wall'!BR42</f>
        <v>0</v>
      </c>
      <c r="BI16" s="13">
        <f>+'External Wall'!BS42</f>
        <v>0</v>
      </c>
      <c r="BJ16" s="13">
        <f>+'External Wall'!BT42</f>
        <v>0</v>
      </c>
      <c r="BK16" s="13">
        <f>+'External Wall'!BU42</f>
        <v>0</v>
      </c>
      <c r="BL16" s="274">
        <f>+'External Wall'!BV42</f>
        <v>0</v>
      </c>
      <c r="BM16" s="247">
        <f>+'External Wall'!BW42</f>
        <v>0</v>
      </c>
      <c r="BN16" s="73">
        <f>+'External Wall'!BX42</f>
        <v>29.8</v>
      </c>
      <c r="BO16" s="13">
        <f>+'External Wall'!BY42</f>
        <v>0</v>
      </c>
      <c r="BP16" s="13">
        <f>+'External Wall'!BZ42</f>
        <v>0</v>
      </c>
      <c r="BQ16" s="13">
        <f>+'External Wall'!CA42</f>
        <v>19</v>
      </c>
      <c r="BR16" s="13">
        <f>+'External Wall'!CB42</f>
        <v>0</v>
      </c>
      <c r="BS16" s="13">
        <f>+'External Wall'!CC42</f>
        <v>0</v>
      </c>
      <c r="BT16" s="13">
        <f>+'External Wall'!CD42</f>
        <v>0</v>
      </c>
      <c r="BU16" s="13">
        <f>+'External Wall'!CE42</f>
        <v>3</v>
      </c>
      <c r="BV16" s="13">
        <f>+'External Wall'!CF42</f>
        <v>0</v>
      </c>
      <c r="BW16" s="13">
        <f>+'External Wall'!CG42</f>
        <v>0</v>
      </c>
      <c r="BX16" s="13">
        <f>+'External Wall'!CH42</f>
        <v>0</v>
      </c>
      <c r="BY16" s="13">
        <f>+'External Wall'!CI42</f>
        <v>0</v>
      </c>
      <c r="BZ16" s="13">
        <f>+'External Wall'!CJ42</f>
        <v>21</v>
      </c>
      <c r="CA16" s="13">
        <f>+'External Wall'!CK42</f>
        <v>0</v>
      </c>
      <c r="CB16" s="13">
        <f>+'External Wall'!CL42</f>
        <v>0</v>
      </c>
      <c r="CC16" s="13">
        <f>+'External Wall'!CM42</f>
        <v>0</v>
      </c>
      <c r="CD16" s="13">
        <f>+'External Wall'!CN42</f>
        <v>0</v>
      </c>
      <c r="CE16" s="13">
        <f>+'External Wall'!CO42</f>
        <v>12</v>
      </c>
      <c r="CF16" s="13">
        <f>+'External Wall'!CP42</f>
        <v>0</v>
      </c>
      <c r="CG16" s="13">
        <f>+'External Wall'!CQ42</f>
        <v>22</v>
      </c>
      <c r="CH16" s="13">
        <f>+'External Wall'!CR42</f>
        <v>0</v>
      </c>
      <c r="CI16" s="13">
        <f>+'External Wall'!CS42</f>
        <v>12</v>
      </c>
      <c r="CJ16" s="13">
        <f>+'External Wall'!CT42</f>
        <v>0</v>
      </c>
      <c r="CK16" s="13">
        <f>+'External Wall'!CU42</f>
        <v>0</v>
      </c>
      <c r="CL16" s="13">
        <f>+'External Wall'!CV42</f>
        <v>0</v>
      </c>
      <c r="CM16" s="13">
        <f>+'External Wall'!CW42</f>
        <v>27.1</v>
      </c>
      <c r="CN16" s="13">
        <f>+'External Wall'!CX42</f>
        <v>22</v>
      </c>
      <c r="CO16" s="13">
        <f>+'External Wall'!CY42</f>
        <v>0</v>
      </c>
      <c r="CP16" s="13">
        <f>+'External Wall'!CZ42</f>
        <v>0</v>
      </c>
      <c r="CQ16" s="101">
        <f>+'External Wall'!DA42</f>
        <v>0</v>
      </c>
      <c r="CR16" s="73">
        <f>+'External Wall'!DB42</f>
        <v>0</v>
      </c>
      <c r="CS16" s="13">
        <f>+'External Wall'!DC42</f>
        <v>27.6</v>
      </c>
      <c r="CT16" s="13">
        <f>+'External Wall'!DD42</f>
        <v>0</v>
      </c>
      <c r="CU16" s="13">
        <f>+'External Wall'!DE42</f>
        <v>0</v>
      </c>
      <c r="CV16" s="13">
        <f>+'External Wall'!DF42</f>
        <v>0</v>
      </c>
      <c r="CW16" s="13">
        <f>+'External Wall'!DG42</f>
        <v>0</v>
      </c>
      <c r="CX16" s="13">
        <f>+'External Wall'!DH42</f>
        <v>0</v>
      </c>
      <c r="CY16" s="13">
        <f>+'External Wall'!DI42</f>
        <v>0</v>
      </c>
      <c r="CZ16" s="13">
        <f>+'External Wall'!DJ42</f>
        <v>12</v>
      </c>
      <c r="DA16" s="13">
        <f>+'External Wall'!DK42</f>
        <v>0</v>
      </c>
      <c r="DB16" s="13">
        <f>+'External Wall'!DL42</f>
        <v>0</v>
      </c>
      <c r="DC16" s="13">
        <f>+'External Wall'!DM42</f>
        <v>21</v>
      </c>
      <c r="DD16" s="13">
        <f>+'External Wall'!DN42</f>
        <v>0</v>
      </c>
      <c r="DE16" s="13">
        <f>+'External Wall'!DO42</f>
        <v>0</v>
      </c>
      <c r="DF16" s="13">
        <f>+'External Wall'!DP42</f>
        <v>0</v>
      </c>
      <c r="DG16" s="13">
        <f>+'External Wall'!DQ42</f>
        <v>0</v>
      </c>
      <c r="DH16" s="13">
        <f>+'External Wall'!DR42</f>
        <v>0</v>
      </c>
      <c r="DI16" s="13">
        <f>+'External Wall'!DS42</f>
        <v>15.1</v>
      </c>
      <c r="DJ16" s="13">
        <f>+'External Wall'!DT42</f>
        <v>0</v>
      </c>
      <c r="DK16" s="13">
        <f>+'External Wall'!DU42</f>
        <v>0</v>
      </c>
      <c r="DL16" s="13">
        <f>+'External Wall'!DV42</f>
        <v>0</v>
      </c>
      <c r="DM16" s="13">
        <f>+'External Wall'!DW42</f>
        <v>0</v>
      </c>
      <c r="DN16" s="13">
        <f>+'External Wall'!DX42</f>
        <v>0</v>
      </c>
      <c r="DO16" s="13">
        <f>+'External Wall'!DY42</f>
        <v>0</v>
      </c>
      <c r="DP16" s="13">
        <f>+'External Wall'!DZ42</f>
        <v>0</v>
      </c>
      <c r="DQ16" s="13">
        <f>+'External Wall'!EA42</f>
        <v>0</v>
      </c>
      <c r="DR16" s="13">
        <f>+'External Wall'!EB42</f>
        <v>0</v>
      </c>
      <c r="DS16" s="13">
        <f>+'External Wall'!EC42</f>
        <v>0</v>
      </c>
      <c r="DT16" s="13">
        <f>+'External Wall'!ED42</f>
        <v>0</v>
      </c>
      <c r="DU16" s="13">
        <f>+'External Wall'!EE42</f>
        <v>0</v>
      </c>
      <c r="DV16" s="274">
        <f>+'External Wall'!EF42</f>
        <v>0</v>
      </c>
      <c r="DW16" s="73">
        <f>+'External Wall'!EG42</f>
        <v>0</v>
      </c>
      <c r="DX16" s="13">
        <f>+'External Wall'!EH42</f>
        <v>0</v>
      </c>
      <c r="DY16" s="13">
        <f>+'External Wall'!EI42</f>
        <v>0</v>
      </c>
      <c r="DZ16" s="13">
        <f>+'External Wall'!EJ42</f>
        <v>4</v>
      </c>
      <c r="EA16" s="13">
        <f>+'External Wall'!EK42</f>
        <v>0</v>
      </c>
      <c r="EB16" s="13">
        <f>+'External Wall'!EL42</f>
        <v>0</v>
      </c>
      <c r="EC16" s="13">
        <f>+'External Wall'!EM42</f>
        <v>0</v>
      </c>
      <c r="ED16" s="13">
        <f>+'External Wall'!EN42</f>
        <v>0</v>
      </c>
      <c r="EE16" s="13">
        <f>+'External Wall'!EO42</f>
        <v>0</v>
      </c>
      <c r="EF16" s="13">
        <f>+'External Wall'!EP42</f>
        <v>0</v>
      </c>
      <c r="EG16" s="13">
        <f>+'External Wall'!EQ42</f>
        <v>0</v>
      </c>
      <c r="EH16" s="13">
        <f>+'External Wall'!ER42</f>
        <v>0</v>
      </c>
      <c r="EI16" s="13">
        <f>+'External Wall'!ES42</f>
        <v>0</v>
      </c>
      <c r="EJ16" s="13">
        <f>+'External Wall'!ET42</f>
        <v>0</v>
      </c>
      <c r="EK16" s="13">
        <f>+'External Wall'!EU42</f>
        <v>0</v>
      </c>
      <c r="EL16" s="13">
        <f>+'External Wall'!EV42</f>
        <v>0</v>
      </c>
      <c r="EM16" s="13">
        <f>+'External Wall'!EW42</f>
        <v>0</v>
      </c>
      <c r="EN16" s="13">
        <f>+'External Wall'!EX42</f>
        <v>0</v>
      </c>
      <c r="EO16" s="13">
        <f>+'External Wall'!EY42</f>
        <v>0</v>
      </c>
      <c r="EP16" s="13">
        <f>+'External Wall'!EZ42</f>
        <v>0</v>
      </c>
      <c r="EQ16" s="13">
        <f>+'External Wall'!FA42</f>
        <v>0</v>
      </c>
      <c r="ER16" s="13">
        <f>+'External Wall'!FB42</f>
        <v>0</v>
      </c>
      <c r="ES16" s="13">
        <f>+'External Wall'!FC42</f>
        <v>0</v>
      </c>
      <c r="ET16" s="13">
        <f>+'External Wall'!FD42</f>
        <v>0</v>
      </c>
      <c r="EU16" s="13">
        <f>+'External Wall'!FE42</f>
        <v>0</v>
      </c>
      <c r="EV16" s="13">
        <f>+'External Wall'!FF42</f>
        <v>0</v>
      </c>
      <c r="EW16" s="13">
        <f>+'External Wall'!FG42</f>
        <v>0</v>
      </c>
      <c r="EX16" s="13">
        <f>+'External Wall'!FH42</f>
        <v>0</v>
      </c>
      <c r="EY16" s="13">
        <f>+'External Wall'!FI42</f>
        <v>0</v>
      </c>
      <c r="EZ16" s="101">
        <f>+'External Wall'!FJ42</f>
        <v>0</v>
      </c>
      <c r="FA16" s="73">
        <f>+'External Wall'!FK42</f>
        <v>0</v>
      </c>
      <c r="FB16" s="13">
        <f>+'External Wall'!FL42</f>
        <v>0</v>
      </c>
      <c r="FC16" s="13">
        <f>+'External Wall'!FM42</f>
        <v>0</v>
      </c>
      <c r="FD16" s="13">
        <f>+'External Wall'!FN42</f>
        <v>0</v>
      </c>
      <c r="FE16" s="13">
        <f>+'External Wall'!FO42</f>
        <v>0</v>
      </c>
      <c r="FF16" s="13">
        <f>+'External Wall'!FP42</f>
        <v>0</v>
      </c>
      <c r="FG16" s="13">
        <f>+'External Wall'!FQ42</f>
        <v>0</v>
      </c>
      <c r="FH16" s="13">
        <f>+'External Wall'!FR42</f>
        <v>0</v>
      </c>
      <c r="FI16" s="13">
        <f>+'External Wall'!FS42</f>
        <v>0</v>
      </c>
      <c r="FJ16" s="13">
        <f>+'External Wall'!FT42</f>
        <v>0</v>
      </c>
      <c r="FK16" s="13">
        <f>+'External Wall'!FU42</f>
        <v>0</v>
      </c>
      <c r="FL16" s="13">
        <f>+'External Wall'!FV42</f>
        <v>0</v>
      </c>
      <c r="FM16" s="13">
        <f>+'External Wall'!FW42</f>
        <v>0</v>
      </c>
      <c r="FN16" s="13">
        <f>+'External Wall'!FX42</f>
        <v>0</v>
      </c>
      <c r="FO16" s="13">
        <f>+'External Wall'!FY42</f>
        <v>0</v>
      </c>
      <c r="FP16" s="13">
        <f>+'External Wall'!FZ42</f>
        <v>0</v>
      </c>
      <c r="FQ16" s="13">
        <f>+'External Wall'!GA42</f>
        <v>0</v>
      </c>
      <c r="FR16" s="13">
        <f>+'External Wall'!GB42</f>
        <v>0</v>
      </c>
      <c r="FS16" s="13">
        <f>+'External Wall'!GC42</f>
        <v>0</v>
      </c>
      <c r="FT16" s="13">
        <f>+'External Wall'!GD42</f>
        <v>0</v>
      </c>
      <c r="FU16" s="13">
        <f>+'External Wall'!GE42</f>
        <v>0</v>
      </c>
      <c r="FV16" s="13">
        <f>+'External Wall'!GF42</f>
        <v>0</v>
      </c>
      <c r="FW16" s="13">
        <f>+'External Wall'!GG42</f>
        <v>0</v>
      </c>
      <c r="FX16" s="13">
        <f>+'External Wall'!GH42</f>
        <v>0</v>
      </c>
      <c r="FY16" s="13">
        <f>+'External Wall'!GI42</f>
        <v>0</v>
      </c>
      <c r="FZ16" s="13">
        <f>+'External Wall'!GJ42</f>
        <v>0</v>
      </c>
      <c r="GA16" s="13">
        <f>+'External Wall'!GK42</f>
        <v>0</v>
      </c>
      <c r="GB16" s="13">
        <f>+'External Wall'!GL42</f>
        <v>0</v>
      </c>
      <c r="GC16" s="13">
        <f>+'External Wall'!GM42</f>
        <v>0</v>
      </c>
      <c r="GD16" s="13">
        <f>+'External Wall'!GN42</f>
        <v>0</v>
      </c>
      <c r="GE16" s="101">
        <f>+'External Wall'!GO42</f>
        <v>0</v>
      </c>
      <c r="GF16" s="436"/>
      <c r="GG16" s="424"/>
      <c r="GH16" s="424"/>
      <c r="GI16" s="424"/>
      <c r="GJ16" s="424"/>
      <c r="GK16" s="424"/>
      <c r="GL16" s="424"/>
      <c r="GM16" s="424"/>
      <c r="GN16" s="424"/>
      <c r="GO16" s="424"/>
      <c r="GP16" s="424"/>
      <c r="GQ16" s="424"/>
      <c r="GR16" s="424"/>
      <c r="GS16" s="424"/>
      <c r="GT16" s="424"/>
      <c r="GU16" s="424"/>
      <c r="GV16" s="424"/>
      <c r="GW16" s="424"/>
      <c r="GX16" s="424"/>
      <c r="GY16" s="424"/>
      <c r="GZ16" s="442"/>
    </row>
    <row r="17" spans="1:208" ht="15" hidden="1" customHeight="1" thickBot="1" x14ac:dyDescent="0.3">
      <c r="A17" s="480"/>
      <c r="B17" s="475"/>
      <c r="C17" s="196" t="s">
        <v>84</v>
      </c>
      <c r="D17" s="195" t="s">
        <v>88</v>
      </c>
      <c r="E17" s="197">
        <f>+Slab!O78</f>
        <v>0</v>
      </c>
      <c r="F17" s="198">
        <f>+Slab!P78</f>
        <v>0</v>
      </c>
      <c r="G17" s="198">
        <f>+Slab!Q78</f>
        <v>0</v>
      </c>
      <c r="H17" s="198">
        <f>+Slab!R78</f>
        <v>0</v>
      </c>
      <c r="I17" s="198">
        <f>+Slab!S78</f>
        <v>0</v>
      </c>
      <c r="J17" s="198">
        <f>+Slab!T78</f>
        <v>0</v>
      </c>
      <c r="K17" s="198">
        <f>+Slab!U78</f>
        <v>0</v>
      </c>
      <c r="L17" s="198">
        <f>+Slab!V78</f>
        <v>0</v>
      </c>
      <c r="M17" s="198">
        <f>+Slab!W78</f>
        <v>0</v>
      </c>
      <c r="N17" s="198">
        <f>+Slab!X78</f>
        <v>0</v>
      </c>
      <c r="O17" s="198">
        <f>+Slab!Y78</f>
        <v>0</v>
      </c>
      <c r="P17" s="198">
        <f>+Slab!Z78</f>
        <v>0</v>
      </c>
      <c r="Q17" s="198">
        <f>+Slab!AA78</f>
        <v>0</v>
      </c>
      <c r="R17" s="198">
        <f>+Slab!AB78</f>
        <v>1906</v>
      </c>
      <c r="S17" s="198">
        <f>+Slab!AC78</f>
        <v>0</v>
      </c>
      <c r="T17" s="198">
        <f>+Slab!AD78</f>
        <v>0</v>
      </c>
      <c r="U17" s="198">
        <f>+Slab!AE78</f>
        <v>0</v>
      </c>
      <c r="V17" s="198">
        <f>+Slab!AF78</f>
        <v>0</v>
      </c>
      <c r="W17" s="198">
        <f>+Slab!AG78</f>
        <v>0</v>
      </c>
      <c r="X17" s="198">
        <f>+Slab!AH78</f>
        <v>0</v>
      </c>
      <c r="Y17" s="198">
        <f>+Slab!AI78</f>
        <v>0</v>
      </c>
      <c r="Z17" s="198">
        <f>+Slab!AJ78</f>
        <v>0</v>
      </c>
      <c r="AA17" s="198">
        <f>+Slab!AK78</f>
        <v>0</v>
      </c>
      <c r="AB17" s="198">
        <f>+Slab!AL78</f>
        <v>0</v>
      </c>
      <c r="AC17" s="198">
        <f>+Slab!AM78</f>
        <v>0</v>
      </c>
      <c r="AD17" s="198">
        <f>+Slab!AN78</f>
        <v>0</v>
      </c>
      <c r="AE17" s="198">
        <f>+Slab!AO78</f>
        <v>0</v>
      </c>
      <c r="AF17" s="287">
        <f>+Slab!AP78</f>
        <v>0</v>
      </c>
      <c r="AG17" s="200">
        <f>+Slab!AQ78</f>
        <v>0</v>
      </c>
      <c r="AH17" s="197">
        <f>+Slab!AR78</f>
        <v>0</v>
      </c>
      <c r="AI17" s="198">
        <f>+Slab!AS78</f>
        <v>0</v>
      </c>
      <c r="AJ17" s="198">
        <f>+Slab!AT78</f>
        <v>0</v>
      </c>
      <c r="AK17" s="198">
        <f>+Slab!AU78</f>
        <v>0</v>
      </c>
      <c r="AL17" s="198">
        <f>+Slab!AV78</f>
        <v>0</v>
      </c>
      <c r="AM17" s="198">
        <f>+Slab!AW78</f>
        <v>0</v>
      </c>
      <c r="AN17" s="198">
        <f>+Slab!AX78</f>
        <v>0</v>
      </c>
      <c r="AO17" s="198">
        <f>+Slab!AY78</f>
        <v>0</v>
      </c>
      <c r="AP17" s="198">
        <f>+Slab!AZ78</f>
        <v>0</v>
      </c>
      <c r="AQ17" s="198">
        <f>+Slab!BA78</f>
        <v>0</v>
      </c>
      <c r="AR17" s="198">
        <f>+Slab!BB78</f>
        <v>0</v>
      </c>
      <c r="AS17" s="198">
        <f>+Slab!BC78</f>
        <v>0</v>
      </c>
      <c r="AT17" s="198">
        <f>+Slab!BD78</f>
        <v>0</v>
      </c>
      <c r="AU17" s="198">
        <f>+Slab!BE78</f>
        <v>0</v>
      </c>
      <c r="AV17" s="198">
        <f>+Slab!BF78</f>
        <v>0</v>
      </c>
      <c r="AW17" s="198">
        <f>+Slab!BG78</f>
        <v>1340</v>
      </c>
      <c r="AX17" s="198">
        <f>+Slab!BH78</f>
        <v>0</v>
      </c>
      <c r="AY17" s="198">
        <f>+Slab!BI78</f>
        <v>0</v>
      </c>
      <c r="AZ17" s="198">
        <f>+Slab!BJ78</f>
        <v>0</v>
      </c>
      <c r="BA17" s="198">
        <f>+Slab!BK78</f>
        <v>0</v>
      </c>
      <c r="BB17" s="198">
        <f>+Slab!BL78</f>
        <v>0</v>
      </c>
      <c r="BC17" s="198">
        <f>+Slab!BM78</f>
        <v>0</v>
      </c>
      <c r="BD17" s="198">
        <f>+Slab!BN78</f>
        <v>0</v>
      </c>
      <c r="BE17" s="198">
        <f>+Slab!BO78</f>
        <v>0</v>
      </c>
      <c r="BF17" s="198">
        <f>+Slab!BP78</f>
        <v>0</v>
      </c>
      <c r="BG17" s="198">
        <f>+Slab!BQ78</f>
        <v>0</v>
      </c>
      <c r="BH17" s="198">
        <f>+Slab!BR78</f>
        <v>0</v>
      </c>
      <c r="BI17" s="198">
        <f>+Slab!BS78</f>
        <v>0</v>
      </c>
      <c r="BJ17" s="198">
        <f>+Slab!BT78</f>
        <v>0</v>
      </c>
      <c r="BK17" s="198">
        <f>+Slab!BU78</f>
        <v>0</v>
      </c>
      <c r="BL17" s="287">
        <f>+Slab!BV78</f>
        <v>0</v>
      </c>
      <c r="BM17" s="247">
        <f>+Slab!BW78</f>
        <v>0</v>
      </c>
      <c r="BN17" s="197">
        <f>+Slab!BX78</f>
        <v>0</v>
      </c>
      <c r="BO17" s="198">
        <f>+Slab!BY78</f>
        <v>0</v>
      </c>
      <c r="BP17" s="198">
        <f>+Slab!BZ78</f>
        <v>0</v>
      </c>
      <c r="BQ17" s="198">
        <f>+Slab!CA78</f>
        <v>0</v>
      </c>
      <c r="BR17" s="198">
        <f>+Slab!CB78</f>
        <v>0</v>
      </c>
      <c r="BS17" s="198">
        <f>+Slab!CC78</f>
        <v>0</v>
      </c>
      <c r="BT17" s="198">
        <f>+Slab!CD78</f>
        <v>0</v>
      </c>
      <c r="BU17" s="198">
        <f>+Slab!CE78</f>
        <v>0</v>
      </c>
      <c r="BV17" s="198">
        <f>+Slab!CF78</f>
        <v>0</v>
      </c>
      <c r="BW17" s="198">
        <f>+Slab!CG78</f>
        <v>0</v>
      </c>
      <c r="BX17" s="198">
        <f>+Slab!CH78</f>
        <v>0</v>
      </c>
      <c r="BY17" s="198">
        <f>+Slab!CI78</f>
        <v>0</v>
      </c>
      <c r="BZ17" s="198">
        <f>+Slab!CJ78</f>
        <v>0</v>
      </c>
      <c r="CA17" s="198">
        <f>+Slab!CK78</f>
        <v>0</v>
      </c>
      <c r="CB17" s="198">
        <f>+Slab!CL78</f>
        <v>0</v>
      </c>
      <c r="CC17" s="198">
        <f>+Slab!CM78</f>
        <v>0</v>
      </c>
      <c r="CD17" s="198">
        <f>+Slab!CN78</f>
        <v>0</v>
      </c>
      <c r="CE17" s="198">
        <f>+Slab!CO78</f>
        <v>0</v>
      </c>
      <c r="CF17" s="198">
        <f>+Slab!CP78</f>
        <v>0</v>
      </c>
      <c r="CG17" s="198">
        <f>+Slab!CQ78</f>
        <v>0</v>
      </c>
      <c r="CH17" s="198">
        <f>+Slab!CR78</f>
        <v>0</v>
      </c>
      <c r="CI17" s="198">
        <f>+Slab!CS78</f>
        <v>0</v>
      </c>
      <c r="CJ17" s="198">
        <f>+Slab!CT78</f>
        <v>1850</v>
      </c>
      <c r="CK17" s="198">
        <f>+Slab!CU78</f>
        <v>0</v>
      </c>
      <c r="CL17" s="198">
        <f>+Slab!CV78</f>
        <v>0</v>
      </c>
      <c r="CM17" s="198">
        <f>+Slab!CW78</f>
        <v>0</v>
      </c>
      <c r="CN17" s="198">
        <f>+Slab!CX78</f>
        <v>0</v>
      </c>
      <c r="CO17" s="198">
        <f>+Slab!CY78</f>
        <v>0</v>
      </c>
      <c r="CP17" s="198">
        <f>+Slab!CZ78</f>
        <v>0</v>
      </c>
      <c r="CQ17" s="199">
        <f>+Slab!DA78</f>
        <v>0</v>
      </c>
      <c r="CR17" s="197">
        <f>+Slab!DB78</f>
        <v>0</v>
      </c>
      <c r="CS17" s="198">
        <f>+Slab!DC78</f>
        <v>0</v>
      </c>
      <c r="CT17" s="198">
        <f>+Slab!DD78</f>
        <v>0</v>
      </c>
      <c r="CU17" s="198">
        <f>+Slab!DE78</f>
        <v>0</v>
      </c>
      <c r="CV17" s="198">
        <f>+Slab!DF78</f>
        <v>0</v>
      </c>
      <c r="CW17" s="198">
        <f>+Slab!DG78</f>
        <v>0</v>
      </c>
      <c r="CX17" s="198">
        <f>+Slab!DH78</f>
        <v>0</v>
      </c>
      <c r="CY17" s="198">
        <f>+Slab!DI78</f>
        <v>0</v>
      </c>
      <c r="CZ17" s="198">
        <f>+Slab!DJ78</f>
        <v>0</v>
      </c>
      <c r="DA17" s="198">
        <f>+Slab!DK78</f>
        <v>0</v>
      </c>
      <c r="DB17" s="198">
        <f>+Slab!DL78</f>
        <v>0</v>
      </c>
      <c r="DC17" s="198">
        <f>+Slab!DM78</f>
        <v>0</v>
      </c>
      <c r="DD17" s="198">
        <f>+Slab!DN78</f>
        <v>0</v>
      </c>
      <c r="DE17" s="198">
        <f>+Slab!DO78</f>
        <v>0</v>
      </c>
      <c r="DF17" s="198">
        <f>+Slab!DP78</f>
        <v>0</v>
      </c>
      <c r="DG17" s="198">
        <f>+Slab!DQ78</f>
        <v>0</v>
      </c>
      <c r="DH17" s="198">
        <f>+Slab!DR78</f>
        <v>1211</v>
      </c>
      <c r="DI17" s="198">
        <f>+Slab!DS78</f>
        <v>0</v>
      </c>
      <c r="DJ17" s="198">
        <f>+Slab!DT78</f>
        <v>0</v>
      </c>
      <c r="DK17" s="198">
        <f>+Slab!DU78</f>
        <v>710</v>
      </c>
      <c r="DL17" s="198">
        <f>+Slab!DV78</f>
        <v>75</v>
      </c>
      <c r="DM17" s="198">
        <f>+Slab!DW78</f>
        <v>0</v>
      </c>
      <c r="DN17" s="198">
        <f>+Slab!DX78</f>
        <v>0</v>
      </c>
      <c r="DO17" s="198">
        <f>+Slab!DY78</f>
        <v>0</v>
      </c>
      <c r="DP17" s="198">
        <f>+Slab!DZ78</f>
        <v>780</v>
      </c>
      <c r="DQ17" s="198">
        <f>+Slab!EA78</f>
        <v>0</v>
      </c>
      <c r="DR17" s="198">
        <f>+Slab!EB78</f>
        <v>0</v>
      </c>
      <c r="DS17" s="198">
        <f>+Slab!EC78</f>
        <v>0</v>
      </c>
      <c r="DT17" s="198">
        <f>+Slab!ED78</f>
        <v>0</v>
      </c>
      <c r="DU17" s="198">
        <f>+Slab!EE78</f>
        <v>0</v>
      </c>
      <c r="DV17" s="287">
        <f>+Slab!EF78</f>
        <v>0</v>
      </c>
      <c r="DW17" s="197">
        <f>+Slab!EG78</f>
        <v>40</v>
      </c>
      <c r="DX17" s="198">
        <f>+Slab!EH78</f>
        <v>1600</v>
      </c>
      <c r="DY17" s="198">
        <f>+Slab!EI78</f>
        <v>0</v>
      </c>
      <c r="DZ17" s="198">
        <f>+Slab!EJ78</f>
        <v>0</v>
      </c>
      <c r="EA17" s="198">
        <f>+Slab!EK78</f>
        <v>0</v>
      </c>
      <c r="EB17" s="198">
        <f>+Slab!EL78</f>
        <v>0</v>
      </c>
      <c r="EC17" s="198">
        <f>+Slab!EM78</f>
        <v>0</v>
      </c>
      <c r="ED17" s="198">
        <f>+Slab!EN78</f>
        <v>0</v>
      </c>
      <c r="EE17" s="198">
        <f>+Slab!EO78</f>
        <v>0</v>
      </c>
      <c r="EF17" s="198">
        <f>+Slab!EP78</f>
        <v>0</v>
      </c>
      <c r="EG17" s="198">
        <f>+Slab!EQ78</f>
        <v>0</v>
      </c>
      <c r="EH17" s="198">
        <f>+Slab!ER78</f>
        <v>0</v>
      </c>
      <c r="EI17" s="198">
        <f>+Slab!ES78</f>
        <v>63</v>
      </c>
      <c r="EJ17" s="198">
        <f>+Slab!ET78</f>
        <v>0</v>
      </c>
      <c r="EK17" s="198">
        <f>+Slab!EU78</f>
        <v>0</v>
      </c>
      <c r="EL17" s="198">
        <f>+Slab!EV78</f>
        <v>0</v>
      </c>
      <c r="EM17" s="198">
        <f>+Slab!EW78</f>
        <v>0</v>
      </c>
      <c r="EN17" s="198">
        <f>+Slab!EX78</f>
        <v>0</v>
      </c>
      <c r="EO17" s="198">
        <f>+Slab!EY78</f>
        <v>0</v>
      </c>
      <c r="EP17" s="198">
        <f>+Slab!EZ78</f>
        <v>0</v>
      </c>
      <c r="EQ17" s="198">
        <f>+Slab!FA78</f>
        <v>0</v>
      </c>
      <c r="ER17" s="198">
        <f>+Slab!FB78</f>
        <v>0</v>
      </c>
      <c r="ES17" s="198">
        <f>+Slab!FC78</f>
        <v>0</v>
      </c>
      <c r="ET17" s="198">
        <f>+Slab!FD78</f>
        <v>0</v>
      </c>
      <c r="EU17" s="198">
        <f>+Slab!FE78</f>
        <v>0</v>
      </c>
      <c r="EV17" s="198">
        <f>+Slab!FF78</f>
        <v>0</v>
      </c>
      <c r="EW17" s="198">
        <f>+Slab!FG78</f>
        <v>0</v>
      </c>
      <c r="EX17" s="198">
        <f>+Slab!FH78</f>
        <v>0</v>
      </c>
      <c r="EY17" s="198">
        <f>+Slab!FI78</f>
        <v>0</v>
      </c>
      <c r="EZ17" s="199">
        <f>+Slab!FJ78</f>
        <v>0</v>
      </c>
      <c r="FA17" s="197">
        <f>+Slab!FK78</f>
        <v>0</v>
      </c>
      <c r="FB17" s="198">
        <f>+Slab!FL78</f>
        <v>0</v>
      </c>
      <c r="FC17" s="198">
        <f>+Slab!FM78</f>
        <v>0</v>
      </c>
      <c r="FD17" s="198">
        <f>+Slab!FN78</f>
        <v>0</v>
      </c>
      <c r="FE17" s="198">
        <f>+Slab!FO78</f>
        <v>0</v>
      </c>
      <c r="FF17" s="198">
        <f>+Slab!FP78</f>
        <v>0</v>
      </c>
      <c r="FG17" s="198">
        <f>+Slab!FQ78</f>
        <v>0</v>
      </c>
      <c r="FH17" s="198">
        <f>+Slab!FR78</f>
        <v>0</v>
      </c>
      <c r="FI17" s="198">
        <f>+Slab!FS78</f>
        <v>0</v>
      </c>
      <c r="FJ17" s="198">
        <f>+Slab!FT78</f>
        <v>0</v>
      </c>
      <c r="FK17" s="198">
        <f>+Slab!FU78</f>
        <v>0</v>
      </c>
      <c r="FL17" s="198">
        <f>+Slab!FV78</f>
        <v>0</v>
      </c>
      <c r="FM17" s="198">
        <f>+Slab!FW78</f>
        <v>0</v>
      </c>
      <c r="FN17" s="198">
        <f>+Slab!FX78</f>
        <v>0</v>
      </c>
      <c r="FO17" s="198">
        <f>+Slab!FY78</f>
        <v>0</v>
      </c>
      <c r="FP17" s="198">
        <f>+Slab!FZ78</f>
        <v>0</v>
      </c>
      <c r="FQ17" s="198">
        <f>+Slab!GA78</f>
        <v>0</v>
      </c>
      <c r="FR17" s="198">
        <f>+Slab!GB78</f>
        <v>0</v>
      </c>
      <c r="FS17" s="198">
        <f>+Slab!GC78</f>
        <v>0</v>
      </c>
      <c r="FT17" s="198">
        <f>+Slab!GD78</f>
        <v>0</v>
      </c>
      <c r="FU17" s="198">
        <f>+Slab!GE78</f>
        <v>0</v>
      </c>
      <c r="FV17" s="198">
        <f>+Slab!GF78</f>
        <v>0</v>
      </c>
      <c r="FW17" s="198">
        <f>+Slab!GG78</f>
        <v>0</v>
      </c>
      <c r="FX17" s="198">
        <f>+Slab!GH78</f>
        <v>0</v>
      </c>
      <c r="FY17" s="198">
        <f>+Slab!GI78</f>
        <v>0</v>
      </c>
      <c r="FZ17" s="198">
        <f>+Slab!GJ78</f>
        <v>0</v>
      </c>
      <c r="GA17" s="198">
        <f>+Slab!GK78</f>
        <v>0</v>
      </c>
      <c r="GB17" s="198">
        <f>+Slab!GL78</f>
        <v>0</v>
      </c>
      <c r="GC17" s="198">
        <f>+Slab!GM78</f>
        <v>0</v>
      </c>
      <c r="GD17" s="198">
        <f>+Slab!GN78</f>
        <v>0</v>
      </c>
      <c r="GE17" s="199">
        <f>+Slab!GO78</f>
        <v>0</v>
      </c>
      <c r="GF17" s="437"/>
      <c r="GG17" s="435"/>
      <c r="GH17" s="435"/>
      <c r="GI17" s="435"/>
      <c r="GJ17" s="435"/>
      <c r="GK17" s="435"/>
      <c r="GL17" s="435"/>
      <c r="GM17" s="435"/>
      <c r="GN17" s="435"/>
      <c r="GO17" s="435"/>
      <c r="GP17" s="435"/>
      <c r="GQ17" s="435"/>
      <c r="GR17" s="435"/>
      <c r="GS17" s="435"/>
      <c r="GT17" s="435"/>
      <c r="GU17" s="435"/>
      <c r="GV17" s="435"/>
      <c r="GW17" s="435"/>
      <c r="GX17" s="435"/>
      <c r="GY17" s="435"/>
      <c r="GZ17" s="443"/>
    </row>
    <row r="18" spans="1:208" ht="15" hidden="1" customHeight="1" thickBot="1" x14ac:dyDescent="0.3">
      <c r="A18" s="9"/>
      <c r="B18" s="201"/>
      <c r="C18" s="202"/>
      <c r="D18" s="203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17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89"/>
      <c r="BM18" s="247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  <c r="CA18" s="289"/>
      <c r="CB18" s="289"/>
      <c r="CC18" s="289"/>
      <c r="CD18" s="289"/>
      <c r="CE18" s="289"/>
      <c r="CF18" s="289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8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/>
      <c r="DH18" s="289"/>
      <c r="DI18" s="289"/>
      <c r="DJ18" s="289"/>
      <c r="DK18" s="289"/>
      <c r="DL18" s="289"/>
      <c r="DM18" s="289"/>
      <c r="DN18" s="289"/>
      <c r="DO18" s="289"/>
      <c r="DP18" s="289"/>
      <c r="DQ18" s="289"/>
      <c r="DR18" s="289"/>
      <c r="DS18" s="289"/>
      <c r="DT18" s="289"/>
      <c r="DU18" s="289"/>
      <c r="DV18" s="352"/>
      <c r="DW18" s="288"/>
      <c r="DX18" s="289"/>
      <c r="DY18" s="289"/>
      <c r="DZ18" s="289"/>
      <c r="EA18" s="289"/>
      <c r="EB18" s="289"/>
      <c r="EC18" s="289"/>
      <c r="ED18" s="289"/>
      <c r="EE18" s="289"/>
      <c r="EF18" s="289"/>
      <c r="EG18" s="289"/>
      <c r="EH18" s="289"/>
      <c r="EI18" s="289"/>
      <c r="EJ18" s="289"/>
      <c r="EK18" s="289"/>
      <c r="EL18" s="289"/>
      <c r="EM18" s="289"/>
      <c r="EN18" s="289"/>
      <c r="EO18" s="289"/>
      <c r="EP18" s="289"/>
      <c r="EQ18" s="289"/>
      <c r="ER18" s="289"/>
      <c r="ES18" s="289"/>
      <c r="ET18" s="289"/>
      <c r="EU18" s="289"/>
      <c r="EV18" s="289"/>
      <c r="EW18" s="289"/>
      <c r="EX18" s="289"/>
      <c r="EY18" s="289"/>
      <c r="EZ18" s="289"/>
      <c r="FA18" s="288"/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/>
      <c r="FR18" s="289"/>
      <c r="FS18" s="289"/>
      <c r="FT18" s="289"/>
      <c r="FU18" s="289"/>
      <c r="FV18" s="289"/>
      <c r="FW18" s="289"/>
      <c r="FX18" s="289"/>
      <c r="FY18" s="289"/>
      <c r="FZ18" s="289"/>
      <c r="GA18" s="289"/>
      <c r="GB18" s="289"/>
      <c r="GC18" s="289"/>
      <c r="GD18" s="289"/>
      <c r="GE18" s="289"/>
      <c r="GF18" s="288"/>
      <c r="GG18" s="289"/>
      <c r="GH18" s="289"/>
      <c r="GI18" s="289"/>
      <c r="GJ18" s="289"/>
      <c r="GK18" s="289"/>
      <c r="GL18" s="289"/>
      <c r="GM18" s="289"/>
      <c r="GN18" s="289"/>
      <c r="GO18" s="289"/>
      <c r="GP18" s="289"/>
      <c r="GQ18" s="289"/>
      <c r="GR18" s="289"/>
      <c r="GS18" s="289"/>
      <c r="GT18" s="289"/>
      <c r="GU18" s="289"/>
      <c r="GV18" s="289"/>
      <c r="GW18" s="289"/>
      <c r="GX18" s="289"/>
      <c r="GY18" s="289"/>
      <c r="GZ18" s="444"/>
    </row>
    <row r="19" spans="1:208" ht="15" hidden="1" customHeight="1" thickBot="1" x14ac:dyDescent="0.3">
      <c r="A19" s="482"/>
      <c r="B19" s="481" t="s">
        <v>78</v>
      </c>
      <c r="C19" s="25" t="s">
        <v>82</v>
      </c>
      <c r="D19" s="32" t="s">
        <v>86</v>
      </c>
      <c r="E19" s="71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276"/>
      <c r="AG19" s="165"/>
      <c r="AH19" s="71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276"/>
      <c r="BM19" s="247"/>
      <c r="BN19" s="71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157"/>
      <c r="CR19" s="71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276"/>
      <c r="DW19" s="71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157"/>
      <c r="FA19" s="71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157"/>
      <c r="GF19" s="389"/>
      <c r="GG19" s="154"/>
      <c r="GH19" s="154"/>
      <c r="GI19" s="154"/>
      <c r="GJ19" s="154"/>
      <c r="GK19" s="154"/>
      <c r="GL19" s="154"/>
      <c r="GM19" s="154"/>
      <c r="GN19" s="154"/>
      <c r="GO19" s="154"/>
      <c r="GP19" s="154"/>
      <c r="GQ19" s="154"/>
      <c r="GR19" s="154"/>
      <c r="GS19" s="154"/>
      <c r="GT19" s="154"/>
      <c r="GU19" s="154"/>
      <c r="GV19" s="154"/>
      <c r="GW19" s="154"/>
      <c r="GX19" s="154"/>
      <c r="GY19" s="154"/>
      <c r="GZ19" s="168"/>
    </row>
    <row r="20" spans="1:208" ht="15" hidden="1" customHeight="1" thickBot="1" x14ac:dyDescent="0.3">
      <c r="A20" s="479"/>
      <c r="B20" s="474"/>
      <c r="C20" s="23" t="s">
        <v>81</v>
      </c>
      <c r="D20" s="2" t="s">
        <v>87</v>
      </c>
      <c r="E20" s="73">
        <f>+'Internal Wall'!O96</f>
        <v>0</v>
      </c>
      <c r="F20" s="13">
        <f>+'Internal Wall'!P96</f>
        <v>0</v>
      </c>
      <c r="G20" s="13">
        <f>+'Internal Wall'!Q96</f>
        <v>0</v>
      </c>
      <c r="H20" s="13">
        <f>+'Internal Wall'!R96</f>
        <v>0</v>
      </c>
      <c r="I20" s="13">
        <f>+'Internal Wall'!S96</f>
        <v>0</v>
      </c>
      <c r="J20" s="13">
        <f>+'Internal Wall'!T96</f>
        <v>0</v>
      </c>
      <c r="K20" s="13">
        <f>+'Internal Wall'!U96</f>
        <v>0</v>
      </c>
      <c r="L20" s="13">
        <f>+'Internal Wall'!V96</f>
        <v>0</v>
      </c>
      <c r="M20" s="13">
        <f>+'Internal Wall'!W96</f>
        <v>0</v>
      </c>
      <c r="N20" s="13">
        <f>+'Internal Wall'!X96</f>
        <v>0</v>
      </c>
      <c r="O20" s="13">
        <f>+'Internal Wall'!Y96</f>
        <v>0</v>
      </c>
      <c r="P20" s="13">
        <f>+'Internal Wall'!Z96</f>
        <v>0</v>
      </c>
      <c r="Q20" s="13">
        <f>+'Internal Wall'!AA96</f>
        <v>0</v>
      </c>
      <c r="R20" s="13">
        <f>+'Internal Wall'!AB96</f>
        <v>0</v>
      </c>
      <c r="S20" s="13">
        <f>+'Internal Wall'!AC96</f>
        <v>0</v>
      </c>
      <c r="T20" s="13">
        <f>+'Internal Wall'!AD96</f>
        <v>0</v>
      </c>
      <c r="U20" s="13">
        <f>+'Internal Wall'!AE96</f>
        <v>0</v>
      </c>
      <c r="V20" s="13">
        <f>+'Internal Wall'!AF96</f>
        <v>0</v>
      </c>
      <c r="W20" s="13">
        <f>+'Internal Wall'!AG96</f>
        <v>0</v>
      </c>
      <c r="X20" s="13">
        <f>+'Internal Wall'!AH96</f>
        <v>0</v>
      </c>
      <c r="Y20" s="13">
        <f>+'Internal Wall'!AI96</f>
        <v>0</v>
      </c>
      <c r="Z20" s="13">
        <f>+'Internal Wall'!AJ96</f>
        <v>0</v>
      </c>
      <c r="AA20" s="13">
        <f>+'Internal Wall'!AK96</f>
        <v>0</v>
      </c>
      <c r="AB20" s="13">
        <f>+'Internal Wall'!AL96</f>
        <v>0</v>
      </c>
      <c r="AC20" s="13">
        <f>+'Internal Wall'!AM96</f>
        <v>0</v>
      </c>
      <c r="AD20" s="13">
        <f>+'Internal Wall'!AN96</f>
        <v>0</v>
      </c>
      <c r="AE20" s="13">
        <f>+'Internal Wall'!AO96</f>
        <v>0</v>
      </c>
      <c r="AF20" s="274">
        <f>+'Internal Wall'!AP96</f>
        <v>0</v>
      </c>
      <c r="AG20" s="162">
        <f>+'Internal Wall'!BN97</f>
        <v>0</v>
      </c>
      <c r="AH20" s="73">
        <f>+'Internal Wall'!AR96</f>
        <v>0</v>
      </c>
      <c r="AI20" s="13">
        <f>+'Internal Wall'!AS96</f>
        <v>0</v>
      </c>
      <c r="AJ20" s="13">
        <f>+'Internal Wall'!AT96</f>
        <v>0</v>
      </c>
      <c r="AK20" s="13">
        <f>+'Internal Wall'!AU96</f>
        <v>0</v>
      </c>
      <c r="AL20" s="13">
        <f>+'Internal Wall'!AV96</f>
        <v>0</v>
      </c>
      <c r="AM20" s="13">
        <f>+'Internal Wall'!AW96</f>
        <v>0</v>
      </c>
      <c r="AN20" s="13">
        <f>+'Internal Wall'!AX96</f>
        <v>0</v>
      </c>
      <c r="AO20" s="13">
        <f>+'Internal Wall'!AY96</f>
        <v>0</v>
      </c>
      <c r="AP20" s="13">
        <f>+'Internal Wall'!AZ96</f>
        <v>0</v>
      </c>
      <c r="AQ20" s="13">
        <f>+'Internal Wall'!BA96</f>
        <v>0</v>
      </c>
      <c r="AR20" s="13">
        <f>+'Internal Wall'!BB96</f>
        <v>20.5</v>
      </c>
      <c r="AS20" s="13">
        <f>+'Internal Wall'!BC96</f>
        <v>0</v>
      </c>
      <c r="AT20" s="13">
        <f>+'Internal Wall'!BD96</f>
        <v>0</v>
      </c>
      <c r="AU20" s="13">
        <f>+'Internal Wall'!BE96</f>
        <v>0</v>
      </c>
      <c r="AV20" s="13">
        <f>+'Internal Wall'!BF96</f>
        <v>0</v>
      </c>
      <c r="AW20" s="13">
        <f>+'Internal Wall'!BG96</f>
        <v>0</v>
      </c>
      <c r="AX20" s="13">
        <f>+'Internal Wall'!BH96</f>
        <v>11</v>
      </c>
      <c r="AY20" s="13">
        <f>+'Internal Wall'!BI96</f>
        <v>0</v>
      </c>
      <c r="AZ20" s="13">
        <f>+'Internal Wall'!BJ96</f>
        <v>0</v>
      </c>
      <c r="BA20" s="13">
        <f>+'Internal Wall'!BK96</f>
        <v>0</v>
      </c>
      <c r="BB20" s="13">
        <f>+'Internal Wall'!BL96</f>
        <v>0</v>
      </c>
      <c r="BC20" s="13">
        <f>+'Internal Wall'!BM96</f>
        <v>0</v>
      </c>
      <c r="BD20" s="13">
        <f>+'Internal Wall'!BN96</f>
        <v>0</v>
      </c>
      <c r="BE20" s="13">
        <f>+'Internal Wall'!BO96</f>
        <v>0</v>
      </c>
      <c r="BF20" s="13">
        <f>+'Internal Wall'!BP96</f>
        <v>0</v>
      </c>
      <c r="BG20" s="13">
        <f>+'Internal Wall'!BQ96</f>
        <v>0</v>
      </c>
      <c r="BH20" s="13">
        <f>+'Internal Wall'!BR96</f>
        <v>0</v>
      </c>
      <c r="BI20" s="13">
        <f>+'Internal Wall'!BS96</f>
        <v>0</v>
      </c>
      <c r="BJ20" s="13">
        <f>+'Internal Wall'!BT96</f>
        <v>0</v>
      </c>
      <c r="BK20" s="13">
        <f>+'Internal Wall'!BU96</f>
        <v>0</v>
      </c>
      <c r="BL20" s="274">
        <f>+'Internal Wall'!BV96</f>
        <v>0</v>
      </c>
      <c r="BM20" s="247">
        <f>+'Internal Wall'!IR97</f>
        <v>0</v>
      </c>
      <c r="BN20" s="73">
        <f>+'Internal Wall'!BX96</f>
        <v>10</v>
      </c>
      <c r="BO20" s="13">
        <f>+'Internal Wall'!BY96</f>
        <v>12</v>
      </c>
      <c r="BP20" s="13">
        <f>+'Internal Wall'!BZ96</f>
        <v>0</v>
      </c>
      <c r="BQ20" s="13">
        <f>+'Internal Wall'!CA96</f>
        <v>0</v>
      </c>
      <c r="BR20" s="13">
        <f>+'Internal Wall'!CB96</f>
        <v>0</v>
      </c>
      <c r="BS20" s="13">
        <f>+'Internal Wall'!CC96</f>
        <v>0</v>
      </c>
      <c r="BT20" s="13">
        <f>+'Internal Wall'!CD96</f>
        <v>0</v>
      </c>
      <c r="BU20" s="13">
        <f>+'Internal Wall'!CE96</f>
        <v>22</v>
      </c>
      <c r="BV20" s="13">
        <f>+'Internal Wall'!CF96</f>
        <v>19.5</v>
      </c>
      <c r="BW20" s="13">
        <f>+'Internal Wall'!CG96</f>
        <v>0</v>
      </c>
      <c r="BX20" s="13">
        <f>+'Internal Wall'!CH96</f>
        <v>0</v>
      </c>
      <c r="BY20" s="13">
        <f>+'Internal Wall'!CI96</f>
        <v>25.5</v>
      </c>
      <c r="BZ20" s="13">
        <f>+'Internal Wall'!CJ96</f>
        <v>0</v>
      </c>
      <c r="CA20" s="13">
        <f>+'Internal Wall'!CK96</f>
        <v>0</v>
      </c>
      <c r="CB20" s="13">
        <f>+'Internal Wall'!CL96</f>
        <v>24</v>
      </c>
      <c r="CC20" s="13">
        <f>+'Internal Wall'!CM96</f>
        <v>0</v>
      </c>
      <c r="CD20" s="13">
        <f>+'Internal Wall'!CN96</f>
        <v>0</v>
      </c>
      <c r="CE20" s="13">
        <f>+'Internal Wall'!CO96</f>
        <v>34</v>
      </c>
      <c r="CF20" s="13">
        <f>+'Internal Wall'!CP96</f>
        <v>0</v>
      </c>
      <c r="CG20" s="13">
        <f>+'Internal Wall'!CQ96</f>
        <v>5.3</v>
      </c>
      <c r="CH20" s="13">
        <f>+'Internal Wall'!CR96</f>
        <v>0</v>
      </c>
      <c r="CI20" s="13">
        <f>+'Internal Wall'!CS96</f>
        <v>12</v>
      </c>
      <c r="CJ20" s="13">
        <f>+'Internal Wall'!CT96</f>
        <v>0</v>
      </c>
      <c r="CK20" s="13">
        <f>+'Internal Wall'!CU96</f>
        <v>0</v>
      </c>
      <c r="CL20" s="13">
        <f>+'Internal Wall'!CV96</f>
        <v>0</v>
      </c>
      <c r="CM20" s="13">
        <f>+'Internal Wall'!CW96</f>
        <v>0</v>
      </c>
      <c r="CN20" s="13">
        <f>+'Internal Wall'!CX96</f>
        <v>12.6</v>
      </c>
      <c r="CO20" s="13">
        <f>+'Internal Wall'!CY96</f>
        <v>6</v>
      </c>
      <c r="CP20" s="13">
        <f>+'Internal Wall'!CZ96</f>
        <v>0</v>
      </c>
      <c r="CQ20" s="101">
        <f>+'Internal Wall'!DA96</f>
        <v>0</v>
      </c>
      <c r="CR20" s="73">
        <f>+'Internal Wall'!DB96</f>
        <v>0</v>
      </c>
      <c r="CS20" s="13">
        <f>+'Internal Wall'!DC96</f>
        <v>16.5</v>
      </c>
      <c r="CT20" s="13">
        <f>+'Internal Wall'!DD96</f>
        <v>35.5</v>
      </c>
      <c r="CU20" s="13">
        <f>+'Internal Wall'!DE96</f>
        <v>19.5</v>
      </c>
      <c r="CV20" s="13">
        <f>+'Internal Wall'!DF96</f>
        <v>23.4</v>
      </c>
      <c r="CW20" s="13">
        <f>+'Internal Wall'!DG96</f>
        <v>24</v>
      </c>
      <c r="CX20" s="13">
        <f>+'Internal Wall'!DH96</f>
        <v>0</v>
      </c>
      <c r="CY20" s="13">
        <f>+'Internal Wall'!DI96</f>
        <v>0</v>
      </c>
      <c r="CZ20" s="13">
        <f>+'Internal Wall'!DJ96</f>
        <v>23.4</v>
      </c>
      <c r="DA20" s="13">
        <f>+'Internal Wall'!DK96</f>
        <v>0</v>
      </c>
      <c r="DB20" s="13">
        <f>+'Internal Wall'!DL96</f>
        <v>0</v>
      </c>
      <c r="DC20" s="13">
        <f>+'Internal Wall'!DM96</f>
        <v>0</v>
      </c>
      <c r="DD20" s="13">
        <f>+'Internal Wall'!DN96</f>
        <v>6.7</v>
      </c>
      <c r="DE20" s="13">
        <f>+'Internal Wall'!DO96</f>
        <v>0</v>
      </c>
      <c r="DF20" s="13">
        <f>+'Internal Wall'!DP96</f>
        <v>0</v>
      </c>
      <c r="DG20" s="13">
        <f>+'Internal Wall'!DQ96</f>
        <v>0</v>
      </c>
      <c r="DH20" s="13">
        <f>+'Internal Wall'!DR96</f>
        <v>0</v>
      </c>
      <c r="DI20" s="13">
        <f>+'Internal Wall'!DS96</f>
        <v>0</v>
      </c>
      <c r="DJ20" s="13">
        <f>+'Internal Wall'!DT96</f>
        <v>0</v>
      </c>
      <c r="DK20" s="13">
        <f>+'Internal Wall'!DU96</f>
        <v>0</v>
      </c>
      <c r="DL20" s="13">
        <f>+'Internal Wall'!DV96</f>
        <v>0</v>
      </c>
      <c r="DM20" s="13">
        <f>+'Internal Wall'!DW96</f>
        <v>0</v>
      </c>
      <c r="DN20" s="13">
        <f>+'Internal Wall'!DX96</f>
        <v>0</v>
      </c>
      <c r="DO20" s="13">
        <f>+'Internal Wall'!DY96</f>
        <v>0</v>
      </c>
      <c r="DP20" s="13">
        <f>+'Internal Wall'!DZ96</f>
        <v>0</v>
      </c>
      <c r="DQ20" s="13">
        <f>+'Internal Wall'!EA96</f>
        <v>0</v>
      </c>
      <c r="DR20" s="13">
        <f>+'Internal Wall'!EB96</f>
        <v>0</v>
      </c>
      <c r="DS20" s="13">
        <f>+'Internal Wall'!EC96</f>
        <v>0</v>
      </c>
      <c r="DT20" s="13">
        <f>+'Internal Wall'!ED96</f>
        <v>0</v>
      </c>
      <c r="DU20" s="13">
        <f>+'Internal Wall'!EE96</f>
        <v>0</v>
      </c>
      <c r="DV20" s="274">
        <f>+'Internal Wall'!EF96</f>
        <v>0</v>
      </c>
      <c r="DW20" s="73">
        <f>+'Internal Wall'!EG96</f>
        <v>0</v>
      </c>
      <c r="DX20" s="13">
        <f>+'Internal Wall'!EH96</f>
        <v>0</v>
      </c>
      <c r="DY20" s="13">
        <f>+'Internal Wall'!EI96</f>
        <v>0</v>
      </c>
      <c r="DZ20" s="13">
        <f>+'Internal Wall'!EJ96</f>
        <v>0</v>
      </c>
      <c r="EA20" s="13">
        <f>+'Internal Wall'!EK96</f>
        <v>0</v>
      </c>
      <c r="EB20" s="13">
        <f>+'Internal Wall'!EL96</f>
        <v>0</v>
      </c>
      <c r="EC20" s="13">
        <f>+'Internal Wall'!EM96</f>
        <v>0</v>
      </c>
      <c r="ED20" s="13">
        <f>+'Internal Wall'!EN96</f>
        <v>40</v>
      </c>
      <c r="EE20" s="13">
        <f>+'Internal Wall'!EO96</f>
        <v>30.5</v>
      </c>
      <c r="EF20" s="13">
        <f>+'Internal Wall'!EP96</f>
        <v>11</v>
      </c>
      <c r="EG20" s="13">
        <f>+'Internal Wall'!EQ96</f>
        <v>0</v>
      </c>
      <c r="EH20" s="13">
        <f>+'Internal Wall'!ER96</f>
        <v>0</v>
      </c>
      <c r="EI20" s="13">
        <f>+'Internal Wall'!ES96</f>
        <v>0</v>
      </c>
      <c r="EJ20" s="13">
        <f>+'Internal Wall'!ET96</f>
        <v>4</v>
      </c>
      <c r="EK20" s="13">
        <f>+'Internal Wall'!EU96</f>
        <v>40</v>
      </c>
      <c r="EL20" s="13">
        <f>+'Internal Wall'!EV96</f>
        <v>0</v>
      </c>
      <c r="EM20" s="13">
        <f>+'Internal Wall'!EW96</f>
        <v>0</v>
      </c>
      <c r="EN20" s="13">
        <f>+'Internal Wall'!EX96</f>
        <v>40.5</v>
      </c>
      <c r="EO20" s="13">
        <f>+'Internal Wall'!EY96</f>
        <v>0</v>
      </c>
      <c r="EP20" s="13">
        <f>+'Internal Wall'!EZ96</f>
        <v>20.5</v>
      </c>
      <c r="EQ20" s="13">
        <f>+'Internal Wall'!FA96</f>
        <v>0</v>
      </c>
      <c r="ER20" s="13">
        <f>+'Internal Wall'!FB96</f>
        <v>0</v>
      </c>
      <c r="ES20" s="13">
        <f>+'Internal Wall'!FC96</f>
        <v>0</v>
      </c>
      <c r="ET20" s="13">
        <f>+'Internal Wall'!FD96</f>
        <v>13</v>
      </c>
      <c r="EU20" s="13">
        <f>+'Internal Wall'!FE96</f>
        <v>0</v>
      </c>
      <c r="EV20" s="13">
        <f>+'Internal Wall'!FF96</f>
        <v>0</v>
      </c>
      <c r="EW20" s="13">
        <f>+'Internal Wall'!FG96</f>
        <v>5.4</v>
      </c>
      <c r="EX20" s="13">
        <f>+'Internal Wall'!FH96</f>
        <v>41.8</v>
      </c>
      <c r="EY20" s="13">
        <f>+'Internal Wall'!FI96</f>
        <v>0</v>
      </c>
      <c r="EZ20" s="101">
        <f>+'Internal Wall'!FJ96</f>
        <v>0</v>
      </c>
      <c r="FA20" s="73">
        <f>+'Internal Wall'!FK96</f>
        <v>64</v>
      </c>
      <c r="FB20" s="13">
        <f>+'Internal Wall'!FL96</f>
        <v>11.5</v>
      </c>
      <c r="FC20" s="13">
        <f>+'Internal Wall'!FM96</f>
        <v>0</v>
      </c>
      <c r="FD20" s="13">
        <f>+'Internal Wall'!FN96</f>
        <v>3</v>
      </c>
      <c r="FE20" s="13">
        <f>+'Internal Wall'!FO96</f>
        <v>0</v>
      </c>
      <c r="FF20" s="13">
        <f>+'Internal Wall'!FP96</f>
        <v>15.5</v>
      </c>
      <c r="FG20" s="13">
        <f>+'Internal Wall'!FQ96</f>
        <v>0</v>
      </c>
      <c r="FH20" s="13">
        <f>+'Internal Wall'!FR96</f>
        <v>0</v>
      </c>
      <c r="FI20" s="13">
        <f>+'Internal Wall'!FS96</f>
        <v>1.5</v>
      </c>
      <c r="FJ20" s="13">
        <f>+'Internal Wall'!FT96</f>
        <v>0</v>
      </c>
      <c r="FK20" s="13">
        <f>+'Internal Wall'!FU96</f>
        <v>71.8</v>
      </c>
      <c r="FL20" s="13">
        <f>+'Internal Wall'!FV96</f>
        <v>0</v>
      </c>
      <c r="FM20" s="13">
        <f>+'Internal Wall'!FW96</f>
        <v>0</v>
      </c>
      <c r="FN20" s="13">
        <f>+'Internal Wall'!FX96</f>
        <v>5.0999999999999996</v>
      </c>
      <c r="FO20" s="13">
        <f>+'Internal Wall'!FY96</f>
        <v>0</v>
      </c>
      <c r="FP20" s="13">
        <f>+'Internal Wall'!FZ96</f>
        <v>0</v>
      </c>
      <c r="FQ20" s="13">
        <f>+'Internal Wall'!GA96</f>
        <v>0</v>
      </c>
      <c r="FR20" s="13">
        <f>+'Internal Wall'!GB96</f>
        <v>7</v>
      </c>
      <c r="FS20" s="13">
        <f>+'Internal Wall'!GC96</f>
        <v>0</v>
      </c>
      <c r="FT20" s="13">
        <f>+'Internal Wall'!GD96</f>
        <v>0</v>
      </c>
      <c r="FU20" s="13">
        <f>+'Internal Wall'!GE96</f>
        <v>0</v>
      </c>
      <c r="FV20" s="13">
        <f>+'Internal Wall'!GF96</f>
        <v>0</v>
      </c>
      <c r="FW20" s="13">
        <f>+'Internal Wall'!GG96</f>
        <v>0</v>
      </c>
      <c r="FX20" s="13">
        <f>+'Internal Wall'!GH96</f>
        <v>0</v>
      </c>
      <c r="FY20" s="13">
        <f>+'Internal Wall'!GI96</f>
        <v>0</v>
      </c>
      <c r="FZ20" s="13">
        <f>+'Internal Wall'!GJ96</f>
        <v>0</v>
      </c>
      <c r="GA20" s="13">
        <f>+'Internal Wall'!GK96</f>
        <v>0</v>
      </c>
      <c r="GB20" s="13">
        <f>+'Internal Wall'!GL96</f>
        <v>0</v>
      </c>
      <c r="GC20" s="13">
        <f>+'Internal Wall'!GM96</f>
        <v>0</v>
      </c>
      <c r="GD20" s="13">
        <f>+'Internal Wall'!GN96</f>
        <v>0</v>
      </c>
      <c r="GE20" s="101">
        <f>+'Internal Wall'!GO96</f>
        <v>0</v>
      </c>
      <c r="GF20" s="436"/>
      <c r="GG20" s="424"/>
      <c r="GH20" s="424"/>
      <c r="GI20" s="424"/>
      <c r="GJ20" s="424"/>
      <c r="GK20" s="424"/>
      <c r="GL20" s="424"/>
      <c r="GM20" s="424"/>
      <c r="GN20" s="424"/>
      <c r="GO20" s="424"/>
      <c r="GP20" s="424"/>
      <c r="GQ20" s="424"/>
      <c r="GR20" s="424"/>
      <c r="GS20" s="424"/>
      <c r="GT20" s="424"/>
      <c r="GU20" s="424"/>
      <c r="GV20" s="424"/>
      <c r="GW20" s="424"/>
      <c r="GX20" s="424"/>
      <c r="GY20" s="424"/>
      <c r="GZ20" s="442"/>
    </row>
    <row r="21" spans="1:208" ht="15" hidden="1" customHeight="1" thickBot="1" x14ac:dyDescent="0.3">
      <c r="A21" s="479"/>
      <c r="B21" s="474"/>
      <c r="C21" s="23" t="s">
        <v>83</v>
      </c>
      <c r="D21" s="2" t="s">
        <v>87</v>
      </c>
      <c r="E21" s="7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274"/>
      <c r="AG21" s="162"/>
      <c r="AH21" s="7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274"/>
      <c r="BM21" s="247"/>
      <c r="BN21" s="7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01"/>
      <c r="CR21" s="7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274"/>
      <c r="DW21" s="7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01"/>
      <c r="FA21" s="7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01"/>
      <c r="GF21" s="436"/>
      <c r="GG21" s="424"/>
      <c r="GH21" s="424"/>
      <c r="GI21" s="424"/>
      <c r="GJ21" s="424"/>
      <c r="GK21" s="424"/>
      <c r="GL21" s="424"/>
      <c r="GM21" s="424"/>
      <c r="GN21" s="424"/>
      <c r="GO21" s="424"/>
      <c r="GP21" s="424"/>
      <c r="GQ21" s="424"/>
      <c r="GR21" s="424"/>
      <c r="GS21" s="424"/>
      <c r="GT21" s="424"/>
      <c r="GU21" s="424"/>
      <c r="GV21" s="424"/>
      <c r="GW21" s="424"/>
      <c r="GX21" s="424"/>
      <c r="GY21" s="424"/>
      <c r="GZ21" s="442"/>
    </row>
    <row r="22" spans="1:208" ht="15" hidden="1" customHeight="1" thickBot="1" x14ac:dyDescent="0.3">
      <c r="A22" s="480"/>
      <c r="B22" s="475"/>
      <c r="C22" s="196" t="s">
        <v>84</v>
      </c>
      <c r="D22" s="195" t="s">
        <v>88</v>
      </c>
      <c r="E22" s="197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287"/>
      <c r="AG22" s="200"/>
      <c r="AH22" s="197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287"/>
      <c r="BM22" s="247"/>
      <c r="BN22" s="197"/>
      <c r="BO22" s="198"/>
      <c r="BP22" s="198"/>
      <c r="BQ22" s="198"/>
      <c r="BR22" s="198"/>
      <c r="BS22" s="198"/>
      <c r="BT22" s="198"/>
      <c r="BU22" s="198"/>
      <c r="BV22" s="198"/>
      <c r="BW22" s="198"/>
      <c r="BX22" s="198"/>
      <c r="BY22" s="198"/>
      <c r="BZ22" s="198"/>
      <c r="CA22" s="198"/>
      <c r="CB22" s="198"/>
      <c r="CC22" s="198"/>
      <c r="CD22" s="198"/>
      <c r="CE22" s="198"/>
      <c r="CF22" s="198"/>
      <c r="CG22" s="198"/>
      <c r="CH22" s="198"/>
      <c r="CI22" s="198"/>
      <c r="CJ22" s="198"/>
      <c r="CK22" s="198"/>
      <c r="CL22" s="198"/>
      <c r="CM22" s="198"/>
      <c r="CN22" s="198"/>
      <c r="CO22" s="198"/>
      <c r="CP22" s="198"/>
      <c r="CQ22" s="199"/>
      <c r="CR22" s="197"/>
      <c r="CS22" s="198"/>
      <c r="CT22" s="198"/>
      <c r="CU22" s="198"/>
      <c r="CV22" s="198"/>
      <c r="CW22" s="198"/>
      <c r="CX22" s="198"/>
      <c r="CY22" s="198"/>
      <c r="CZ22" s="198"/>
      <c r="DA22" s="198"/>
      <c r="DB22" s="198"/>
      <c r="DC22" s="198"/>
      <c r="DD22" s="198"/>
      <c r="DE22" s="198"/>
      <c r="DF22" s="198"/>
      <c r="DG22" s="198"/>
      <c r="DH22" s="198"/>
      <c r="DI22" s="198"/>
      <c r="DJ22" s="198"/>
      <c r="DK22" s="198"/>
      <c r="DL22" s="198"/>
      <c r="DM22" s="198"/>
      <c r="DN22" s="198"/>
      <c r="DO22" s="198"/>
      <c r="DP22" s="198"/>
      <c r="DQ22" s="198"/>
      <c r="DR22" s="198"/>
      <c r="DS22" s="198"/>
      <c r="DT22" s="198"/>
      <c r="DU22" s="198"/>
      <c r="DV22" s="287"/>
      <c r="DW22" s="197"/>
      <c r="DX22" s="198"/>
      <c r="DY22" s="198"/>
      <c r="DZ22" s="198"/>
      <c r="EA22" s="198"/>
      <c r="EB22" s="198"/>
      <c r="EC22" s="198"/>
      <c r="ED22" s="198"/>
      <c r="EE22" s="198"/>
      <c r="EF22" s="198"/>
      <c r="EG22" s="198"/>
      <c r="EH22" s="198"/>
      <c r="EI22" s="198"/>
      <c r="EJ22" s="198"/>
      <c r="EK22" s="198"/>
      <c r="EL22" s="198"/>
      <c r="EM22" s="198"/>
      <c r="EN22" s="198"/>
      <c r="EO22" s="198"/>
      <c r="EP22" s="198"/>
      <c r="EQ22" s="198"/>
      <c r="ER22" s="198"/>
      <c r="ES22" s="198"/>
      <c r="ET22" s="198"/>
      <c r="EU22" s="198"/>
      <c r="EV22" s="198"/>
      <c r="EW22" s="198"/>
      <c r="EX22" s="198"/>
      <c r="EY22" s="198"/>
      <c r="EZ22" s="199"/>
      <c r="FA22" s="197"/>
      <c r="FB22" s="198"/>
      <c r="FC22" s="198"/>
      <c r="FD22" s="198"/>
      <c r="FE22" s="198"/>
      <c r="FF22" s="198"/>
      <c r="FG22" s="198"/>
      <c r="FH22" s="198"/>
      <c r="FI22" s="198"/>
      <c r="FJ22" s="198"/>
      <c r="FK22" s="198"/>
      <c r="FL22" s="198"/>
      <c r="FM22" s="198"/>
      <c r="FN22" s="198"/>
      <c r="FO22" s="198"/>
      <c r="FP22" s="198"/>
      <c r="FQ22" s="198"/>
      <c r="FR22" s="198"/>
      <c r="FS22" s="198"/>
      <c r="FT22" s="198"/>
      <c r="FU22" s="198"/>
      <c r="FV22" s="198"/>
      <c r="FW22" s="198"/>
      <c r="FX22" s="198"/>
      <c r="FY22" s="198"/>
      <c r="FZ22" s="198"/>
      <c r="GA22" s="198"/>
      <c r="GB22" s="198"/>
      <c r="GC22" s="198"/>
      <c r="GD22" s="198"/>
      <c r="GE22" s="199"/>
      <c r="GF22" s="437"/>
      <c r="GG22" s="435"/>
      <c r="GH22" s="435"/>
      <c r="GI22" s="435"/>
      <c r="GJ22" s="435"/>
      <c r="GK22" s="435"/>
      <c r="GL22" s="435"/>
      <c r="GM22" s="435"/>
      <c r="GN22" s="435"/>
      <c r="GO22" s="435"/>
      <c r="GP22" s="435"/>
      <c r="GQ22" s="435"/>
      <c r="GR22" s="435"/>
      <c r="GS22" s="435"/>
      <c r="GT22" s="435"/>
      <c r="GU22" s="435"/>
      <c r="GV22" s="435"/>
      <c r="GW22" s="435"/>
      <c r="GX22" s="435"/>
      <c r="GY22" s="435"/>
      <c r="GZ22" s="443"/>
    </row>
    <row r="23" spans="1:208" ht="15" hidden="1" customHeight="1" thickBot="1" x14ac:dyDescent="0.3">
      <c r="A23" s="9"/>
      <c r="B23" s="201"/>
      <c r="C23" s="202"/>
      <c r="D23" s="203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179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89"/>
      <c r="BK23" s="289"/>
      <c r="BL23" s="289"/>
      <c r="BM23" s="247"/>
      <c r="BN23" s="289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89"/>
      <c r="CQ23" s="289"/>
      <c r="CR23" s="288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89"/>
      <c r="DD23" s="289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89"/>
      <c r="DV23" s="352"/>
      <c r="DW23" s="288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89"/>
      <c r="EQ23" s="289"/>
      <c r="ER23" s="289"/>
      <c r="ES23" s="289"/>
      <c r="ET23" s="289"/>
      <c r="EU23" s="289"/>
      <c r="EV23" s="289"/>
      <c r="EW23" s="289"/>
      <c r="EX23" s="289"/>
      <c r="EY23" s="289"/>
      <c r="EZ23" s="289"/>
      <c r="FA23" s="288"/>
      <c r="FB23" s="289"/>
      <c r="FC23" s="289"/>
      <c r="FD23" s="289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88"/>
      <c r="GG23" s="289"/>
      <c r="GH23" s="289"/>
      <c r="GI23" s="289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444"/>
    </row>
    <row r="24" spans="1:208" ht="15" hidden="1" customHeight="1" thickBot="1" x14ac:dyDescent="0.3">
      <c r="A24" s="482"/>
      <c r="B24" s="481" t="s">
        <v>114</v>
      </c>
      <c r="C24" s="25" t="s">
        <v>82</v>
      </c>
      <c r="D24" s="32" t="s">
        <v>86</v>
      </c>
      <c r="E24" s="71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276"/>
      <c r="AG24" s="165"/>
      <c r="AH24" s="71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276"/>
      <c r="BM24" s="247"/>
      <c r="BN24" s="71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157"/>
      <c r="CR24" s="71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276"/>
      <c r="DW24" s="71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157"/>
      <c r="FA24" s="71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157"/>
      <c r="GF24" s="389"/>
      <c r="GG24" s="154"/>
      <c r="GH24" s="154"/>
      <c r="GI24" s="154"/>
      <c r="GJ24" s="154"/>
      <c r="GK24" s="154"/>
      <c r="GL24" s="154"/>
      <c r="GM24" s="154"/>
      <c r="GN24" s="154"/>
      <c r="GO24" s="154"/>
      <c r="GP24" s="154"/>
      <c r="GQ24" s="154"/>
      <c r="GR24" s="154"/>
      <c r="GS24" s="154"/>
      <c r="GT24" s="154"/>
      <c r="GU24" s="154"/>
      <c r="GV24" s="154"/>
      <c r="GW24" s="154"/>
      <c r="GX24" s="154"/>
      <c r="GY24" s="154"/>
      <c r="GZ24" s="168"/>
    </row>
    <row r="25" spans="1:208" ht="15" hidden="1" customHeight="1" thickBot="1" x14ac:dyDescent="0.3">
      <c r="A25" s="479"/>
      <c r="B25" s="474"/>
      <c r="C25" s="23" t="s">
        <v>81</v>
      </c>
      <c r="D25" s="2" t="s">
        <v>87</v>
      </c>
      <c r="E25" s="73">
        <f>+'Internal Wall'!O100</f>
        <v>0</v>
      </c>
      <c r="F25" s="73">
        <f>+'Internal Wall'!P100</f>
        <v>0</v>
      </c>
      <c r="G25" s="73">
        <f>+'Internal Wall'!Q100</f>
        <v>0</v>
      </c>
      <c r="H25" s="73">
        <f>+'Internal Wall'!R100</f>
        <v>0</v>
      </c>
      <c r="I25" s="73">
        <f>+'Internal Wall'!S100</f>
        <v>0</v>
      </c>
      <c r="J25" s="73">
        <f>+'Internal Wall'!T100</f>
        <v>0</v>
      </c>
      <c r="K25" s="73">
        <f>+'Internal Wall'!U100</f>
        <v>0</v>
      </c>
      <c r="L25" s="73">
        <f>+'Internal Wall'!V100</f>
        <v>0</v>
      </c>
      <c r="M25" s="73">
        <f>+'Internal Wall'!W100</f>
        <v>0</v>
      </c>
      <c r="N25" s="73">
        <f>+'Internal Wall'!X100</f>
        <v>0</v>
      </c>
      <c r="O25" s="73">
        <f>+'Internal Wall'!Y100</f>
        <v>0</v>
      </c>
      <c r="P25" s="73">
        <f>+'Internal Wall'!Z100</f>
        <v>0</v>
      </c>
      <c r="Q25" s="73">
        <f>+'Internal Wall'!AA100</f>
        <v>0</v>
      </c>
      <c r="R25" s="73">
        <f>+'Internal Wall'!AB100</f>
        <v>0</v>
      </c>
      <c r="S25" s="73">
        <f>+'Internal Wall'!AC100</f>
        <v>0</v>
      </c>
      <c r="T25" s="73">
        <f>+'Internal Wall'!AD100</f>
        <v>0</v>
      </c>
      <c r="U25" s="73">
        <f>+'Internal Wall'!AE100</f>
        <v>0</v>
      </c>
      <c r="V25" s="73">
        <f>+'Internal Wall'!AF100</f>
        <v>0</v>
      </c>
      <c r="W25" s="73">
        <f>+'Internal Wall'!AG100</f>
        <v>0</v>
      </c>
      <c r="X25" s="73">
        <f>+'Internal Wall'!AH100</f>
        <v>0</v>
      </c>
      <c r="Y25" s="73">
        <f>+'Internal Wall'!AI100</f>
        <v>0</v>
      </c>
      <c r="Z25" s="73">
        <f>+'Internal Wall'!AJ100</f>
        <v>0</v>
      </c>
      <c r="AA25" s="73">
        <f>+'Internal Wall'!AK100</f>
        <v>0</v>
      </c>
      <c r="AB25" s="73">
        <f>+'Internal Wall'!AL100</f>
        <v>0</v>
      </c>
      <c r="AC25" s="73">
        <f>+'Internal Wall'!AM100</f>
        <v>0</v>
      </c>
      <c r="AD25" s="73">
        <f>+'Internal Wall'!AN100</f>
        <v>0</v>
      </c>
      <c r="AE25" s="73">
        <f>+'Internal Wall'!AO100</f>
        <v>0</v>
      </c>
      <c r="AF25" s="73">
        <f>+'Internal Wall'!AP100</f>
        <v>0</v>
      </c>
      <c r="AG25" s="162"/>
      <c r="AH25" s="73">
        <f>+'Internal Wall'!AR100</f>
        <v>0</v>
      </c>
      <c r="AI25" s="73">
        <f>+'Internal Wall'!AS100</f>
        <v>0</v>
      </c>
      <c r="AJ25" s="73">
        <f>+'Internal Wall'!AT100</f>
        <v>0</v>
      </c>
      <c r="AK25" s="73">
        <f>+'Internal Wall'!AU100</f>
        <v>0</v>
      </c>
      <c r="AL25" s="73">
        <f>+'Internal Wall'!AV100</f>
        <v>0</v>
      </c>
      <c r="AM25" s="73">
        <f>+'Internal Wall'!AW100</f>
        <v>0</v>
      </c>
      <c r="AN25" s="73">
        <f>+'Internal Wall'!AX100</f>
        <v>0</v>
      </c>
      <c r="AO25" s="73">
        <f>+'Internal Wall'!AY100</f>
        <v>0</v>
      </c>
      <c r="AP25" s="73">
        <f>+'Internal Wall'!AZ100</f>
        <v>0</v>
      </c>
      <c r="AQ25" s="73">
        <f>+'Internal Wall'!BA100</f>
        <v>0</v>
      </c>
      <c r="AR25" s="73">
        <f>+'Internal Wall'!BB100</f>
        <v>0</v>
      </c>
      <c r="AS25" s="73">
        <f>+'Internal Wall'!BC100</f>
        <v>0</v>
      </c>
      <c r="AT25" s="73">
        <f>+'Internal Wall'!BD100</f>
        <v>0</v>
      </c>
      <c r="AU25" s="73">
        <f>+'Internal Wall'!BE100</f>
        <v>0</v>
      </c>
      <c r="AV25" s="73">
        <f>+'Internal Wall'!BF100</f>
        <v>0</v>
      </c>
      <c r="AW25" s="73">
        <f>+'Internal Wall'!BG100</f>
        <v>0</v>
      </c>
      <c r="AX25" s="73">
        <f>+'Internal Wall'!BH100</f>
        <v>0</v>
      </c>
      <c r="AY25" s="73">
        <f>+'Internal Wall'!BI100</f>
        <v>0</v>
      </c>
      <c r="AZ25" s="73">
        <f>+'Internal Wall'!BJ100</f>
        <v>0</v>
      </c>
      <c r="BA25" s="73">
        <f>+'Internal Wall'!BK100</f>
        <v>0</v>
      </c>
      <c r="BB25" s="73">
        <f>+'Internal Wall'!BL100</f>
        <v>0</v>
      </c>
      <c r="BC25" s="73">
        <f>+'Internal Wall'!BM100</f>
        <v>0</v>
      </c>
      <c r="BD25" s="73">
        <f>+'Internal Wall'!BN100</f>
        <v>0</v>
      </c>
      <c r="BE25" s="73">
        <f>+'Internal Wall'!BO100</f>
        <v>0</v>
      </c>
      <c r="BF25" s="73">
        <f>+'Internal Wall'!BP100</f>
        <v>0</v>
      </c>
      <c r="BG25" s="73">
        <f>+'Internal Wall'!BQ100</f>
        <v>0</v>
      </c>
      <c r="BH25" s="73">
        <f>+'Internal Wall'!BR100</f>
        <v>0</v>
      </c>
      <c r="BI25" s="73">
        <f>+'Internal Wall'!BS100</f>
        <v>0</v>
      </c>
      <c r="BJ25" s="73">
        <f>+'Internal Wall'!BT100</f>
        <v>0</v>
      </c>
      <c r="BK25" s="73">
        <f>+'Internal Wall'!BU100</f>
        <v>0</v>
      </c>
      <c r="BL25" s="73">
        <f>+'Internal Wall'!BV100</f>
        <v>0</v>
      </c>
      <c r="BM25" s="247"/>
      <c r="BN25" s="73">
        <f>+'Internal Wall'!BX100</f>
        <v>0</v>
      </c>
      <c r="BO25" s="73">
        <f>+'Internal Wall'!BY100</f>
        <v>0</v>
      </c>
      <c r="BP25" s="73">
        <f>+'Internal Wall'!BZ100</f>
        <v>0</v>
      </c>
      <c r="BQ25" s="73">
        <f>+'Internal Wall'!CA100</f>
        <v>0</v>
      </c>
      <c r="BR25" s="73">
        <f>+'Internal Wall'!CB100</f>
        <v>0</v>
      </c>
      <c r="BS25" s="73">
        <f>+'Internal Wall'!CC100</f>
        <v>0</v>
      </c>
      <c r="BT25" s="73">
        <f>+'Internal Wall'!CD100</f>
        <v>0</v>
      </c>
      <c r="BU25" s="73">
        <f>+'Internal Wall'!CE100</f>
        <v>0</v>
      </c>
      <c r="BV25" s="73">
        <f>+'Internal Wall'!CF100</f>
        <v>0</v>
      </c>
      <c r="BW25" s="73">
        <f>+'Internal Wall'!CG100</f>
        <v>0</v>
      </c>
      <c r="BX25" s="73">
        <f>+'Internal Wall'!CH100</f>
        <v>0</v>
      </c>
      <c r="BY25" s="73">
        <f>+'Internal Wall'!CI100</f>
        <v>0</v>
      </c>
      <c r="BZ25" s="73">
        <f>+'Internal Wall'!CJ100</f>
        <v>0</v>
      </c>
      <c r="CA25" s="73">
        <f>+'Internal Wall'!CK100</f>
        <v>0</v>
      </c>
      <c r="CB25" s="73">
        <f>+'Internal Wall'!CL100</f>
        <v>0</v>
      </c>
      <c r="CC25" s="73">
        <f>+'Internal Wall'!CM100</f>
        <v>0</v>
      </c>
      <c r="CD25" s="73">
        <f>+'Internal Wall'!CN100</f>
        <v>0</v>
      </c>
      <c r="CE25" s="73">
        <f>+'Internal Wall'!CO100</f>
        <v>0</v>
      </c>
      <c r="CF25" s="73">
        <f>+'Internal Wall'!CP100</f>
        <v>0</v>
      </c>
      <c r="CG25" s="73">
        <f>+'Internal Wall'!CQ100</f>
        <v>0</v>
      </c>
      <c r="CH25" s="73">
        <f>+'Internal Wall'!CR100</f>
        <v>0</v>
      </c>
      <c r="CI25" s="73">
        <f>+'Internal Wall'!CS100</f>
        <v>0</v>
      </c>
      <c r="CJ25" s="73">
        <f>+'Internal Wall'!CT100</f>
        <v>0</v>
      </c>
      <c r="CK25" s="73">
        <f>+'Internal Wall'!CU100</f>
        <v>0</v>
      </c>
      <c r="CL25" s="73">
        <f>+'Internal Wall'!CV100</f>
        <v>0</v>
      </c>
      <c r="CM25" s="73">
        <f>+'Internal Wall'!CW100</f>
        <v>0</v>
      </c>
      <c r="CN25" s="73">
        <f>+'Internal Wall'!CX100</f>
        <v>0</v>
      </c>
      <c r="CO25" s="73">
        <f>+'Internal Wall'!CY100</f>
        <v>0</v>
      </c>
      <c r="CP25" s="73">
        <f>+'Internal Wall'!CZ100</f>
        <v>0</v>
      </c>
      <c r="CQ25" s="160">
        <f>+'Internal Wall'!DA100</f>
        <v>0</v>
      </c>
      <c r="CR25" s="73">
        <f>+'Internal Wall'!DB100</f>
        <v>0</v>
      </c>
      <c r="CS25" s="73">
        <f>+'Internal Wall'!DC100</f>
        <v>0</v>
      </c>
      <c r="CT25" s="73">
        <f>+'Internal Wall'!DD100</f>
        <v>0</v>
      </c>
      <c r="CU25" s="73">
        <f>+'Internal Wall'!DE100</f>
        <v>0</v>
      </c>
      <c r="CV25" s="73">
        <f>+'Internal Wall'!DF100</f>
        <v>0</v>
      </c>
      <c r="CW25" s="73">
        <f>+'Internal Wall'!DG100</f>
        <v>0</v>
      </c>
      <c r="CX25" s="73">
        <f>+'Internal Wall'!DH100</f>
        <v>0</v>
      </c>
      <c r="CY25" s="73">
        <f>+'Internal Wall'!DI100</f>
        <v>0</v>
      </c>
      <c r="CZ25" s="73">
        <f>+'Internal Wall'!DJ100</f>
        <v>0</v>
      </c>
      <c r="DA25" s="73">
        <f>+'Internal Wall'!DK100</f>
        <v>0</v>
      </c>
      <c r="DB25" s="73">
        <f>+'Internal Wall'!DL100</f>
        <v>0</v>
      </c>
      <c r="DC25" s="73">
        <f>+'Internal Wall'!DM100</f>
        <v>0</v>
      </c>
      <c r="DD25" s="73">
        <f>+'Internal Wall'!DN100</f>
        <v>0</v>
      </c>
      <c r="DE25" s="73">
        <f>+'Internal Wall'!DO100</f>
        <v>0</v>
      </c>
      <c r="DF25" s="73">
        <f>+'Internal Wall'!DP100</f>
        <v>0</v>
      </c>
      <c r="DG25" s="73">
        <f>+'Internal Wall'!DQ100</f>
        <v>0</v>
      </c>
      <c r="DH25" s="73">
        <f>+'Internal Wall'!DR100</f>
        <v>0</v>
      </c>
      <c r="DI25" s="73">
        <f>+'Internal Wall'!DS100</f>
        <v>0</v>
      </c>
      <c r="DJ25" s="73">
        <f>+'Internal Wall'!DT100</f>
        <v>0</v>
      </c>
      <c r="DK25" s="73">
        <f>+'Internal Wall'!DU100</f>
        <v>0</v>
      </c>
      <c r="DL25" s="73">
        <f>+'Internal Wall'!DV100</f>
        <v>0</v>
      </c>
      <c r="DM25" s="73">
        <f>+'Internal Wall'!DW100</f>
        <v>0</v>
      </c>
      <c r="DN25" s="73">
        <f>+'Internal Wall'!DX100</f>
        <v>16</v>
      </c>
      <c r="DO25" s="73">
        <f>+'Internal Wall'!DY100</f>
        <v>12</v>
      </c>
      <c r="DP25" s="73">
        <f>+'Internal Wall'!DZ100</f>
        <v>0</v>
      </c>
      <c r="DQ25" s="73">
        <f>+'Internal Wall'!EA100</f>
        <v>0</v>
      </c>
      <c r="DR25" s="73">
        <f>+'Internal Wall'!EB100</f>
        <v>0</v>
      </c>
      <c r="DS25" s="73">
        <f>+'Internal Wall'!EC100</f>
        <v>0</v>
      </c>
      <c r="DT25" s="73">
        <f>+'Internal Wall'!ED100</f>
        <v>0</v>
      </c>
      <c r="DU25" s="73">
        <f>+'Internal Wall'!EE100</f>
        <v>0</v>
      </c>
      <c r="DV25" s="353">
        <f>+'Internal Wall'!EF100</f>
        <v>8</v>
      </c>
      <c r="DW25" s="73">
        <f>+'Internal Wall'!EG100</f>
        <v>0</v>
      </c>
      <c r="DX25" s="73">
        <f>+'Internal Wall'!EH100</f>
        <v>0</v>
      </c>
      <c r="DY25" s="73">
        <f>+'Internal Wall'!EI100</f>
        <v>0</v>
      </c>
      <c r="DZ25" s="73">
        <f>+'Internal Wall'!EJ100</f>
        <v>0</v>
      </c>
      <c r="EA25" s="73">
        <f>+'Internal Wall'!EK100</f>
        <v>0</v>
      </c>
      <c r="EB25" s="73">
        <f>+'Internal Wall'!EL100</f>
        <v>0</v>
      </c>
      <c r="EC25" s="73">
        <f>+'Internal Wall'!EM100</f>
        <v>0</v>
      </c>
      <c r="ED25" s="73">
        <f>+'Internal Wall'!EN100</f>
        <v>35.299999999999997</v>
      </c>
      <c r="EE25" s="73">
        <f>+'Internal Wall'!EO100</f>
        <v>0</v>
      </c>
      <c r="EF25" s="73">
        <f>+'Internal Wall'!EP100</f>
        <v>0</v>
      </c>
      <c r="EG25" s="73">
        <f>+'Internal Wall'!EQ100</f>
        <v>0</v>
      </c>
      <c r="EH25" s="73">
        <f>+'Internal Wall'!ER100</f>
        <v>0</v>
      </c>
      <c r="EI25" s="73">
        <f>+'Internal Wall'!ES100</f>
        <v>20.100000000000001</v>
      </c>
      <c r="EJ25" s="73">
        <f>+'Internal Wall'!ET100</f>
        <v>0</v>
      </c>
      <c r="EK25" s="73">
        <f>+'Internal Wall'!EU100</f>
        <v>0</v>
      </c>
      <c r="EL25" s="73">
        <f>+'Internal Wall'!EV100</f>
        <v>0</v>
      </c>
      <c r="EM25" s="73">
        <f>+'Internal Wall'!EW100</f>
        <v>0</v>
      </c>
      <c r="EN25" s="73">
        <f>+'Internal Wall'!EX100</f>
        <v>9.6</v>
      </c>
      <c r="EO25" s="73">
        <f>+'Internal Wall'!EY100</f>
        <v>0</v>
      </c>
      <c r="EP25" s="73">
        <f>+'Internal Wall'!EZ100</f>
        <v>0</v>
      </c>
      <c r="EQ25" s="73">
        <f>+'Internal Wall'!FA100</f>
        <v>18</v>
      </c>
      <c r="ER25" s="73">
        <f>+'Internal Wall'!FB100</f>
        <v>0</v>
      </c>
      <c r="ES25" s="73">
        <f>+'Internal Wall'!FC100</f>
        <v>20</v>
      </c>
      <c r="ET25" s="73">
        <f>+'Internal Wall'!FD100</f>
        <v>19</v>
      </c>
      <c r="EU25" s="73">
        <f>+'Internal Wall'!FE100</f>
        <v>6.9</v>
      </c>
      <c r="EV25" s="73">
        <f>+'Internal Wall'!FF100</f>
        <v>0</v>
      </c>
      <c r="EW25" s="73">
        <f>+'Internal Wall'!FG100</f>
        <v>26</v>
      </c>
      <c r="EX25" s="73">
        <f>+'Internal Wall'!FH100</f>
        <v>0</v>
      </c>
      <c r="EY25" s="73">
        <f>+'Internal Wall'!FI100</f>
        <v>0</v>
      </c>
      <c r="EZ25" s="160">
        <f>+'Internal Wall'!FJ100</f>
        <v>0</v>
      </c>
      <c r="FA25" s="73">
        <f>+'Internal Wall'!FK100</f>
        <v>24.4</v>
      </c>
      <c r="FB25" s="73">
        <f>+'Internal Wall'!FL100</f>
        <v>6</v>
      </c>
      <c r="FC25" s="73">
        <f>+'Internal Wall'!FM100</f>
        <v>0</v>
      </c>
      <c r="FD25" s="73">
        <f>+'Internal Wall'!FN100</f>
        <v>0</v>
      </c>
      <c r="FE25" s="73">
        <f>+'Internal Wall'!FO100</f>
        <v>0</v>
      </c>
      <c r="FF25" s="73">
        <f>+'Internal Wall'!FP100</f>
        <v>0</v>
      </c>
      <c r="FG25" s="73">
        <f>+'Internal Wall'!FQ100</f>
        <v>0</v>
      </c>
      <c r="FH25" s="73">
        <f>+'Internal Wall'!FR100</f>
        <v>29</v>
      </c>
      <c r="FI25" s="73">
        <f>+'Internal Wall'!FS100</f>
        <v>0</v>
      </c>
      <c r="FJ25" s="73">
        <f>+'Internal Wall'!FT100</f>
        <v>0</v>
      </c>
      <c r="FK25" s="73">
        <f>+'Internal Wall'!FU100</f>
        <v>23</v>
      </c>
      <c r="FL25" s="73">
        <f>+'Internal Wall'!FV100</f>
        <v>23.5</v>
      </c>
      <c r="FM25" s="73">
        <f>+'Internal Wall'!FW100</f>
        <v>0</v>
      </c>
      <c r="FN25" s="73">
        <f>+'Internal Wall'!FX100</f>
        <v>0</v>
      </c>
      <c r="FO25" s="73">
        <f>+'Internal Wall'!FY100</f>
        <v>0</v>
      </c>
      <c r="FP25" s="73">
        <f>+'Internal Wall'!FZ100</f>
        <v>0</v>
      </c>
      <c r="FQ25" s="73">
        <f>+'Internal Wall'!GA100</f>
        <v>0</v>
      </c>
      <c r="FR25" s="73">
        <f>+'Internal Wall'!GB100</f>
        <v>0</v>
      </c>
      <c r="FS25" s="73">
        <f>+'Internal Wall'!GC100</f>
        <v>0</v>
      </c>
      <c r="FT25" s="73">
        <f>+'Internal Wall'!GD100</f>
        <v>0</v>
      </c>
      <c r="FU25" s="73">
        <f>+'Internal Wall'!GE100</f>
        <v>0</v>
      </c>
      <c r="FV25" s="73">
        <f>+'Internal Wall'!GF100</f>
        <v>0</v>
      </c>
      <c r="FW25" s="73">
        <f>+'Internal Wall'!GG100</f>
        <v>0</v>
      </c>
      <c r="FX25" s="73">
        <f>+'Internal Wall'!GH100</f>
        <v>0</v>
      </c>
      <c r="FY25" s="73">
        <f>+'Internal Wall'!GI100</f>
        <v>0</v>
      </c>
      <c r="FZ25" s="73">
        <f>+'Internal Wall'!GJ100</f>
        <v>0</v>
      </c>
      <c r="GA25" s="73">
        <f>+'Internal Wall'!GK100</f>
        <v>11</v>
      </c>
      <c r="GB25" s="73">
        <f>+'Internal Wall'!GL100</f>
        <v>30.3</v>
      </c>
      <c r="GC25" s="73">
        <f>+'Internal Wall'!GM100</f>
        <v>11</v>
      </c>
      <c r="GD25" s="73">
        <f>+'Internal Wall'!GN100</f>
        <v>0</v>
      </c>
      <c r="GE25" s="160">
        <f>+'Internal Wall'!GO100</f>
        <v>0</v>
      </c>
      <c r="GF25" s="436"/>
      <c r="GG25" s="424"/>
      <c r="GH25" s="424"/>
      <c r="GI25" s="424"/>
      <c r="GJ25" s="424"/>
      <c r="GK25" s="424"/>
      <c r="GL25" s="424"/>
      <c r="GM25" s="424"/>
      <c r="GN25" s="424"/>
      <c r="GO25" s="424"/>
      <c r="GP25" s="424"/>
      <c r="GQ25" s="424"/>
      <c r="GR25" s="424"/>
      <c r="GS25" s="424"/>
      <c r="GT25" s="424"/>
      <c r="GU25" s="424"/>
      <c r="GV25" s="424"/>
      <c r="GW25" s="424"/>
      <c r="GX25" s="424"/>
      <c r="GY25" s="424"/>
      <c r="GZ25" s="442"/>
    </row>
    <row r="26" spans="1:208" ht="15" hidden="1" customHeight="1" thickBot="1" x14ac:dyDescent="0.3">
      <c r="A26" s="479"/>
      <c r="B26" s="474"/>
      <c r="C26" s="23" t="s">
        <v>83</v>
      </c>
      <c r="D26" s="2" t="s">
        <v>87</v>
      </c>
      <c r="E26" s="7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74"/>
      <c r="AG26" s="162"/>
      <c r="AH26" s="7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274"/>
      <c r="BM26" s="247"/>
      <c r="BN26" s="7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01"/>
      <c r="CR26" s="7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274"/>
      <c r="DW26" s="7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01"/>
      <c r="FA26" s="7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01"/>
      <c r="GF26" s="436"/>
      <c r="GG26" s="424"/>
      <c r="GH26" s="424"/>
      <c r="GI26" s="424"/>
      <c r="GJ26" s="424"/>
      <c r="GK26" s="424"/>
      <c r="GL26" s="424"/>
      <c r="GM26" s="424"/>
      <c r="GN26" s="424"/>
      <c r="GO26" s="424"/>
      <c r="GP26" s="424"/>
      <c r="GQ26" s="424"/>
      <c r="GR26" s="424"/>
      <c r="GS26" s="424"/>
      <c r="GT26" s="424"/>
      <c r="GU26" s="424"/>
      <c r="GV26" s="424"/>
      <c r="GW26" s="424"/>
      <c r="GX26" s="424"/>
      <c r="GY26" s="424"/>
      <c r="GZ26" s="442"/>
    </row>
    <row r="27" spans="1:208" ht="15" hidden="1" customHeight="1" thickBot="1" x14ac:dyDescent="0.3">
      <c r="A27" s="480"/>
      <c r="B27" s="475"/>
      <c r="C27" s="196" t="s">
        <v>84</v>
      </c>
      <c r="D27" s="195" t="s">
        <v>88</v>
      </c>
      <c r="E27" s="197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287"/>
      <c r="AG27" s="200"/>
      <c r="AH27" s="197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287"/>
      <c r="BM27" s="247"/>
      <c r="BN27" s="197"/>
      <c r="BO27" s="198"/>
      <c r="BP27" s="198"/>
      <c r="BQ27" s="198"/>
      <c r="BR27" s="198"/>
      <c r="BS27" s="198"/>
      <c r="BT27" s="198"/>
      <c r="BU27" s="198"/>
      <c r="BV27" s="198"/>
      <c r="BW27" s="198"/>
      <c r="BX27" s="198"/>
      <c r="BY27" s="198"/>
      <c r="BZ27" s="198"/>
      <c r="CA27" s="198"/>
      <c r="CB27" s="198"/>
      <c r="CC27" s="198"/>
      <c r="CD27" s="198"/>
      <c r="CE27" s="198"/>
      <c r="CF27" s="198"/>
      <c r="CG27" s="198"/>
      <c r="CH27" s="198"/>
      <c r="CI27" s="198"/>
      <c r="CJ27" s="198"/>
      <c r="CK27" s="198"/>
      <c r="CL27" s="198"/>
      <c r="CM27" s="198"/>
      <c r="CN27" s="198"/>
      <c r="CO27" s="198"/>
      <c r="CP27" s="198"/>
      <c r="CQ27" s="199"/>
      <c r="CR27" s="197"/>
      <c r="CS27" s="198"/>
      <c r="CT27" s="198"/>
      <c r="CU27" s="198"/>
      <c r="CV27" s="198"/>
      <c r="CW27" s="198"/>
      <c r="CX27" s="198"/>
      <c r="CY27" s="198"/>
      <c r="CZ27" s="198"/>
      <c r="DA27" s="198"/>
      <c r="DB27" s="198"/>
      <c r="DC27" s="198"/>
      <c r="DD27" s="198"/>
      <c r="DE27" s="198"/>
      <c r="DF27" s="198"/>
      <c r="DG27" s="198"/>
      <c r="DH27" s="198"/>
      <c r="DI27" s="198"/>
      <c r="DJ27" s="198"/>
      <c r="DK27" s="198"/>
      <c r="DL27" s="198"/>
      <c r="DM27" s="198"/>
      <c r="DN27" s="198"/>
      <c r="DO27" s="198"/>
      <c r="DP27" s="198"/>
      <c r="DQ27" s="198"/>
      <c r="DR27" s="198"/>
      <c r="DS27" s="198"/>
      <c r="DT27" s="198"/>
      <c r="DU27" s="198"/>
      <c r="DV27" s="287"/>
      <c r="DW27" s="197"/>
      <c r="DX27" s="198"/>
      <c r="DY27" s="198"/>
      <c r="DZ27" s="198"/>
      <c r="EA27" s="198"/>
      <c r="EB27" s="198"/>
      <c r="EC27" s="198"/>
      <c r="ED27" s="198"/>
      <c r="EE27" s="198"/>
      <c r="EF27" s="198"/>
      <c r="EG27" s="198"/>
      <c r="EH27" s="198"/>
      <c r="EI27" s="198"/>
      <c r="EJ27" s="198"/>
      <c r="EK27" s="198"/>
      <c r="EL27" s="198"/>
      <c r="EM27" s="198"/>
      <c r="EN27" s="198"/>
      <c r="EO27" s="198"/>
      <c r="EP27" s="198"/>
      <c r="EQ27" s="198"/>
      <c r="ER27" s="198"/>
      <c r="ES27" s="198"/>
      <c r="ET27" s="198"/>
      <c r="EU27" s="198"/>
      <c r="EV27" s="198"/>
      <c r="EW27" s="198"/>
      <c r="EX27" s="198"/>
      <c r="EY27" s="198"/>
      <c r="EZ27" s="199"/>
      <c r="FA27" s="197"/>
      <c r="FB27" s="198"/>
      <c r="FC27" s="198"/>
      <c r="FD27" s="198"/>
      <c r="FE27" s="198"/>
      <c r="FF27" s="198"/>
      <c r="FG27" s="198"/>
      <c r="FH27" s="198"/>
      <c r="FI27" s="198"/>
      <c r="FJ27" s="198"/>
      <c r="FK27" s="198"/>
      <c r="FL27" s="198"/>
      <c r="FM27" s="198"/>
      <c r="FN27" s="198"/>
      <c r="FO27" s="198"/>
      <c r="FP27" s="198"/>
      <c r="FQ27" s="198"/>
      <c r="FR27" s="198"/>
      <c r="FS27" s="198"/>
      <c r="FT27" s="198"/>
      <c r="FU27" s="198"/>
      <c r="FV27" s="198"/>
      <c r="FW27" s="198"/>
      <c r="FX27" s="198"/>
      <c r="FY27" s="198"/>
      <c r="FZ27" s="198"/>
      <c r="GA27" s="198"/>
      <c r="GB27" s="198"/>
      <c r="GC27" s="198"/>
      <c r="GD27" s="198"/>
      <c r="GE27" s="199"/>
      <c r="GF27" s="437"/>
      <c r="GG27" s="435"/>
      <c r="GH27" s="435"/>
      <c r="GI27" s="435"/>
      <c r="GJ27" s="435"/>
      <c r="GK27" s="435"/>
      <c r="GL27" s="435"/>
      <c r="GM27" s="435"/>
      <c r="GN27" s="435"/>
      <c r="GO27" s="435"/>
      <c r="GP27" s="435"/>
      <c r="GQ27" s="435"/>
      <c r="GR27" s="435"/>
      <c r="GS27" s="435"/>
      <c r="GT27" s="435"/>
      <c r="GU27" s="435"/>
      <c r="GV27" s="435"/>
      <c r="GW27" s="435"/>
      <c r="GX27" s="435"/>
      <c r="GY27" s="435"/>
      <c r="GZ27" s="443"/>
    </row>
    <row r="28" spans="1:208" ht="15" customHeight="1" thickBot="1" x14ac:dyDescent="0.3">
      <c r="A28" s="285"/>
      <c r="B28" s="286"/>
      <c r="C28" s="297"/>
      <c r="D28" s="204"/>
      <c r="E28" s="298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99"/>
      <c r="AG28" s="300"/>
      <c r="AH28" s="301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57"/>
      <c r="BH28" s="257"/>
      <c r="BI28" s="257"/>
      <c r="BJ28" s="257"/>
      <c r="BK28" s="257"/>
      <c r="BL28" s="299"/>
      <c r="BM28" s="247"/>
      <c r="BN28" s="301"/>
      <c r="BO28" s="257"/>
      <c r="BP28" s="257"/>
      <c r="BQ28" s="257"/>
      <c r="BR28" s="257"/>
      <c r="BS28" s="257"/>
      <c r="BT28" s="257"/>
      <c r="BU28" s="257"/>
      <c r="BV28" s="257"/>
      <c r="BW28" s="257"/>
      <c r="BX28" s="257"/>
      <c r="BY28" s="257"/>
      <c r="BZ28" s="257"/>
      <c r="CA28" s="257"/>
      <c r="CB28" s="257"/>
      <c r="CC28" s="257"/>
      <c r="CD28" s="257"/>
      <c r="CE28" s="257"/>
      <c r="CF28" s="257"/>
      <c r="CG28" s="257"/>
      <c r="CH28" s="257"/>
      <c r="CI28" s="257"/>
      <c r="CJ28" s="257"/>
      <c r="CK28" s="257"/>
      <c r="CL28" s="257"/>
      <c r="CM28" s="257"/>
      <c r="CN28" s="257"/>
      <c r="CO28" s="257"/>
      <c r="CP28" s="257"/>
      <c r="CQ28" s="299"/>
      <c r="CR28" s="298"/>
      <c r="CS28" s="257"/>
      <c r="CT28" s="257"/>
      <c r="CU28" s="257"/>
      <c r="CV28" s="257"/>
      <c r="CW28" s="257"/>
      <c r="CX28" s="257"/>
      <c r="CY28" s="257"/>
      <c r="CZ28" s="257"/>
      <c r="DA28" s="299"/>
      <c r="DB28" s="289"/>
      <c r="DC28" s="289"/>
      <c r="DD28" s="289"/>
      <c r="DE28" s="289"/>
      <c r="DF28" s="289"/>
      <c r="DG28" s="289"/>
      <c r="DH28" s="289"/>
      <c r="DI28" s="289"/>
      <c r="DJ28" s="289"/>
      <c r="DK28" s="289"/>
      <c r="DL28" s="289"/>
      <c r="DM28" s="289"/>
      <c r="DN28" s="289"/>
      <c r="DO28" s="289"/>
      <c r="DP28" s="289"/>
      <c r="DQ28" s="289"/>
      <c r="DR28" s="289"/>
      <c r="DS28" s="289"/>
      <c r="DT28" s="289"/>
      <c r="DU28" s="289"/>
      <c r="DV28" s="352"/>
      <c r="DW28" s="288"/>
      <c r="DX28" s="289"/>
      <c r="DY28" s="289"/>
      <c r="DZ28" s="289"/>
      <c r="EA28" s="289"/>
      <c r="EB28" s="289"/>
      <c r="EC28" s="289"/>
      <c r="ED28" s="289"/>
      <c r="EE28" s="289"/>
      <c r="EF28" s="289"/>
      <c r="EG28" s="289"/>
      <c r="EH28" s="289"/>
      <c r="EI28" s="289"/>
      <c r="EJ28" s="289"/>
      <c r="EK28" s="289"/>
      <c r="EL28" s="289"/>
      <c r="EM28" s="289"/>
      <c r="EN28" s="289"/>
      <c r="EO28" s="289"/>
      <c r="EP28" s="289"/>
      <c r="EQ28" s="289"/>
      <c r="ER28" s="289"/>
      <c r="ES28" s="289"/>
      <c r="ET28" s="289"/>
      <c r="EU28" s="289"/>
      <c r="EV28" s="289"/>
      <c r="EW28" s="289"/>
      <c r="EX28" s="289"/>
      <c r="EY28" s="289"/>
      <c r="EZ28" s="289"/>
      <c r="FA28" s="288"/>
      <c r="FB28" s="289"/>
      <c r="FC28" s="289"/>
      <c r="FD28" s="289"/>
      <c r="FE28" s="289"/>
      <c r="FF28" s="289"/>
      <c r="FG28" s="289"/>
      <c r="FH28" s="289"/>
      <c r="FI28" s="289"/>
      <c r="FJ28" s="289"/>
      <c r="FK28" s="289"/>
      <c r="FL28" s="289"/>
      <c r="FM28" s="289"/>
      <c r="FN28" s="289"/>
      <c r="FO28" s="289"/>
      <c r="FP28" s="289"/>
      <c r="FQ28" s="289"/>
      <c r="FR28" s="289"/>
      <c r="FS28" s="289"/>
      <c r="FT28" s="289"/>
      <c r="FU28" s="289"/>
      <c r="FV28" s="289"/>
      <c r="FW28" s="289"/>
      <c r="FX28" s="289"/>
      <c r="FY28" s="289"/>
      <c r="FZ28" s="289"/>
      <c r="GA28" s="289"/>
      <c r="GB28" s="289"/>
      <c r="GC28" s="289"/>
      <c r="GD28" s="289"/>
      <c r="GE28" s="289"/>
      <c r="GF28" s="288"/>
      <c r="GG28" s="289"/>
      <c r="GH28" s="289"/>
      <c r="GI28" s="289"/>
      <c r="GJ28" s="289"/>
      <c r="GK28" s="289"/>
      <c r="GL28" s="289"/>
      <c r="GM28" s="289"/>
      <c r="GN28" s="289"/>
      <c r="GO28" s="289"/>
      <c r="GP28" s="289"/>
      <c r="GQ28" s="289"/>
      <c r="GR28" s="289"/>
      <c r="GS28" s="289"/>
      <c r="GT28" s="289"/>
      <c r="GU28" s="289"/>
      <c r="GV28" s="289"/>
      <c r="GW28" s="289"/>
      <c r="GX28" s="289"/>
      <c r="GY28" s="289"/>
      <c r="GZ28" s="444"/>
    </row>
    <row r="29" spans="1:208" s="225" customFormat="1" ht="20.25" customHeight="1" x14ac:dyDescent="0.25">
      <c r="A29" s="468"/>
      <c r="B29" s="471" t="s">
        <v>116</v>
      </c>
      <c r="C29" s="220" t="s">
        <v>82</v>
      </c>
      <c r="D29" s="221" t="s">
        <v>86</v>
      </c>
      <c r="E29" s="222">
        <f>+E9+E14+E19</f>
        <v>2</v>
      </c>
      <c r="F29" s="223">
        <f t="shared" ref="F29:AF29" si="0">+F9+F14+F19</f>
        <v>2</v>
      </c>
      <c r="G29" s="223">
        <f t="shared" si="0"/>
        <v>0</v>
      </c>
      <c r="H29" s="223">
        <f t="shared" si="0"/>
        <v>1</v>
      </c>
      <c r="I29" s="223">
        <f t="shared" si="0"/>
        <v>1</v>
      </c>
      <c r="J29" s="223">
        <f t="shared" si="0"/>
        <v>0</v>
      </c>
      <c r="K29" s="223">
        <f t="shared" si="0"/>
        <v>0</v>
      </c>
      <c r="L29" s="223">
        <f t="shared" si="0"/>
        <v>0</v>
      </c>
      <c r="M29" s="223">
        <f t="shared" si="0"/>
        <v>0</v>
      </c>
      <c r="N29" s="223">
        <f t="shared" si="0"/>
        <v>0</v>
      </c>
      <c r="O29" s="223">
        <f t="shared" si="0"/>
        <v>0</v>
      </c>
      <c r="P29" s="223">
        <f t="shared" si="0"/>
        <v>0</v>
      </c>
      <c r="Q29" s="223">
        <f t="shared" si="0"/>
        <v>0</v>
      </c>
      <c r="R29" s="223">
        <f t="shared" si="0"/>
        <v>0</v>
      </c>
      <c r="S29" s="223">
        <f t="shared" si="0"/>
        <v>0</v>
      </c>
      <c r="T29" s="223">
        <f t="shared" si="0"/>
        <v>0</v>
      </c>
      <c r="U29" s="223">
        <f t="shared" si="0"/>
        <v>0</v>
      </c>
      <c r="V29" s="223">
        <f t="shared" si="0"/>
        <v>0</v>
      </c>
      <c r="W29" s="223">
        <f t="shared" si="0"/>
        <v>0</v>
      </c>
      <c r="X29" s="223">
        <f t="shared" si="0"/>
        <v>0</v>
      </c>
      <c r="Y29" s="223">
        <f t="shared" si="0"/>
        <v>0</v>
      </c>
      <c r="Z29" s="223">
        <f t="shared" si="0"/>
        <v>0</v>
      </c>
      <c r="AA29" s="223">
        <f t="shared" si="0"/>
        <v>0</v>
      </c>
      <c r="AB29" s="223">
        <f t="shared" si="0"/>
        <v>0</v>
      </c>
      <c r="AC29" s="223">
        <f t="shared" si="0"/>
        <v>0</v>
      </c>
      <c r="AD29" s="223">
        <f t="shared" si="0"/>
        <v>0</v>
      </c>
      <c r="AE29" s="223">
        <f t="shared" si="0"/>
        <v>0</v>
      </c>
      <c r="AF29" s="290">
        <f t="shared" si="0"/>
        <v>0</v>
      </c>
      <c r="AG29" s="230">
        <f>+AG9+AG14</f>
        <v>0</v>
      </c>
      <c r="AH29" s="222">
        <f t="shared" ref="AH29:BL29" si="1">+AH9+AH14+AH19</f>
        <v>0</v>
      </c>
      <c r="AI29" s="223">
        <f t="shared" si="1"/>
        <v>0</v>
      </c>
      <c r="AJ29" s="223">
        <f t="shared" si="1"/>
        <v>0</v>
      </c>
      <c r="AK29" s="223">
        <f t="shared" si="1"/>
        <v>0</v>
      </c>
      <c r="AL29" s="223">
        <f t="shared" si="1"/>
        <v>0</v>
      </c>
      <c r="AM29" s="223">
        <f t="shared" si="1"/>
        <v>0</v>
      </c>
      <c r="AN29" s="223">
        <f t="shared" si="1"/>
        <v>1</v>
      </c>
      <c r="AO29" s="223">
        <f t="shared" si="1"/>
        <v>0</v>
      </c>
      <c r="AP29" s="223">
        <f t="shared" si="1"/>
        <v>5</v>
      </c>
      <c r="AQ29" s="223">
        <f t="shared" si="1"/>
        <v>2</v>
      </c>
      <c r="AR29" s="223">
        <f t="shared" si="1"/>
        <v>3</v>
      </c>
      <c r="AS29" s="223">
        <f t="shared" si="1"/>
        <v>2</v>
      </c>
      <c r="AT29" s="223">
        <f t="shared" si="1"/>
        <v>0</v>
      </c>
      <c r="AU29" s="223">
        <f t="shared" si="1"/>
        <v>2</v>
      </c>
      <c r="AV29" s="223">
        <f t="shared" si="1"/>
        <v>0</v>
      </c>
      <c r="AW29" s="223">
        <f t="shared" si="1"/>
        <v>2</v>
      </c>
      <c r="AX29" s="223">
        <f t="shared" si="1"/>
        <v>2</v>
      </c>
      <c r="AY29" s="223">
        <f t="shared" si="1"/>
        <v>0</v>
      </c>
      <c r="AZ29" s="223">
        <f t="shared" si="1"/>
        <v>0</v>
      </c>
      <c r="BA29" s="223">
        <f t="shared" si="1"/>
        <v>0</v>
      </c>
      <c r="BB29" s="223">
        <f t="shared" si="1"/>
        <v>0</v>
      </c>
      <c r="BC29" s="223">
        <f t="shared" si="1"/>
        <v>0</v>
      </c>
      <c r="BD29" s="223">
        <f t="shared" si="1"/>
        <v>0</v>
      </c>
      <c r="BE29" s="223">
        <f t="shared" si="1"/>
        <v>8</v>
      </c>
      <c r="BF29" s="223">
        <f t="shared" si="1"/>
        <v>3</v>
      </c>
      <c r="BG29" s="223">
        <f t="shared" si="1"/>
        <v>0</v>
      </c>
      <c r="BH29" s="223">
        <f t="shared" si="1"/>
        <v>0</v>
      </c>
      <c r="BI29" s="223">
        <f t="shared" si="1"/>
        <v>0</v>
      </c>
      <c r="BJ29" s="223">
        <f t="shared" si="1"/>
        <v>0</v>
      </c>
      <c r="BK29" s="223">
        <f t="shared" si="1"/>
        <v>0</v>
      </c>
      <c r="BL29" s="290">
        <f t="shared" si="1"/>
        <v>0</v>
      </c>
      <c r="BM29" s="295">
        <f>+BM9+BM14</f>
        <v>0</v>
      </c>
      <c r="BN29" s="222">
        <f t="shared" ref="BN29:CS29" si="2">+BN9+BN14+BN19</f>
        <v>7</v>
      </c>
      <c r="BO29" s="223">
        <f t="shared" si="2"/>
        <v>4</v>
      </c>
      <c r="BP29" s="223">
        <f t="shared" si="2"/>
        <v>0</v>
      </c>
      <c r="BQ29" s="223">
        <f t="shared" si="2"/>
        <v>1</v>
      </c>
      <c r="BR29" s="223">
        <f t="shared" si="2"/>
        <v>2</v>
      </c>
      <c r="BS29" s="223">
        <f t="shared" si="2"/>
        <v>0</v>
      </c>
      <c r="BT29" s="223">
        <f t="shared" si="2"/>
        <v>0</v>
      </c>
      <c r="BU29" s="223">
        <f t="shared" si="2"/>
        <v>0</v>
      </c>
      <c r="BV29" s="223">
        <f t="shared" si="2"/>
        <v>0</v>
      </c>
      <c r="BW29" s="223">
        <f t="shared" si="2"/>
        <v>0</v>
      </c>
      <c r="BX29" s="223">
        <f t="shared" si="2"/>
        <v>0</v>
      </c>
      <c r="BY29" s="223">
        <f t="shared" si="2"/>
        <v>4</v>
      </c>
      <c r="BZ29" s="223">
        <f t="shared" si="2"/>
        <v>2</v>
      </c>
      <c r="CA29" s="223">
        <f t="shared" si="2"/>
        <v>0</v>
      </c>
      <c r="CB29" s="223">
        <f t="shared" si="2"/>
        <v>0</v>
      </c>
      <c r="CC29" s="223">
        <f t="shared" si="2"/>
        <v>0</v>
      </c>
      <c r="CD29" s="223">
        <f t="shared" si="2"/>
        <v>0</v>
      </c>
      <c r="CE29" s="223">
        <f t="shared" si="2"/>
        <v>4</v>
      </c>
      <c r="CF29" s="223">
        <f t="shared" si="2"/>
        <v>3</v>
      </c>
      <c r="CG29" s="223">
        <f t="shared" si="2"/>
        <v>4</v>
      </c>
      <c r="CH29" s="223">
        <f t="shared" si="2"/>
        <v>1</v>
      </c>
      <c r="CI29" s="223">
        <f t="shared" si="2"/>
        <v>1</v>
      </c>
      <c r="CJ29" s="223">
        <f t="shared" si="2"/>
        <v>0</v>
      </c>
      <c r="CK29" s="223">
        <f t="shared" si="2"/>
        <v>0</v>
      </c>
      <c r="CL29" s="223">
        <f t="shared" si="2"/>
        <v>0</v>
      </c>
      <c r="CM29" s="223">
        <f t="shared" si="2"/>
        <v>0</v>
      </c>
      <c r="CN29" s="223">
        <f t="shared" si="2"/>
        <v>0</v>
      </c>
      <c r="CO29" s="223">
        <f t="shared" si="2"/>
        <v>0</v>
      </c>
      <c r="CP29" s="223">
        <f t="shared" si="2"/>
        <v>0</v>
      </c>
      <c r="CQ29" s="224">
        <f t="shared" si="2"/>
        <v>5</v>
      </c>
      <c r="CR29" s="228">
        <f t="shared" si="2"/>
        <v>0</v>
      </c>
      <c r="CS29" s="229">
        <f t="shared" si="2"/>
        <v>1</v>
      </c>
      <c r="CT29" s="229">
        <f t="shared" ref="CT29:CZ29" si="3">+CT9+CT14+CT19</f>
        <v>0</v>
      </c>
      <c r="CU29" s="229">
        <f t="shared" si="3"/>
        <v>0</v>
      </c>
      <c r="CV29" s="229">
        <f t="shared" si="3"/>
        <v>0</v>
      </c>
      <c r="CW29" s="229">
        <f t="shared" si="3"/>
        <v>1</v>
      </c>
      <c r="CX29" s="229">
        <f t="shared" si="3"/>
        <v>4</v>
      </c>
      <c r="CY29" s="229">
        <f t="shared" si="3"/>
        <v>0</v>
      </c>
      <c r="CZ29" s="229">
        <f t="shared" si="3"/>
        <v>9</v>
      </c>
      <c r="DA29" s="229">
        <f t="shared" ref="DA29:DH29" si="4">+DA9+DA14+DA19</f>
        <v>5</v>
      </c>
      <c r="DB29" s="229">
        <f t="shared" si="4"/>
        <v>1</v>
      </c>
      <c r="DC29" s="229">
        <f t="shared" si="4"/>
        <v>4</v>
      </c>
      <c r="DD29" s="229">
        <f t="shared" si="4"/>
        <v>0</v>
      </c>
      <c r="DE29" s="229">
        <f t="shared" si="4"/>
        <v>1</v>
      </c>
      <c r="DF29" s="229">
        <f t="shared" si="4"/>
        <v>0</v>
      </c>
      <c r="DG29" s="229">
        <f t="shared" si="4"/>
        <v>0</v>
      </c>
      <c r="DH29" s="229">
        <f t="shared" si="4"/>
        <v>0</v>
      </c>
      <c r="DI29" s="229">
        <f t="shared" ref="DI29" si="5">+DI9+DI14+DI19</f>
        <v>0</v>
      </c>
      <c r="DJ29" s="229">
        <f t="shared" ref="DJ29:DM29" si="6">+DJ9+DJ14+DJ19</f>
        <v>0</v>
      </c>
      <c r="DK29" s="229">
        <f t="shared" si="6"/>
        <v>0</v>
      </c>
      <c r="DL29" s="229">
        <f t="shared" si="6"/>
        <v>0</v>
      </c>
      <c r="DM29" s="229">
        <f t="shared" si="6"/>
        <v>0</v>
      </c>
      <c r="DN29" s="229">
        <f t="shared" ref="DN29:DZ29" si="7">+DN9+DN14+DN19</f>
        <v>0</v>
      </c>
      <c r="DO29" s="229">
        <f t="shared" si="7"/>
        <v>0</v>
      </c>
      <c r="DP29" s="229">
        <f t="shared" si="7"/>
        <v>0</v>
      </c>
      <c r="DQ29" s="229">
        <f t="shared" si="7"/>
        <v>0</v>
      </c>
      <c r="DR29" s="229">
        <f t="shared" si="7"/>
        <v>0</v>
      </c>
      <c r="DS29" s="229">
        <f t="shared" si="7"/>
        <v>0</v>
      </c>
      <c r="DT29" s="229">
        <f t="shared" si="7"/>
        <v>0</v>
      </c>
      <c r="DU29" s="229">
        <f t="shared" si="7"/>
        <v>0</v>
      </c>
      <c r="DV29" s="354">
        <f t="shared" si="7"/>
        <v>0</v>
      </c>
      <c r="DW29" s="228">
        <f t="shared" si="7"/>
        <v>0</v>
      </c>
      <c r="DX29" s="229">
        <f t="shared" si="7"/>
        <v>0</v>
      </c>
      <c r="DY29" s="229">
        <f t="shared" si="7"/>
        <v>0</v>
      </c>
      <c r="DZ29" s="229">
        <f t="shared" si="7"/>
        <v>0</v>
      </c>
      <c r="EA29" s="229">
        <f t="shared" ref="EA29:EN29" si="8">+EA9+EA14+EA19</f>
        <v>0</v>
      </c>
      <c r="EB29" s="229">
        <f t="shared" si="8"/>
        <v>0</v>
      </c>
      <c r="EC29" s="229">
        <f t="shared" si="8"/>
        <v>0</v>
      </c>
      <c r="ED29" s="229">
        <f t="shared" si="8"/>
        <v>0</v>
      </c>
      <c r="EE29" s="229">
        <f t="shared" si="8"/>
        <v>0</v>
      </c>
      <c r="EF29" s="229">
        <f t="shared" si="8"/>
        <v>0</v>
      </c>
      <c r="EG29" s="229">
        <f t="shared" si="8"/>
        <v>0</v>
      </c>
      <c r="EH29" s="229">
        <f t="shared" si="8"/>
        <v>0</v>
      </c>
      <c r="EI29" s="229">
        <f t="shared" si="8"/>
        <v>0</v>
      </c>
      <c r="EJ29" s="229">
        <f t="shared" si="8"/>
        <v>0</v>
      </c>
      <c r="EK29" s="229">
        <f t="shared" si="8"/>
        <v>0</v>
      </c>
      <c r="EL29" s="229">
        <f t="shared" si="8"/>
        <v>0</v>
      </c>
      <c r="EM29" s="229">
        <f t="shared" si="8"/>
        <v>0</v>
      </c>
      <c r="EN29" s="229">
        <f t="shared" si="8"/>
        <v>0</v>
      </c>
      <c r="EO29" s="229">
        <f t="shared" ref="EO29:EZ29" si="9">+EO9+EO14+EO19</f>
        <v>0</v>
      </c>
      <c r="EP29" s="229">
        <f t="shared" si="9"/>
        <v>0</v>
      </c>
      <c r="EQ29" s="229">
        <f t="shared" si="9"/>
        <v>0</v>
      </c>
      <c r="ER29" s="229">
        <f t="shared" si="9"/>
        <v>0</v>
      </c>
      <c r="ES29" s="229">
        <f t="shared" si="9"/>
        <v>0</v>
      </c>
      <c r="ET29" s="229">
        <f t="shared" si="9"/>
        <v>0</v>
      </c>
      <c r="EU29" s="229">
        <f t="shared" si="9"/>
        <v>0</v>
      </c>
      <c r="EV29" s="229">
        <f t="shared" si="9"/>
        <v>0</v>
      </c>
      <c r="EW29" s="229">
        <f t="shared" si="9"/>
        <v>0</v>
      </c>
      <c r="EX29" s="229">
        <f t="shared" si="9"/>
        <v>0</v>
      </c>
      <c r="EY29" s="229">
        <f t="shared" si="9"/>
        <v>0</v>
      </c>
      <c r="EZ29" s="390">
        <f t="shared" si="9"/>
        <v>0</v>
      </c>
      <c r="FA29" s="228">
        <f t="shared" ref="FA29:FL29" si="10">+FA9+FA14+FA19</f>
        <v>0</v>
      </c>
      <c r="FB29" s="229">
        <f t="shared" si="10"/>
        <v>0</v>
      </c>
      <c r="FC29" s="229">
        <f t="shared" si="10"/>
        <v>0</v>
      </c>
      <c r="FD29" s="229">
        <f t="shared" si="10"/>
        <v>0</v>
      </c>
      <c r="FE29" s="229">
        <f t="shared" si="10"/>
        <v>0</v>
      </c>
      <c r="FF29" s="229">
        <f t="shared" si="10"/>
        <v>0</v>
      </c>
      <c r="FG29" s="229">
        <f t="shared" si="10"/>
        <v>0</v>
      </c>
      <c r="FH29" s="229">
        <f t="shared" si="10"/>
        <v>0</v>
      </c>
      <c r="FI29" s="229">
        <f t="shared" si="10"/>
        <v>0</v>
      </c>
      <c r="FJ29" s="229">
        <f t="shared" si="10"/>
        <v>0</v>
      </c>
      <c r="FK29" s="229">
        <f t="shared" si="10"/>
        <v>0</v>
      </c>
      <c r="FL29" s="229">
        <f t="shared" si="10"/>
        <v>0</v>
      </c>
      <c r="FM29" s="229">
        <f t="shared" ref="FM29:GC29" si="11">+FM9+FM14+FM19</f>
        <v>0</v>
      </c>
      <c r="FN29" s="229">
        <f t="shared" si="11"/>
        <v>0</v>
      </c>
      <c r="FO29" s="229">
        <f t="shared" si="11"/>
        <v>0</v>
      </c>
      <c r="FP29" s="229">
        <f t="shared" si="11"/>
        <v>0</v>
      </c>
      <c r="FQ29" s="229">
        <f t="shared" si="11"/>
        <v>0</v>
      </c>
      <c r="FR29" s="229">
        <f t="shared" si="11"/>
        <v>0</v>
      </c>
      <c r="FS29" s="229">
        <f t="shared" si="11"/>
        <v>0</v>
      </c>
      <c r="FT29" s="229">
        <f t="shared" si="11"/>
        <v>0</v>
      </c>
      <c r="FU29" s="229">
        <f t="shared" si="11"/>
        <v>0</v>
      </c>
      <c r="FV29" s="229">
        <f t="shared" si="11"/>
        <v>0</v>
      </c>
      <c r="FW29" s="229">
        <f t="shared" si="11"/>
        <v>0</v>
      </c>
      <c r="FX29" s="229">
        <f t="shared" si="11"/>
        <v>0</v>
      </c>
      <c r="FY29" s="229">
        <f t="shared" si="11"/>
        <v>0</v>
      </c>
      <c r="FZ29" s="229">
        <f t="shared" si="11"/>
        <v>0</v>
      </c>
      <c r="GA29" s="229">
        <f t="shared" si="11"/>
        <v>0</v>
      </c>
      <c r="GB29" s="229">
        <f t="shared" si="11"/>
        <v>0</v>
      </c>
      <c r="GC29" s="229">
        <f t="shared" si="11"/>
        <v>0</v>
      </c>
      <c r="GD29" s="229">
        <f t="shared" ref="GD29:GT29" si="12">+GD9+GD14+GD19</f>
        <v>0</v>
      </c>
      <c r="GE29" s="390">
        <f t="shared" si="12"/>
        <v>0</v>
      </c>
      <c r="GF29" s="228">
        <f t="shared" si="12"/>
        <v>0</v>
      </c>
      <c r="GG29" s="229">
        <f t="shared" si="12"/>
        <v>0</v>
      </c>
      <c r="GH29" s="229">
        <f t="shared" si="12"/>
        <v>0</v>
      </c>
      <c r="GI29" s="229">
        <f t="shared" si="12"/>
        <v>0</v>
      </c>
      <c r="GJ29" s="229">
        <f t="shared" si="12"/>
        <v>0</v>
      </c>
      <c r="GK29" s="229">
        <f t="shared" si="12"/>
        <v>0</v>
      </c>
      <c r="GL29" s="229">
        <f t="shared" si="12"/>
        <v>0</v>
      </c>
      <c r="GM29" s="229">
        <f t="shared" si="12"/>
        <v>0</v>
      </c>
      <c r="GN29" s="229">
        <f t="shared" si="12"/>
        <v>0</v>
      </c>
      <c r="GO29" s="229">
        <f t="shared" si="12"/>
        <v>0</v>
      </c>
      <c r="GP29" s="229">
        <f t="shared" si="12"/>
        <v>0</v>
      </c>
      <c r="GQ29" s="229">
        <f t="shared" si="12"/>
        <v>0</v>
      </c>
      <c r="GR29" s="229">
        <f t="shared" si="12"/>
        <v>0</v>
      </c>
      <c r="GS29" s="229">
        <f t="shared" si="12"/>
        <v>0</v>
      </c>
      <c r="GT29" s="229">
        <f t="shared" si="12"/>
        <v>0</v>
      </c>
      <c r="GU29" s="229">
        <f t="shared" ref="GU29:GY29" si="13">+GU9+GU14+GU19</f>
        <v>0</v>
      </c>
      <c r="GV29" s="229">
        <f t="shared" si="13"/>
        <v>0</v>
      </c>
      <c r="GW29" s="229">
        <f t="shared" si="13"/>
        <v>0</v>
      </c>
      <c r="GX29" s="229">
        <f t="shared" si="13"/>
        <v>0</v>
      </c>
      <c r="GY29" s="390">
        <f t="shared" si="13"/>
        <v>0</v>
      </c>
      <c r="GZ29" s="445">
        <f>SUM(E29:CZ29)</f>
        <v>89</v>
      </c>
    </row>
    <row r="30" spans="1:208" s="225" customFormat="1" ht="19.5" customHeight="1" x14ac:dyDescent="0.25">
      <c r="A30" s="469"/>
      <c r="B30" s="472"/>
      <c r="C30" s="226" t="s">
        <v>102</v>
      </c>
      <c r="D30" s="227" t="s">
        <v>87</v>
      </c>
      <c r="E30" s="228">
        <f>E10+E11+E15+E16+E20+E21+E25</f>
        <v>16</v>
      </c>
      <c r="F30" s="228">
        <f t="shared" ref="F30:BQ30" si="14">F10+F11+F15+F16+F20+F21+F25</f>
        <v>36.200000000000003</v>
      </c>
      <c r="G30" s="228">
        <f t="shared" si="14"/>
        <v>9.5</v>
      </c>
      <c r="H30" s="228">
        <f t="shared" si="14"/>
        <v>0</v>
      </c>
      <c r="I30" s="228">
        <f t="shared" si="14"/>
        <v>10</v>
      </c>
      <c r="J30" s="228">
        <f t="shared" si="14"/>
        <v>0</v>
      </c>
      <c r="K30" s="228">
        <f t="shared" si="14"/>
        <v>25.200000000000003</v>
      </c>
      <c r="L30" s="228">
        <f t="shared" si="14"/>
        <v>40.200000000000003</v>
      </c>
      <c r="M30" s="228">
        <f t="shared" si="14"/>
        <v>17.5</v>
      </c>
      <c r="N30" s="228">
        <f t="shared" si="14"/>
        <v>0</v>
      </c>
      <c r="O30" s="228">
        <f t="shared" si="14"/>
        <v>27.8</v>
      </c>
      <c r="P30" s="228">
        <f t="shared" si="14"/>
        <v>13</v>
      </c>
      <c r="Q30" s="228">
        <f t="shared" si="14"/>
        <v>0</v>
      </c>
      <c r="R30" s="228">
        <f t="shared" si="14"/>
        <v>0</v>
      </c>
      <c r="S30" s="228">
        <f t="shared" si="14"/>
        <v>7</v>
      </c>
      <c r="T30" s="228">
        <f t="shared" si="14"/>
        <v>23</v>
      </c>
      <c r="U30" s="228">
        <f t="shared" si="14"/>
        <v>10.5</v>
      </c>
      <c r="V30" s="228">
        <f t="shared" si="14"/>
        <v>0</v>
      </c>
      <c r="W30" s="228">
        <f t="shared" si="14"/>
        <v>19</v>
      </c>
      <c r="X30" s="228">
        <f t="shared" si="14"/>
        <v>0</v>
      </c>
      <c r="Y30" s="228">
        <f t="shared" si="14"/>
        <v>0</v>
      </c>
      <c r="Z30" s="228">
        <f t="shared" si="14"/>
        <v>0</v>
      </c>
      <c r="AA30" s="228">
        <f t="shared" si="14"/>
        <v>0</v>
      </c>
      <c r="AB30" s="228">
        <f t="shared" si="14"/>
        <v>25.5</v>
      </c>
      <c r="AC30" s="228">
        <f t="shared" si="14"/>
        <v>47</v>
      </c>
      <c r="AD30" s="228">
        <f t="shared" si="14"/>
        <v>74.099999999999994</v>
      </c>
      <c r="AE30" s="228">
        <f t="shared" si="14"/>
        <v>0</v>
      </c>
      <c r="AF30" s="228">
        <f t="shared" si="14"/>
        <v>16.5</v>
      </c>
      <c r="AG30" s="230">
        <f>AG10+AG11+AG15+AG16</f>
        <v>0</v>
      </c>
      <c r="AH30" s="228">
        <f t="shared" si="14"/>
        <v>4.5</v>
      </c>
      <c r="AI30" s="228">
        <f t="shared" si="14"/>
        <v>0</v>
      </c>
      <c r="AJ30" s="228">
        <f t="shared" si="14"/>
        <v>31.5</v>
      </c>
      <c r="AK30" s="228">
        <f t="shared" si="14"/>
        <v>8.6</v>
      </c>
      <c r="AL30" s="228">
        <f t="shared" si="14"/>
        <v>0</v>
      </c>
      <c r="AM30" s="228">
        <f t="shared" si="14"/>
        <v>0</v>
      </c>
      <c r="AN30" s="228">
        <f t="shared" si="14"/>
        <v>44</v>
      </c>
      <c r="AO30" s="228">
        <f t="shared" si="14"/>
        <v>9.8000000000000007</v>
      </c>
      <c r="AP30" s="228">
        <f t="shared" si="14"/>
        <v>0</v>
      </c>
      <c r="AQ30" s="228">
        <f t="shared" si="14"/>
        <v>19.5</v>
      </c>
      <c r="AR30" s="228">
        <f t="shared" si="14"/>
        <v>35.1</v>
      </c>
      <c r="AS30" s="228">
        <f t="shared" si="14"/>
        <v>37</v>
      </c>
      <c r="AT30" s="228">
        <f t="shared" si="14"/>
        <v>0</v>
      </c>
      <c r="AU30" s="228">
        <f t="shared" si="14"/>
        <v>25</v>
      </c>
      <c r="AV30" s="228">
        <f t="shared" si="14"/>
        <v>21.5</v>
      </c>
      <c r="AW30" s="228">
        <f t="shared" si="14"/>
        <v>16.399999999999999</v>
      </c>
      <c r="AX30" s="228">
        <f t="shared" si="14"/>
        <v>50.900000000000006</v>
      </c>
      <c r="AY30" s="228">
        <f t="shared" si="14"/>
        <v>18</v>
      </c>
      <c r="AZ30" s="228">
        <f t="shared" si="14"/>
        <v>0</v>
      </c>
      <c r="BA30" s="228">
        <f t="shared" si="14"/>
        <v>0</v>
      </c>
      <c r="BB30" s="228">
        <f t="shared" si="14"/>
        <v>0</v>
      </c>
      <c r="BC30" s="228">
        <f t="shared" si="14"/>
        <v>0</v>
      </c>
      <c r="BD30" s="228">
        <f t="shared" si="14"/>
        <v>0</v>
      </c>
      <c r="BE30" s="228">
        <f t="shared" si="14"/>
        <v>19.5</v>
      </c>
      <c r="BF30" s="228">
        <f t="shared" si="14"/>
        <v>0</v>
      </c>
      <c r="BG30" s="228">
        <f t="shared" si="14"/>
        <v>0</v>
      </c>
      <c r="BH30" s="228">
        <f t="shared" si="14"/>
        <v>0</v>
      </c>
      <c r="BI30" s="228">
        <f t="shared" si="14"/>
        <v>0</v>
      </c>
      <c r="BJ30" s="228">
        <f t="shared" si="14"/>
        <v>27</v>
      </c>
      <c r="BK30" s="228">
        <f t="shared" si="14"/>
        <v>100.7</v>
      </c>
      <c r="BL30" s="228">
        <f t="shared" si="14"/>
        <v>0</v>
      </c>
      <c r="BM30" s="295">
        <f>BM10+BM11+BM15+BM16</f>
        <v>0</v>
      </c>
      <c r="BN30" s="228">
        <f t="shared" si="14"/>
        <v>56.8</v>
      </c>
      <c r="BO30" s="228">
        <f t="shared" si="14"/>
        <v>12</v>
      </c>
      <c r="BP30" s="228">
        <f t="shared" si="14"/>
        <v>0</v>
      </c>
      <c r="BQ30" s="228">
        <f t="shared" si="14"/>
        <v>19</v>
      </c>
      <c r="BR30" s="228">
        <f t="shared" ref="BR30:DI30" si="15">BR10+BR11+BR15+BR16+BR20+BR21+BR25</f>
        <v>22</v>
      </c>
      <c r="BS30" s="228">
        <f t="shared" si="15"/>
        <v>27</v>
      </c>
      <c r="BT30" s="228">
        <f t="shared" si="15"/>
        <v>80</v>
      </c>
      <c r="BU30" s="228">
        <f t="shared" si="15"/>
        <v>28</v>
      </c>
      <c r="BV30" s="228">
        <f t="shared" si="15"/>
        <v>19.5</v>
      </c>
      <c r="BW30" s="228">
        <f t="shared" si="15"/>
        <v>0</v>
      </c>
      <c r="BX30" s="228">
        <f t="shared" si="15"/>
        <v>11</v>
      </c>
      <c r="BY30" s="228">
        <f t="shared" si="15"/>
        <v>46</v>
      </c>
      <c r="BZ30" s="228">
        <f t="shared" si="15"/>
        <v>21</v>
      </c>
      <c r="CA30" s="228">
        <f t="shared" si="15"/>
        <v>0</v>
      </c>
      <c r="CB30" s="228">
        <f t="shared" si="15"/>
        <v>24</v>
      </c>
      <c r="CC30" s="228">
        <f t="shared" si="15"/>
        <v>75</v>
      </c>
      <c r="CD30" s="228">
        <f t="shared" si="15"/>
        <v>0</v>
      </c>
      <c r="CE30" s="228">
        <f t="shared" si="15"/>
        <v>77</v>
      </c>
      <c r="CF30" s="228">
        <f t="shared" si="15"/>
        <v>17.7</v>
      </c>
      <c r="CG30" s="228">
        <f t="shared" si="15"/>
        <v>27.3</v>
      </c>
      <c r="CH30" s="228">
        <f t="shared" si="15"/>
        <v>0</v>
      </c>
      <c r="CI30" s="228">
        <f t="shared" si="15"/>
        <v>24</v>
      </c>
      <c r="CJ30" s="228">
        <f t="shared" si="15"/>
        <v>0</v>
      </c>
      <c r="CK30" s="228">
        <f t="shared" si="15"/>
        <v>0</v>
      </c>
      <c r="CL30" s="228">
        <f t="shared" si="15"/>
        <v>0</v>
      </c>
      <c r="CM30" s="228">
        <f t="shared" si="15"/>
        <v>69.099999999999994</v>
      </c>
      <c r="CN30" s="228">
        <f t="shared" si="15"/>
        <v>34.6</v>
      </c>
      <c r="CO30" s="228">
        <f t="shared" si="15"/>
        <v>6</v>
      </c>
      <c r="CP30" s="228">
        <f t="shared" si="15"/>
        <v>0</v>
      </c>
      <c r="CQ30" s="341">
        <f t="shared" si="15"/>
        <v>45</v>
      </c>
      <c r="CR30" s="228">
        <f t="shared" si="15"/>
        <v>0</v>
      </c>
      <c r="CS30" s="229">
        <f t="shared" si="15"/>
        <v>59.6</v>
      </c>
      <c r="CT30" s="229">
        <f t="shared" si="15"/>
        <v>35.5</v>
      </c>
      <c r="CU30" s="229">
        <f t="shared" si="15"/>
        <v>41</v>
      </c>
      <c r="CV30" s="229">
        <f t="shared" si="15"/>
        <v>23.4</v>
      </c>
      <c r="CW30" s="229">
        <f t="shared" si="15"/>
        <v>24</v>
      </c>
      <c r="CX30" s="229">
        <f t="shared" si="15"/>
        <v>20.100000000000001</v>
      </c>
      <c r="CY30" s="229">
        <f t="shared" si="15"/>
        <v>0</v>
      </c>
      <c r="CZ30" s="229">
        <f t="shared" si="15"/>
        <v>35.4</v>
      </c>
      <c r="DA30" s="229">
        <f t="shared" si="15"/>
        <v>0</v>
      </c>
      <c r="DB30" s="229">
        <f t="shared" si="15"/>
        <v>23.3</v>
      </c>
      <c r="DC30" s="229">
        <f t="shared" si="15"/>
        <v>21</v>
      </c>
      <c r="DD30" s="229">
        <f t="shared" si="15"/>
        <v>6.7</v>
      </c>
      <c r="DE30" s="229">
        <f t="shared" si="15"/>
        <v>17.5</v>
      </c>
      <c r="DF30" s="229">
        <f t="shared" si="15"/>
        <v>0</v>
      </c>
      <c r="DG30" s="229">
        <f t="shared" si="15"/>
        <v>7.6</v>
      </c>
      <c r="DH30" s="229">
        <f t="shared" si="15"/>
        <v>0</v>
      </c>
      <c r="DI30" s="229">
        <f t="shared" si="15"/>
        <v>15.1</v>
      </c>
      <c r="DJ30" s="229">
        <f t="shared" ref="DJ30:DM30" si="16">DJ10+DJ11+DJ15+DJ16+DJ20+DJ21+DJ25</f>
        <v>53.7</v>
      </c>
      <c r="DK30" s="229">
        <f t="shared" si="16"/>
        <v>0</v>
      </c>
      <c r="DL30" s="229">
        <f t="shared" si="16"/>
        <v>0</v>
      </c>
      <c r="DM30" s="229">
        <f t="shared" si="16"/>
        <v>0</v>
      </c>
      <c r="DN30" s="229">
        <f t="shared" ref="DN30:DZ30" si="17">DN10+DN11+DN15+DN16+DN20+DN21+DN25</f>
        <v>16</v>
      </c>
      <c r="DO30" s="229">
        <f t="shared" si="17"/>
        <v>75.400000000000006</v>
      </c>
      <c r="DP30" s="229">
        <f t="shared" si="17"/>
        <v>0</v>
      </c>
      <c r="DQ30" s="229">
        <f t="shared" si="17"/>
        <v>0</v>
      </c>
      <c r="DR30" s="229">
        <f t="shared" si="17"/>
        <v>0</v>
      </c>
      <c r="DS30" s="229">
        <f t="shared" si="17"/>
        <v>0</v>
      </c>
      <c r="DT30" s="229">
        <f t="shared" si="17"/>
        <v>0</v>
      </c>
      <c r="DU30" s="229">
        <f t="shared" si="17"/>
        <v>0</v>
      </c>
      <c r="DV30" s="354">
        <f t="shared" si="17"/>
        <v>8</v>
      </c>
      <c r="DW30" s="228">
        <f t="shared" si="17"/>
        <v>0</v>
      </c>
      <c r="DX30" s="229">
        <f t="shared" si="17"/>
        <v>0</v>
      </c>
      <c r="DY30" s="229">
        <f t="shared" si="17"/>
        <v>0</v>
      </c>
      <c r="DZ30" s="229">
        <f t="shared" si="17"/>
        <v>11.1</v>
      </c>
      <c r="EA30" s="229">
        <f t="shared" ref="EA30:EN30" si="18">EA10+EA11+EA15+EA16+EA20+EA21+EA25</f>
        <v>0</v>
      </c>
      <c r="EB30" s="229">
        <f t="shared" si="18"/>
        <v>0</v>
      </c>
      <c r="EC30" s="229">
        <f t="shared" si="18"/>
        <v>0</v>
      </c>
      <c r="ED30" s="229">
        <f t="shared" si="18"/>
        <v>75.3</v>
      </c>
      <c r="EE30" s="229">
        <f t="shared" si="18"/>
        <v>30.5</v>
      </c>
      <c r="EF30" s="229">
        <f t="shared" si="18"/>
        <v>11</v>
      </c>
      <c r="EG30" s="229">
        <f t="shared" si="18"/>
        <v>0</v>
      </c>
      <c r="EH30" s="229">
        <f t="shared" si="18"/>
        <v>0</v>
      </c>
      <c r="EI30" s="229">
        <f t="shared" si="18"/>
        <v>20.100000000000001</v>
      </c>
      <c r="EJ30" s="229">
        <f t="shared" si="18"/>
        <v>4</v>
      </c>
      <c r="EK30" s="229">
        <f t="shared" si="18"/>
        <v>40</v>
      </c>
      <c r="EL30" s="229">
        <f t="shared" si="18"/>
        <v>0</v>
      </c>
      <c r="EM30" s="229">
        <f t="shared" si="18"/>
        <v>0</v>
      </c>
      <c r="EN30" s="229">
        <f t="shared" si="18"/>
        <v>50.1</v>
      </c>
      <c r="EO30" s="229">
        <f t="shared" ref="EO30:EZ30" si="19">EO10+EO11+EO15+EO16+EO20+EO21+EO25</f>
        <v>0</v>
      </c>
      <c r="EP30" s="229">
        <f t="shared" si="19"/>
        <v>20.5</v>
      </c>
      <c r="EQ30" s="229">
        <f t="shared" si="19"/>
        <v>18</v>
      </c>
      <c r="ER30" s="229">
        <f t="shared" si="19"/>
        <v>0</v>
      </c>
      <c r="ES30" s="229">
        <f t="shared" si="19"/>
        <v>20</v>
      </c>
      <c r="ET30" s="229">
        <f t="shared" si="19"/>
        <v>32</v>
      </c>
      <c r="EU30" s="229">
        <f t="shared" si="19"/>
        <v>6.9</v>
      </c>
      <c r="EV30" s="229">
        <f t="shared" si="19"/>
        <v>0</v>
      </c>
      <c r="EW30" s="229">
        <f t="shared" si="19"/>
        <v>31.4</v>
      </c>
      <c r="EX30" s="229">
        <f t="shared" si="19"/>
        <v>41.8</v>
      </c>
      <c r="EY30" s="229">
        <f t="shared" si="19"/>
        <v>0</v>
      </c>
      <c r="EZ30" s="390">
        <f t="shared" si="19"/>
        <v>0</v>
      </c>
      <c r="FA30" s="228">
        <f t="shared" ref="FA30:FL30" si="20">FA10+FA11+FA15+FA16+FA20+FA21+FA25</f>
        <v>88.4</v>
      </c>
      <c r="FB30" s="229">
        <f t="shared" si="20"/>
        <v>17.5</v>
      </c>
      <c r="FC30" s="229">
        <f t="shared" si="20"/>
        <v>0</v>
      </c>
      <c r="FD30" s="229">
        <f t="shared" si="20"/>
        <v>3</v>
      </c>
      <c r="FE30" s="229">
        <f t="shared" si="20"/>
        <v>0</v>
      </c>
      <c r="FF30" s="229">
        <f t="shared" si="20"/>
        <v>15.5</v>
      </c>
      <c r="FG30" s="229">
        <f t="shared" si="20"/>
        <v>0</v>
      </c>
      <c r="FH30" s="229">
        <f t="shared" si="20"/>
        <v>29</v>
      </c>
      <c r="FI30" s="229">
        <f t="shared" si="20"/>
        <v>1.5</v>
      </c>
      <c r="FJ30" s="229">
        <f t="shared" si="20"/>
        <v>0</v>
      </c>
      <c r="FK30" s="229">
        <f t="shared" si="20"/>
        <v>94.8</v>
      </c>
      <c r="FL30" s="229">
        <f t="shared" si="20"/>
        <v>23.5</v>
      </c>
      <c r="FM30" s="229">
        <f t="shared" ref="FM30:GC30" si="21">FM10+FM11+FM15+FM16+FM20+FM21+FM25</f>
        <v>0</v>
      </c>
      <c r="FN30" s="229">
        <f t="shared" si="21"/>
        <v>5.0999999999999996</v>
      </c>
      <c r="FO30" s="229">
        <f t="shared" si="21"/>
        <v>0</v>
      </c>
      <c r="FP30" s="229">
        <f t="shared" si="21"/>
        <v>0</v>
      </c>
      <c r="FQ30" s="229">
        <f t="shared" si="21"/>
        <v>0</v>
      </c>
      <c r="FR30" s="229">
        <f t="shared" si="21"/>
        <v>7</v>
      </c>
      <c r="FS30" s="229">
        <f t="shared" si="21"/>
        <v>0</v>
      </c>
      <c r="FT30" s="229">
        <f t="shared" si="21"/>
        <v>0</v>
      </c>
      <c r="FU30" s="229">
        <f t="shared" si="21"/>
        <v>0</v>
      </c>
      <c r="FV30" s="229">
        <f t="shared" si="21"/>
        <v>0</v>
      </c>
      <c r="FW30" s="229">
        <f t="shared" si="21"/>
        <v>0</v>
      </c>
      <c r="FX30" s="229">
        <f t="shared" si="21"/>
        <v>0</v>
      </c>
      <c r="FY30" s="229">
        <f t="shared" si="21"/>
        <v>0</v>
      </c>
      <c r="FZ30" s="229">
        <f t="shared" si="21"/>
        <v>0</v>
      </c>
      <c r="GA30" s="229">
        <f t="shared" si="21"/>
        <v>11</v>
      </c>
      <c r="GB30" s="229">
        <f t="shared" si="21"/>
        <v>30.3</v>
      </c>
      <c r="GC30" s="229">
        <f t="shared" si="21"/>
        <v>11</v>
      </c>
      <c r="GD30" s="229">
        <f t="shared" ref="GD30:GT30" si="22">GD10+GD11+GD15+GD16+GD20+GD21+GD25</f>
        <v>0</v>
      </c>
      <c r="GE30" s="390">
        <f t="shared" si="22"/>
        <v>0</v>
      </c>
      <c r="GF30" s="228">
        <f t="shared" si="22"/>
        <v>0</v>
      </c>
      <c r="GG30" s="229">
        <f t="shared" si="22"/>
        <v>0</v>
      </c>
      <c r="GH30" s="229">
        <f t="shared" si="22"/>
        <v>0</v>
      </c>
      <c r="GI30" s="229">
        <f t="shared" si="22"/>
        <v>0</v>
      </c>
      <c r="GJ30" s="229">
        <f t="shared" si="22"/>
        <v>0</v>
      </c>
      <c r="GK30" s="229">
        <f t="shared" si="22"/>
        <v>0</v>
      </c>
      <c r="GL30" s="229">
        <f t="shared" si="22"/>
        <v>0</v>
      </c>
      <c r="GM30" s="229">
        <f t="shared" si="22"/>
        <v>0</v>
      </c>
      <c r="GN30" s="229">
        <f t="shared" si="22"/>
        <v>0</v>
      </c>
      <c r="GO30" s="229">
        <f t="shared" si="22"/>
        <v>0</v>
      </c>
      <c r="GP30" s="229">
        <f t="shared" si="22"/>
        <v>0</v>
      </c>
      <c r="GQ30" s="229">
        <f t="shared" si="22"/>
        <v>0</v>
      </c>
      <c r="GR30" s="229">
        <f t="shared" si="22"/>
        <v>0</v>
      </c>
      <c r="GS30" s="229">
        <f t="shared" si="22"/>
        <v>0</v>
      </c>
      <c r="GT30" s="229">
        <f t="shared" si="22"/>
        <v>0</v>
      </c>
      <c r="GU30" s="229">
        <f t="shared" ref="GU30:GY30" si="23">GU10+GU11+GU15+GU16+GU20+GU21+GU25</f>
        <v>0</v>
      </c>
      <c r="GV30" s="229">
        <f t="shared" si="23"/>
        <v>0</v>
      </c>
      <c r="GW30" s="229">
        <f t="shared" si="23"/>
        <v>0</v>
      </c>
      <c r="GX30" s="229">
        <f t="shared" si="23"/>
        <v>0</v>
      </c>
      <c r="GY30" s="390">
        <f t="shared" si="23"/>
        <v>0</v>
      </c>
      <c r="GZ30" s="446">
        <f>SUM(E30:CZ30)</f>
        <v>1867.9999999999998</v>
      </c>
    </row>
    <row r="31" spans="1:208" s="225" customFormat="1" ht="20.25" customHeight="1" thickBot="1" x14ac:dyDescent="0.3">
      <c r="A31" s="470"/>
      <c r="B31" s="473"/>
      <c r="C31" s="231" t="s">
        <v>84</v>
      </c>
      <c r="D31" s="232" t="s">
        <v>88</v>
      </c>
      <c r="E31" s="233">
        <f>+E12+E17+E22</f>
        <v>0</v>
      </c>
      <c r="F31" s="234">
        <f t="shared" ref="F31:AF31" si="24">+F12+F17+F22</f>
        <v>0</v>
      </c>
      <c r="G31" s="234">
        <f t="shared" si="24"/>
        <v>0</v>
      </c>
      <c r="H31" s="234">
        <f t="shared" si="24"/>
        <v>0</v>
      </c>
      <c r="I31" s="234">
        <f t="shared" si="24"/>
        <v>0</v>
      </c>
      <c r="J31" s="234">
        <f t="shared" si="24"/>
        <v>0</v>
      </c>
      <c r="K31" s="234">
        <f t="shared" si="24"/>
        <v>0</v>
      </c>
      <c r="L31" s="234">
        <f t="shared" si="24"/>
        <v>0</v>
      </c>
      <c r="M31" s="234">
        <f t="shared" si="24"/>
        <v>0</v>
      </c>
      <c r="N31" s="234">
        <f t="shared" si="24"/>
        <v>0</v>
      </c>
      <c r="O31" s="234">
        <f t="shared" si="24"/>
        <v>0</v>
      </c>
      <c r="P31" s="234">
        <f t="shared" si="24"/>
        <v>0</v>
      </c>
      <c r="Q31" s="234">
        <f t="shared" si="24"/>
        <v>0</v>
      </c>
      <c r="R31" s="234">
        <f t="shared" si="24"/>
        <v>1906</v>
      </c>
      <c r="S31" s="234">
        <f t="shared" si="24"/>
        <v>0</v>
      </c>
      <c r="T31" s="234">
        <f t="shared" si="24"/>
        <v>0</v>
      </c>
      <c r="U31" s="234">
        <f t="shared" si="24"/>
        <v>0</v>
      </c>
      <c r="V31" s="234">
        <f t="shared" si="24"/>
        <v>0</v>
      </c>
      <c r="W31" s="234">
        <f t="shared" si="24"/>
        <v>153</v>
      </c>
      <c r="X31" s="234">
        <f t="shared" si="24"/>
        <v>0</v>
      </c>
      <c r="Y31" s="234">
        <f t="shared" si="24"/>
        <v>0</v>
      </c>
      <c r="Z31" s="234">
        <f t="shared" si="24"/>
        <v>0</v>
      </c>
      <c r="AA31" s="234">
        <f t="shared" si="24"/>
        <v>0</v>
      </c>
      <c r="AB31" s="234">
        <f t="shared" si="24"/>
        <v>0</v>
      </c>
      <c r="AC31" s="234">
        <f t="shared" si="24"/>
        <v>0</v>
      </c>
      <c r="AD31" s="234">
        <f t="shared" si="24"/>
        <v>517</v>
      </c>
      <c r="AE31" s="234">
        <f t="shared" si="24"/>
        <v>0</v>
      </c>
      <c r="AF31" s="291">
        <f t="shared" si="24"/>
        <v>12</v>
      </c>
      <c r="AG31" s="230">
        <f>+AG12+AG17</f>
        <v>0</v>
      </c>
      <c r="AH31" s="233">
        <f t="shared" ref="AH31:BL31" si="25">+AH12+AH17+AH22</f>
        <v>0</v>
      </c>
      <c r="AI31" s="234">
        <f t="shared" si="25"/>
        <v>1467</v>
      </c>
      <c r="AJ31" s="234">
        <f t="shared" si="25"/>
        <v>0</v>
      </c>
      <c r="AK31" s="234">
        <f t="shared" si="25"/>
        <v>0</v>
      </c>
      <c r="AL31" s="234">
        <f t="shared" si="25"/>
        <v>0</v>
      </c>
      <c r="AM31" s="234">
        <f t="shared" si="25"/>
        <v>0</v>
      </c>
      <c r="AN31" s="234">
        <f t="shared" si="25"/>
        <v>0</v>
      </c>
      <c r="AO31" s="234">
        <f t="shared" si="25"/>
        <v>0</v>
      </c>
      <c r="AP31" s="234">
        <f t="shared" si="25"/>
        <v>0</v>
      </c>
      <c r="AQ31" s="234">
        <f t="shared" si="25"/>
        <v>0</v>
      </c>
      <c r="AR31" s="234">
        <f t="shared" si="25"/>
        <v>0</v>
      </c>
      <c r="AS31" s="234">
        <f t="shared" si="25"/>
        <v>0</v>
      </c>
      <c r="AT31" s="234">
        <f t="shared" si="25"/>
        <v>0</v>
      </c>
      <c r="AU31" s="234">
        <f t="shared" si="25"/>
        <v>0</v>
      </c>
      <c r="AV31" s="234">
        <f t="shared" si="25"/>
        <v>0</v>
      </c>
      <c r="AW31" s="234">
        <f t="shared" si="25"/>
        <v>1340</v>
      </c>
      <c r="AX31" s="234">
        <f t="shared" si="25"/>
        <v>0</v>
      </c>
      <c r="AY31" s="234">
        <f t="shared" si="25"/>
        <v>0</v>
      </c>
      <c r="AZ31" s="234">
        <f t="shared" si="25"/>
        <v>0</v>
      </c>
      <c r="BA31" s="234">
        <f t="shared" si="25"/>
        <v>0</v>
      </c>
      <c r="BB31" s="234">
        <f t="shared" si="25"/>
        <v>0</v>
      </c>
      <c r="BC31" s="234">
        <f t="shared" si="25"/>
        <v>0</v>
      </c>
      <c r="BD31" s="234">
        <f t="shared" si="25"/>
        <v>0</v>
      </c>
      <c r="BE31" s="234">
        <f t="shared" si="25"/>
        <v>0</v>
      </c>
      <c r="BF31" s="234">
        <f t="shared" si="25"/>
        <v>200</v>
      </c>
      <c r="BG31" s="234">
        <f t="shared" si="25"/>
        <v>0</v>
      </c>
      <c r="BH31" s="234">
        <f t="shared" si="25"/>
        <v>0</v>
      </c>
      <c r="BI31" s="234">
        <f t="shared" si="25"/>
        <v>950</v>
      </c>
      <c r="BJ31" s="234">
        <f t="shared" si="25"/>
        <v>0</v>
      </c>
      <c r="BK31" s="234">
        <f t="shared" si="25"/>
        <v>0</v>
      </c>
      <c r="BL31" s="291">
        <f t="shared" si="25"/>
        <v>50</v>
      </c>
      <c r="BM31" s="295">
        <f>+BM12+BM17</f>
        <v>0</v>
      </c>
      <c r="BN31" s="233">
        <f t="shared" ref="BN31:CS31" si="26">+BN12+BN17+BN22</f>
        <v>0</v>
      </c>
      <c r="BO31" s="234">
        <f t="shared" si="26"/>
        <v>0</v>
      </c>
      <c r="BP31" s="234">
        <f t="shared" si="26"/>
        <v>0</v>
      </c>
      <c r="BQ31" s="234">
        <f t="shared" si="26"/>
        <v>0</v>
      </c>
      <c r="BR31" s="234">
        <f t="shared" si="26"/>
        <v>0</v>
      </c>
      <c r="BS31" s="234">
        <f t="shared" si="26"/>
        <v>0</v>
      </c>
      <c r="BT31" s="234">
        <f t="shared" si="26"/>
        <v>0</v>
      </c>
      <c r="BU31" s="234">
        <f t="shared" si="26"/>
        <v>0</v>
      </c>
      <c r="BV31" s="234">
        <f t="shared" si="26"/>
        <v>0</v>
      </c>
      <c r="BW31" s="234">
        <f t="shared" si="26"/>
        <v>0</v>
      </c>
      <c r="BX31" s="234">
        <f t="shared" si="26"/>
        <v>0</v>
      </c>
      <c r="BY31" s="234">
        <f t="shared" si="26"/>
        <v>924</v>
      </c>
      <c r="BZ31" s="234">
        <f t="shared" si="26"/>
        <v>0</v>
      </c>
      <c r="CA31" s="234">
        <f t="shared" si="26"/>
        <v>0</v>
      </c>
      <c r="CB31" s="234">
        <f t="shared" si="26"/>
        <v>0</v>
      </c>
      <c r="CC31" s="234">
        <f t="shared" si="26"/>
        <v>0</v>
      </c>
      <c r="CD31" s="234">
        <f t="shared" si="26"/>
        <v>0</v>
      </c>
      <c r="CE31" s="234">
        <f t="shared" si="26"/>
        <v>16</v>
      </c>
      <c r="CF31" s="234">
        <f t="shared" si="26"/>
        <v>0</v>
      </c>
      <c r="CG31" s="234">
        <f t="shared" si="26"/>
        <v>0</v>
      </c>
      <c r="CH31" s="234">
        <f t="shared" si="26"/>
        <v>0</v>
      </c>
      <c r="CI31" s="234">
        <f t="shared" si="26"/>
        <v>0</v>
      </c>
      <c r="CJ31" s="234">
        <f t="shared" si="26"/>
        <v>1925</v>
      </c>
      <c r="CK31" s="234">
        <f t="shared" si="26"/>
        <v>0</v>
      </c>
      <c r="CL31" s="234">
        <f t="shared" si="26"/>
        <v>0</v>
      </c>
      <c r="CM31" s="234">
        <f t="shared" si="26"/>
        <v>0</v>
      </c>
      <c r="CN31" s="234">
        <f t="shared" si="26"/>
        <v>0</v>
      </c>
      <c r="CO31" s="234">
        <f t="shared" si="26"/>
        <v>66</v>
      </c>
      <c r="CP31" s="234">
        <f t="shared" si="26"/>
        <v>0</v>
      </c>
      <c r="CQ31" s="235">
        <f t="shared" si="26"/>
        <v>884</v>
      </c>
      <c r="CR31" s="228">
        <f t="shared" si="26"/>
        <v>0</v>
      </c>
      <c r="CS31" s="229">
        <f t="shared" si="26"/>
        <v>0</v>
      </c>
      <c r="CT31" s="229">
        <f t="shared" ref="CT31:CZ31" si="27">+CT12+CT17+CT22</f>
        <v>0</v>
      </c>
      <c r="CU31" s="229">
        <f t="shared" si="27"/>
        <v>0</v>
      </c>
      <c r="CV31" s="229">
        <f t="shared" si="27"/>
        <v>0</v>
      </c>
      <c r="CW31" s="229">
        <f t="shared" si="27"/>
        <v>0</v>
      </c>
      <c r="CX31" s="229">
        <f t="shared" si="27"/>
        <v>0</v>
      </c>
      <c r="CY31" s="229">
        <f t="shared" si="27"/>
        <v>0</v>
      </c>
      <c r="CZ31" s="229">
        <f t="shared" si="27"/>
        <v>0</v>
      </c>
      <c r="DA31" s="229">
        <f t="shared" ref="DA31:DH31" si="28">+DA12+DA17+DA22</f>
        <v>0</v>
      </c>
      <c r="DB31" s="229">
        <f t="shared" si="28"/>
        <v>0</v>
      </c>
      <c r="DC31" s="229">
        <f t="shared" si="28"/>
        <v>0</v>
      </c>
      <c r="DD31" s="229">
        <f t="shared" si="28"/>
        <v>0</v>
      </c>
      <c r="DE31" s="229">
        <f t="shared" si="28"/>
        <v>0</v>
      </c>
      <c r="DF31" s="229">
        <f t="shared" si="28"/>
        <v>0</v>
      </c>
      <c r="DG31" s="229">
        <f t="shared" si="28"/>
        <v>0</v>
      </c>
      <c r="DH31" s="229">
        <f t="shared" si="28"/>
        <v>1211</v>
      </c>
      <c r="DI31" s="229">
        <f t="shared" ref="DI31" si="29">+DI12+DI17+DI22</f>
        <v>0</v>
      </c>
      <c r="DJ31" s="229">
        <f t="shared" ref="DJ31:DM31" si="30">+DJ12+DJ17+DJ22</f>
        <v>0</v>
      </c>
      <c r="DK31" s="229">
        <f t="shared" si="30"/>
        <v>710</v>
      </c>
      <c r="DL31" s="229">
        <f t="shared" si="30"/>
        <v>75</v>
      </c>
      <c r="DM31" s="229">
        <f t="shared" si="30"/>
        <v>0</v>
      </c>
      <c r="DN31" s="229">
        <f t="shared" ref="DN31:DZ31" si="31">+DN12+DN17+DN22</f>
        <v>0</v>
      </c>
      <c r="DO31" s="229">
        <f t="shared" si="31"/>
        <v>0</v>
      </c>
      <c r="DP31" s="229">
        <f t="shared" si="31"/>
        <v>780</v>
      </c>
      <c r="DQ31" s="229">
        <f t="shared" si="31"/>
        <v>0</v>
      </c>
      <c r="DR31" s="229">
        <f t="shared" si="31"/>
        <v>0</v>
      </c>
      <c r="DS31" s="229">
        <f t="shared" si="31"/>
        <v>0</v>
      </c>
      <c r="DT31" s="229">
        <f t="shared" si="31"/>
        <v>0</v>
      </c>
      <c r="DU31" s="229">
        <f t="shared" si="31"/>
        <v>0</v>
      </c>
      <c r="DV31" s="354">
        <f t="shared" si="31"/>
        <v>0</v>
      </c>
      <c r="DW31" s="228">
        <f t="shared" si="31"/>
        <v>40</v>
      </c>
      <c r="DX31" s="229">
        <f t="shared" si="31"/>
        <v>1600</v>
      </c>
      <c r="DY31" s="229">
        <f t="shared" si="31"/>
        <v>0</v>
      </c>
      <c r="DZ31" s="229">
        <f t="shared" si="31"/>
        <v>0</v>
      </c>
      <c r="EA31" s="229">
        <f t="shared" ref="EA31:EN31" si="32">+EA12+EA17+EA22</f>
        <v>0</v>
      </c>
      <c r="EB31" s="229">
        <f t="shared" si="32"/>
        <v>0</v>
      </c>
      <c r="EC31" s="229">
        <f t="shared" si="32"/>
        <v>0</v>
      </c>
      <c r="ED31" s="229">
        <f t="shared" si="32"/>
        <v>0</v>
      </c>
      <c r="EE31" s="229">
        <f t="shared" si="32"/>
        <v>0</v>
      </c>
      <c r="EF31" s="229">
        <f t="shared" si="32"/>
        <v>0</v>
      </c>
      <c r="EG31" s="229">
        <f t="shared" si="32"/>
        <v>0</v>
      </c>
      <c r="EH31" s="229">
        <f t="shared" si="32"/>
        <v>0</v>
      </c>
      <c r="EI31" s="229">
        <f t="shared" si="32"/>
        <v>63</v>
      </c>
      <c r="EJ31" s="229">
        <f t="shared" si="32"/>
        <v>0</v>
      </c>
      <c r="EK31" s="229">
        <f t="shared" si="32"/>
        <v>0</v>
      </c>
      <c r="EL31" s="229">
        <f t="shared" si="32"/>
        <v>0</v>
      </c>
      <c r="EM31" s="229">
        <f t="shared" si="32"/>
        <v>0</v>
      </c>
      <c r="EN31" s="229">
        <f t="shared" si="32"/>
        <v>0</v>
      </c>
      <c r="EO31" s="229">
        <f t="shared" ref="EO31:EZ31" si="33">+EO12+EO17+EO22</f>
        <v>0</v>
      </c>
      <c r="EP31" s="229">
        <f t="shared" si="33"/>
        <v>0</v>
      </c>
      <c r="EQ31" s="229">
        <f t="shared" si="33"/>
        <v>0</v>
      </c>
      <c r="ER31" s="229">
        <f t="shared" si="33"/>
        <v>0</v>
      </c>
      <c r="ES31" s="229">
        <f t="shared" si="33"/>
        <v>0</v>
      </c>
      <c r="ET31" s="229">
        <f t="shared" si="33"/>
        <v>0</v>
      </c>
      <c r="EU31" s="229">
        <f t="shared" si="33"/>
        <v>0</v>
      </c>
      <c r="EV31" s="229">
        <f t="shared" si="33"/>
        <v>0</v>
      </c>
      <c r="EW31" s="229">
        <f t="shared" si="33"/>
        <v>0</v>
      </c>
      <c r="EX31" s="229">
        <f t="shared" si="33"/>
        <v>0</v>
      </c>
      <c r="EY31" s="229">
        <f t="shared" si="33"/>
        <v>0</v>
      </c>
      <c r="EZ31" s="390">
        <f t="shared" si="33"/>
        <v>0</v>
      </c>
      <c r="FA31" s="228">
        <f t="shared" ref="FA31:FL31" si="34">+FA12+FA17+FA22</f>
        <v>0</v>
      </c>
      <c r="FB31" s="229">
        <f t="shared" si="34"/>
        <v>0</v>
      </c>
      <c r="FC31" s="229">
        <f t="shared" si="34"/>
        <v>0</v>
      </c>
      <c r="FD31" s="229">
        <f t="shared" si="34"/>
        <v>0</v>
      </c>
      <c r="FE31" s="229">
        <f t="shared" si="34"/>
        <v>0</v>
      </c>
      <c r="FF31" s="229">
        <f t="shared" si="34"/>
        <v>0</v>
      </c>
      <c r="FG31" s="229">
        <f t="shared" si="34"/>
        <v>0</v>
      </c>
      <c r="FH31" s="229">
        <f t="shared" si="34"/>
        <v>0</v>
      </c>
      <c r="FI31" s="229">
        <f t="shared" si="34"/>
        <v>0</v>
      </c>
      <c r="FJ31" s="229">
        <f t="shared" si="34"/>
        <v>0</v>
      </c>
      <c r="FK31" s="229">
        <f t="shared" si="34"/>
        <v>0</v>
      </c>
      <c r="FL31" s="229">
        <f t="shared" si="34"/>
        <v>0</v>
      </c>
      <c r="FM31" s="229">
        <f t="shared" ref="FM31:GC31" si="35">+FM12+FM17+FM22</f>
        <v>0</v>
      </c>
      <c r="FN31" s="229">
        <f t="shared" si="35"/>
        <v>0</v>
      </c>
      <c r="FO31" s="229">
        <f t="shared" si="35"/>
        <v>0</v>
      </c>
      <c r="FP31" s="229">
        <f t="shared" si="35"/>
        <v>0</v>
      </c>
      <c r="FQ31" s="229">
        <f t="shared" si="35"/>
        <v>0</v>
      </c>
      <c r="FR31" s="229">
        <f t="shared" si="35"/>
        <v>0</v>
      </c>
      <c r="FS31" s="229">
        <f t="shared" si="35"/>
        <v>0</v>
      </c>
      <c r="FT31" s="229">
        <f t="shared" si="35"/>
        <v>0</v>
      </c>
      <c r="FU31" s="229">
        <f t="shared" si="35"/>
        <v>0</v>
      </c>
      <c r="FV31" s="229">
        <f t="shared" si="35"/>
        <v>0</v>
      </c>
      <c r="FW31" s="229">
        <f t="shared" si="35"/>
        <v>0</v>
      </c>
      <c r="FX31" s="229">
        <f t="shared" si="35"/>
        <v>0</v>
      </c>
      <c r="FY31" s="229">
        <f t="shared" si="35"/>
        <v>0</v>
      </c>
      <c r="FZ31" s="229">
        <f t="shared" si="35"/>
        <v>0</v>
      </c>
      <c r="GA31" s="229">
        <f t="shared" si="35"/>
        <v>0</v>
      </c>
      <c r="GB31" s="229">
        <f t="shared" si="35"/>
        <v>0</v>
      </c>
      <c r="GC31" s="229">
        <f t="shared" si="35"/>
        <v>0</v>
      </c>
      <c r="GD31" s="229">
        <f t="shared" ref="GD31:GT31" si="36">+GD12+GD17+GD22</f>
        <v>0</v>
      </c>
      <c r="GE31" s="390">
        <f t="shared" si="36"/>
        <v>0</v>
      </c>
      <c r="GF31" s="228">
        <f t="shared" si="36"/>
        <v>0</v>
      </c>
      <c r="GG31" s="229">
        <f t="shared" si="36"/>
        <v>0</v>
      </c>
      <c r="GH31" s="229">
        <f t="shared" si="36"/>
        <v>0</v>
      </c>
      <c r="GI31" s="229">
        <f t="shared" si="36"/>
        <v>0</v>
      </c>
      <c r="GJ31" s="229">
        <f t="shared" si="36"/>
        <v>0</v>
      </c>
      <c r="GK31" s="229">
        <f t="shared" si="36"/>
        <v>0</v>
      </c>
      <c r="GL31" s="229">
        <f t="shared" si="36"/>
        <v>0</v>
      </c>
      <c r="GM31" s="229">
        <f t="shared" si="36"/>
        <v>0</v>
      </c>
      <c r="GN31" s="229">
        <f t="shared" si="36"/>
        <v>0</v>
      </c>
      <c r="GO31" s="229">
        <f t="shared" si="36"/>
        <v>0</v>
      </c>
      <c r="GP31" s="229">
        <f t="shared" si="36"/>
        <v>0</v>
      </c>
      <c r="GQ31" s="229">
        <f t="shared" si="36"/>
        <v>0</v>
      </c>
      <c r="GR31" s="229">
        <f t="shared" si="36"/>
        <v>0</v>
      </c>
      <c r="GS31" s="229">
        <f t="shared" si="36"/>
        <v>0</v>
      </c>
      <c r="GT31" s="229">
        <f t="shared" si="36"/>
        <v>0</v>
      </c>
      <c r="GU31" s="229">
        <f t="shared" ref="GU31:GY31" si="37">+GU12+GU17+GU22</f>
        <v>0</v>
      </c>
      <c r="GV31" s="229">
        <f t="shared" si="37"/>
        <v>0</v>
      </c>
      <c r="GW31" s="229">
        <f t="shared" si="37"/>
        <v>0</v>
      </c>
      <c r="GX31" s="229">
        <f t="shared" si="37"/>
        <v>0</v>
      </c>
      <c r="GY31" s="390">
        <f t="shared" si="37"/>
        <v>0</v>
      </c>
      <c r="GZ31" s="447">
        <f>SUM(E31:CZ31)</f>
        <v>10410</v>
      </c>
    </row>
    <row r="32" spans="1:208" ht="15" customHeight="1" thickBot="1" x14ac:dyDescent="0.4">
      <c r="A32" s="204"/>
      <c r="B32" s="201"/>
      <c r="C32" s="205"/>
      <c r="D32" s="206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8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247"/>
      <c r="BN32" s="207"/>
      <c r="BO32" s="207"/>
      <c r="BP32" s="207"/>
      <c r="BQ32" s="207"/>
      <c r="BR32" s="207"/>
      <c r="BS32" s="207"/>
      <c r="BT32" s="207"/>
      <c r="BU32" s="207"/>
      <c r="BV32" s="207"/>
      <c r="BW32" s="207"/>
      <c r="BX32" s="207"/>
      <c r="BY32" s="207"/>
      <c r="BZ32" s="207"/>
      <c r="CA32" s="207"/>
      <c r="CB32" s="207"/>
      <c r="CC32" s="207"/>
      <c r="CD32" s="207"/>
      <c r="CE32" s="207"/>
      <c r="CF32" s="207"/>
      <c r="CG32" s="207"/>
      <c r="CH32" s="207"/>
      <c r="CI32" s="207"/>
      <c r="CJ32" s="207"/>
      <c r="CK32" s="207"/>
      <c r="CL32" s="207"/>
      <c r="CM32" s="207"/>
      <c r="CN32" s="207"/>
      <c r="CO32" s="207"/>
      <c r="CP32" s="207"/>
      <c r="CQ32" s="207"/>
      <c r="CR32" s="288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89"/>
      <c r="DD32" s="289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89"/>
      <c r="DV32" s="352"/>
      <c r="DW32" s="288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89"/>
      <c r="EQ32" s="289"/>
      <c r="ER32" s="289"/>
      <c r="ES32" s="289"/>
      <c r="ET32" s="289"/>
      <c r="EU32" s="289"/>
      <c r="EV32" s="289"/>
      <c r="EW32" s="289"/>
      <c r="EX32" s="289"/>
      <c r="EY32" s="289"/>
      <c r="EZ32" s="289"/>
      <c r="FA32" s="288"/>
      <c r="FB32" s="289"/>
      <c r="FC32" s="289"/>
      <c r="FD32" s="289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88"/>
      <c r="GG32" s="289"/>
      <c r="GH32" s="289"/>
      <c r="GI32" s="289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448"/>
    </row>
    <row r="33" spans="1:208" ht="29.25" customHeight="1" thickBot="1" x14ac:dyDescent="0.4">
      <c r="A33" s="476" t="s">
        <v>107</v>
      </c>
      <c r="B33" s="477"/>
      <c r="C33" s="477"/>
      <c r="D33" s="478"/>
      <c r="E33" s="209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1"/>
      <c r="AG33" s="212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/>
      <c r="AV33" s="210"/>
      <c r="AW33" s="210"/>
      <c r="AX33" s="210"/>
      <c r="AY33" s="210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48"/>
      <c r="BN33" s="210"/>
      <c r="BO33" s="210"/>
      <c r="BP33" s="210"/>
      <c r="BQ33" s="210"/>
      <c r="BR33" s="210"/>
      <c r="BS33" s="210"/>
      <c r="BT33" s="210"/>
      <c r="BU33" s="210"/>
      <c r="BV33" s="210"/>
      <c r="BW33" s="210"/>
      <c r="BX33" s="210"/>
      <c r="BY33" s="210"/>
      <c r="BZ33" s="210"/>
      <c r="CA33" s="210"/>
      <c r="CB33" s="210"/>
      <c r="CC33" s="210"/>
      <c r="CD33" s="210"/>
      <c r="CE33" s="210"/>
      <c r="CF33" s="210"/>
      <c r="CG33" s="210"/>
      <c r="CH33" s="210"/>
      <c r="CI33" s="210"/>
      <c r="CJ33" s="210"/>
      <c r="CK33" s="210"/>
      <c r="CL33" s="210"/>
      <c r="CM33" s="210"/>
      <c r="CN33" s="210"/>
      <c r="CO33" s="210"/>
      <c r="CP33" s="210"/>
      <c r="CQ33" s="211"/>
      <c r="CR33" s="209"/>
      <c r="CS33" s="210"/>
      <c r="CT33" s="210"/>
      <c r="CU33" s="210"/>
      <c r="CV33" s="210"/>
      <c r="CW33" s="210"/>
      <c r="CX33" s="210"/>
      <c r="CY33" s="210"/>
      <c r="CZ33" s="210"/>
      <c r="DA33" s="210"/>
      <c r="DB33" s="210"/>
      <c r="DC33" s="210"/>
      <c r="DD33" s="210"/>
      <c r="DE33" s="210"/>
      <c r="DF33" s="210"/>
      <c r="DG33" s="210"/>
      <c r="DH33" s="210"/>
      <c r="DI33" s="210"/>
      <c r="DJ33" s="210"/>
      <c r="DK33" s="210"/>
      <c r="DL33" s="210"/>
      <c r="DM33" s="210"/>
      <c r="DN33" s="210"/>
      <c r="DO33" s="210"/>
      <c r="DP33" s="210"/>
      <c r="DQ33" s="210"/>
      <c r="DR33" s="210"/>
      <c r="DS33" s="210"/>
      <c r="DT33" s="210"/>
      <c r="DU33" s="210"/>
      <c r="DV33" s="355"/>
      <c r="DW33" s="209"/>
      <c r="DX33" s="210"/>
      <c r="DY33" s="210"/>
      <c r="DZ33" s="210"/>
      <c r="EA33" s="210"/>
      <c r="EB33" s="210"/>
      <c r="EC33" s="210"/>
      <c r="ED33" s="210"/>
      <c r="EE33" s="210"/>
      <c r="EF33" s="210"/>
      <c r="EG33" s="210"/>
      <c r="EH33" s="210"/>
      <c r="EI33" s="210"/>
      <c r="EJ33" s="210"/>
      <c r="EK33" s="210"/>
      <c r="EL33" s="210"/>
      <c r="EM33" s="210"/>
      <c r="EN33" s="210"/>
      <c r="EO33" s="210"/>
      <c r="EP33" s="210"/>
      <c r="EQ33" s="210"/>
      <c r="ER33" s="210"/>
      <c r="ES33" s="210"/>
      <c r="ET33" s="210"/>
      <c r="EU33" s="210"/>
      <c r="EV33" s="210"/>
      <c r="EW33" s="210"/>
      <c r="EX33" s="210"/>
      <c r="EY33" s="210"/>
      <c r="EZ33" s="211"/>
      <c r="FA33" s="209"/>
      <c r="FB33" s="210"/>
      <c r="FC33" s="210"/>
      <c r="FD33" s="210"/>
      <c r="FE33" s="210"/>
      <c r="FF33" s="210"/>
      <c r="FG33" s="210"/>
      <c r="FH33" s="210"/>
      <c r="FI33" s="210"/>
      <c r="FJ33" s="210"/>
      <c r="FK33" s="210"/>
      <c r="FL33" s="210"/>
      <c r="FM33" s="210"/>
      <c r="FN33" s="210"/>
      <c r="FO33" s="210"/>
      <c r="FP33" s="210"/>
      <c r="FQ33" s="210"/>
      <c r="FR33" s="210"/>
      <c r="FS33" s="210"/>
      <c r="FT33" s="210"/>
      <c r="FU33" s="210"/>
      <c r="FV33" s="210"/>
      <c r="FW33" s="210"/>
      <c r="FX33" s="210"/>
      <c r="FY33" s="210"/>
      <c r="FZ33" s="210"/>
      <c r="GA33" s="210"/>
      <c r="GB33" s="210"/>
      <c r="GC33" s="210"/>
      <c r="GD33" s="210"/>
      <c r="GE33" s="211"/>
      <c r="GF33" s="209"/>
      <c r="GG33" s="210"/>
      <c r="GH33" s="210"/>
      <c r="GI33" s="210"/>
      <c r="GJ33" s="210"/>
      <c r="GK33" s="210"/>
      <c r="GL33" s="210"/>
      <c r="GM33" s="210"/>
      <c r="GN33" s="210"/>
      <c r="GO33" s="210"/>
      <c r="GP33" s="210"/>
      <c r="GQ33" s="210"/>
      <c r="GR33" s="210"/>
      <c r="GS33" s="210"/>
      <c r="GT33" s="210"/>
      <c r="GU33" s="210"/>
      <c r="GV33" s="210"/>
      <c r="GW33" s="210"/>
      <c r="GX33" s="210"/>
      <c r="GY33" s="211"/>
      <c r="GZ33" s="449"/>
    </row>
    <row r="34" spans="1:208" ht="15" hidden="1" customHeight="1" thickBot="1" x14ac:dyDescent="0.4">
      <c r="A34" s="482"/>
      <c r="B34" s="481" t="s">
        <v>23</v>
      </c>
      <c r="C34" s="25" t="s">
        <v>82</v>
      </c>
      <c r="D34" s="32" t="s">
        <v>86</v>
      </c>
      <c r="E34" s="71">
        <f>+Columns!O76</f>
        <v>1</v>
      </c>
      <c r="F34" s="37">
        <f>+Columns!P76</f>
        <v>0</v>
      </c>
      <c r="G34" s="37">
        <f>+Columns!Q76</f>
        <v>0</v>
      </c>
      <c r="H34" s="37">
        <f>+Columns!R76</f>
        <v>0</v>
      </c>
      <c r="I34" s="37">
        <f>+Columns!S76</f>
        <v>0</v>
      </c>
      <c r="J34" s="37">
        <f>+Columns!T76</f>
        <v>0</v>
      </c>
      <c r="K34" s="37">
        <f>+Columns!U76</f>
        <v>0</v>
      </c>
      <c r="L34" s="37">
        <f>+Columns!V76</f>
        <v>0</v>
      </c>
      <c r="M34" s="37">
        <f>+Columns!W76</f>
        <v>0.5</v>
      </c>
      <c r="N34" s="37">
        <f>+Columns!X76</f>
        <v>0</v>
      </c>
      <c r="O34" s="37">
        <f>+Columns!Y76</f>
        <v>0</v>
      </c>
      <c r="P34" s="37">
        <f>+Columns!Z76</f>
        <v>2</v>
      </c>
      <c r="Q34" s="37">
        <f>+Columns!AA76</f>
        <v>0</v>
      </c>
      <c r="R34" s="37">
        <f>+Columns!AB76</f>
        <v>0.5</v>
      </c>
      <c r="S34" s="37">
        <f>+Columns!AC76</f>
        <v>0</v>
      </c>
      <c r="T34" s="37">
        <f>+Columns!AD76</f>
        <v>0</v>
      </c>
      <c r="U34" s="37">
        <f>+Columns!AE76</f>
        <v>0.5</v>
      </c>
      <c r="V34" s="37">
        <f>+Columns!AF76</f>
        <v>0</v>
      </c>
      <c r="W34" s="37">
        <f>+Columns!AG76</f>
        <v>0</v>
      </c>
      <c r="X34" s="37">
        <f>+Columns!AH76</f>
        <v>0</v>
      </c>
      <c r="Y34" s="37">
        <f>+Columns!AI76</f>
        <v>0</v>
      </c>
      <c r="Z34" s="37">
        <f>+Columns!AJ76</f>
        <v>0</v>
      </c>
      <c r="AA34" s="37">
        <f>+Columns!AK76</f>
        <v>0</v>
      </c>
      <c r="AB34" s="37">
        <f>+Columns!AL76</f>
        <v>0</v>
      </c>
      <c r="AC34" s="37">
        <f>+Columns!AM76</f>
        <v>0</v>
      </c>
      <c r="AD34" s="37">
        <f>+Columns!AN76</f>
        <v>0</v>
      </c>
      <c r="AE34" s="37">
        <f>+Columns!AO76</f>
        <v>0</v>
      </c>
      <c r="AF34" s="276">
        <f>+Columns!AP76</f>
        <v>0</v>
      </c>
      <c r="AG34" s="165">
        <f>+Columns!AQ76</f>
        <v>0</v>
      </c>
      <c r="AH34" s="71">
        <f>+Columns!AR76</f>
        <v>0</v>
      </c>
      <c r="AI34" s="37">
        <f>+Columns!AS76</f>
        <v>0</v>
      </c>
      <c r="AJ34" s="37">
        <f>+Columns!AT76</f>
        <v>0</v>
      </c>
      <c r="AK34" s="37">
        <f>+Columns!AU76</f>
        <v>0</v>
      </c>
      <c r="AL34" s="37">
        <f>+Columns!AV76</f>
        <v>0.5</v>
      </c>
      <c r="AM34" s="37">
        <f>+Columns!AW76</f>
        <v>0</v>
      </c>
      <c r="AN34" s="37">
        <f>+Columns!AX76</f>
        <v>0</v>
      </c>
      <c r="AO34" s="37">
        <f>+Columns!AY76</f>
        <v>0</v>
      </c>
      <c r="AP34" s="37">
        <f>+Columns!AZ76</f>
        <v>0</v>
      </c>
      <c r="AQ34" s="37">
        <f>+Columns!BA76</f>
        <v>0</v>
      </c>
      <c r="AR34" s="37">
        <f>+Columns!BB76</f>
        <v>0</v>
      </c>
      <c r="AS34" s="37">
        <f>+Columns!BC76</f>
        <v>0</v>
      </c>
      <c r="AT34" s="37">
        <f>+Columns!BD76</f>
        <v>0</v>
      </c>
      <c r="AU34" s="37">
        <f>+Columns!BE76</f>
        <v>0</v>
      </c>
      <c r="AV34" s="37">
        <f>+Columns!BF76</f>
        <v>0</v>
      </c>
      <c r="AW34" s="37">
        <f>+Columns!BG76</f>
        <v>0</v>
      </c>
      <c r="AX34" s="37">
        <f>+Columns!BH76</f>
        <v>0</v>
      </c>
      <c r="AY34" s="37">
        <f>+Columns!BI76</f>
        <v>0</v>
      </c>
      <c r="AZ34" s="37">
        <f>+Columns!BJ76</f>
        <v>0</v>
      </c>
      <c r="BA34" s="37">
        <f>+Columns!BK76</f>
        <v>0</v>
      </c>
      <c r="BB34" s="37">
        <f>+Columns!BL76</f>
        <v>0</v>
      </c>
      <c r="BC34" s="37">
        <f>+Columns!BM76</f>
        <v>0</v>
      </c>
      <c r="BD34" s="37">
        <f>+Columns!BN76</f>
        <v>0</v>
      </c>
      <c r="BE34" s="37">
        <f>+Columns!BO76</f>
        <v>0</v>
      </c>
      <c r="BF34" s="37">
        <f>+Columns!BP76</f>
        <v>0</v>
      </c>
      <c r="BG34" s="37">
        <f>+Columns!BQ76</f>
        <v>0</v>
      </c>
      <c r="BH34" s="37">
        <f>+Columns!BR76</f>
        <v>0</v>
      </c>
      <c r="BI34" s="37">
        <f>+Columns!BS76</f>
        <v>1.5</v>
      </c>
      <c r="BJ34" s="37">
        <f>+Columns!BT76</f>
        <v>0</v>
      </c>
      <c r="BK34" s="37">
        <f>+Columns!BU76</f>
        <v>0</v>
      </c>
      <c r="BL34" s="276">
        <f>+Columns!BV76</f>
        <v>0</v>
      </c>
      <c r="BM34" s="294">
        <f>+Columns!BW76</f>
        <v>0</v>
      </c>
      <c r="BN34" s="71">
        <f>+Columns!BX76</f>
        <v>0</v>
      </c>
      <c r="BO34" s="37">
        <f>+Columns!BY76</f>
        <v>0</v>
      </c>
      <c r="BP34" s="37">
        <f>+Columns!BZ76</f>
        <v>0</v>
      </c>
      <c r="BQ34" s="37">
        <f>+Columns!CA76</f>
        <v>0</v>
      </c>
      <c r="BR34" s="37">
        <f>+Columns!CB76</f>
        <v>0</v>
      </c>
      <c r="BS34" s="37">
        <f>+Columns!CC76</f>
        <v>0</v>
      </c>
      <c r="BT34" s="37">
        <f>+Columns!CD76</f>
        <v>1</v>
      </c>
      <c r="BU34" s="37">
        <f>+Columns!CE76</f>
        <v>0</v>
      </c>
      <c r="BV34" s="37">
        <f>+Columns!CF76</f>
        <v>0</v>
      </c>
      <c r="BW34" s="37">
        <f>+Columns!CG76</f>
        <v>0</v>
      </c>
      <c r="BX34" s="37">
        <f>+Columns!CH76</f>
        <v>0</v>
      </c>
      <c r="BY34" s="37">
        <f>+Columns!CI76</f>
        <v>0</v>
      </c>
      <c r="BZ34" s="37">
        <f>+Columns!CJ76</f>
        <v>0</v>
      </c>
      <c r="CA34" s="37">
        <f>+Columns!CK76</f>
        <v>0</v>
      </c>
      <c r="CB34" s="37">
        <f>+Columns!CL76</f>
        <v>0</v>
      </c>
      <c r="CC34" s="37">
        <f>+Columns!CM76</f>
        <v>0</v>
      </c>
      <c r="CD34" s="37">
        <f>+Columns!CN76</f>
        <v>0</v>
      </c>
      <c r="CE34" s="37">
        <f>+Columns!CO76</f>
        <v>0</v>
      </c>
      <c r="CF34" s="37">
        <f>+Columns!CP76</f>
        <v>0</v>
      </c>
      <c r="CG34" s="37">
        <f>+Columns!CQ76</f>
        <v>0</v>
      </c>
      <c r="CH34" s="37">
        <f>+Columns!CR76</f>
        <v>0</v>
      </c>
      <c r="CI34" s="37">
        <f>+Columns!CS76</f>
        <v>0</v>
      </c>
      <c r="CJ34" s="37">
        <f>+Columns!CT76</f>
        <v>0</v>
      </c>
      <c r="CK34" s="37">
        <f>+Columns!CU76</f>
        <v>0</v>
      </c>
      <c r="CL34" s="37">
        <f>+Columns!CV76</f>
        <v>0.5</v>
      </c>
      <c r="CM34" s="37">
        <f>+Columns!CW76</f>
        <v>0</v>
      </c>
      <c r="CN34" s="37">
        <f>+Columns!CX76</f>
        <v>0</v>
      </c>
      <c r="CO34" s="37">
        <f>+Columns!CY76</f>
        <v>0</v>
      </c>
      <c r="CP34" s="37">
        <f>+Columns!CZ76</f>
        <v>0</v>
      </c>
      <c r="CQ34" s="157">
        <f>+Columns!DA76</f>
        <v>0</v>
      </c>
      <c r="CR34" s="71">
        <f>+Columns!DB76</f>
        <v>0</v>
      </c>
      <c r="CS34" s="71">
        <f>+Columns!DC76</f>
        <v>0</v>
      </c>
      <c r="CT34" s="71">
        <f>+Columns!DD76</f>
        <v>0</v>
      </c>
      <c r="CU34" s="71">
        <f>+Columns!DE76</f>
        <v>0</v>
      </c>
      <c r="CV34" s="71">
        <f>+Columns!DF76</f>
        <v>0</v>
      </c>
      <c r="CW34" s="71">
        <f>+Columns!DG76</f>
        <v>0</v>
      </c>
      <c r="CX34" s="71">
        <f>+Columns!DH76</f>
        <v>0</v>
      </c>
      <c r="CY34" s="71">
        <f>+Columns!DI76</f>
        <v>0</v>
      </c>
      <c r="CZ34" s="71">
        <f>+Columns!DJ76</f>
        <v>0</v>
      </c>
      <c r="DA34" s="71">
        <f>+Columns!DK76</f>
        <v>0</v>
      </c>
      <c r="DB34" s="71">
        <f>+Columns!DL76</f>
        <v>1</v>
      </c>
      <c r="DC34" s="71">
        <f>+Columns!DM76</f>
        <v>0</v>
      </c>
      <c r="DD34" s="71">
        <f>+Columns!DN76</f>
        <v>0</v>
      </c>
      <c r="DE34" s="71">
        <f>+Columns!DO76</f>
        <v>0</v>
      </c>
      <c r="DF34" s="71">
        <f>+Columns!DP76</f>
        <v>0</v>
      </c>
      <c r="DG34" s="71">
        <f>+Columns!DQ76</f>
        <v>0</v>
      </c>
      <c r="DH34" s="71">
        <f>+Columns!DR76</f>
        <v>0</v>
      </c>
      <c r="DI34" s="71">
        <f>+Columns!HU76</f>
        <v>0</v>
      </c>
      <c r="DJ34" s="71">
        <f>+Columns!HV50</f>
        <v>0</v>
      </c>
      <c r="DK34" s="71">
        <f>+Columns!HW50</f>
        <v>0</v>
      </c>
      <c r="DL34" s="71">
        <f>+Columns!HX50</f>
        <v>0</v>
      </c>
      <c r="DM34" s="71">
        <f>+Columns!HY50</f>
        <v>0</v>
      </c>
      <c r="DN34" s="71">
        <f>+Columns!HZ50</f>
        <v>0</v>
      </c>
      <c r="DO34" s="71">
        <f>+Columns!IA50</f>
        <v>0</v>
      </c>
      <c r="DP34" s="71">
        <f>+Columns!IB50</f>
        <v>0</v>
      </c>
      <c r="DQ34" s="71">
        <f>+Columns!IC50</f>
        <v>0</v>
      </c>
      <c r="DR34" s="71">
        <f>+Columns!ID50</f>
        <v>0</v>
      </c>
      <c r="DS34" s="71">
        <f>+Columns!IE50</f>
        <v>0</v>
      </c>
      <c r="DT34" s="71">
        <f>+Columns!IF50</f>
        <v>0</v>
      </c>
      <c r="DU34" s="71">
        <f>+Columns!IG50</f>
        <v>0</v>
      </c>
      <c r="DV34" s="356">
        <f>+Columns!IH50</f>
        <v>0</v>
      </c>
      <c r="DW34" s="71">
        <f>+Columns!II50</f>
        <v>0</v>
      </c>
      <c r="DX34" s="71">
        <f>+Columns!IJ50</f>
        <v>0</v>
      </c>
      <c r="DY34" s="71">
        <f>+Columns!IK50</f>
        <v>0</v>
      </c>
      <c r="DZ34" s="71">
        <f>+Columns!IL50</f>
        <v>0</v>
      </c>
      <c r="EA34" s="71">
        <f>+Columns!IM50</f>
        <v>0</v>
      </c>
      <c r="EB34" s="71">
        <f>+Columns!IN50</f>
        <v>0</v>
      </c>
      <c r="EC34" s="71">
        <f>+Columns!IO50</f>
        <v>0</v>
      </c>
      <c r="ED34" s="71">
        <f>+Columns!IP50</f>
        <v>0</v>
      </c>
      <c r="EE34" s="71">
        <f>+Columns!IQ50</f>
        <v>0</v>
      </c>
      <c r="EF34" s="71">
        <f>+Columns!IR50</f>
        <v>0</v>
      </c>
      <c r="EG34" s="71">
        <f>+Columns!IS50</f>
        <v>0</v>
      </c>
      <c r="EH34" s="71">
        <f>+Columns!IT50</f>
        <v>0</v>
      </c>
      <c r="EI34" s="71">
        <f>+Columns!IU50</f>
        <v>0</v>
      </c>
      <c r="EJ34" s="71">
        <f>+Columns!IV50</f>
        <v>0</v>
      </c>
      <c r="EK34" s="71">
        <f>+Columns!IW50</f>
        <v>0</v>
      </c>
      <c r="EL34" s="71">
        <f>+Columns!IX50</f>
        <v>0</v>
      </c>
      <c r="EM34" s="71">
        <f>+Columns!IY50</f>
        <v>0</v>
      </c>
      <c r="EN34" s="71">
        <f>+Columns!IZ50</f>
        <v>0</v>
      </c>
      <c r="EO34" s="71">
        <f>+Columns!JA50</f>
        <v>0</v>
      </c>
      <c r="EP34" s="71">
        <f>+Columns!JB50</f>
        <v>0</v>
      </c>
      <c r="EQ34" s="71">
        <f>+Columns!JC50</f>
        <v>0</v>
      </c>
      <c r="ER34" s="71">
        <f>+Columns!JD50</f>
        <v>0</v>
      </c>
      <c r="ES34" s="71">
        <f>+Columns!JE50</f>
        <v>0</v>
      </c>
      <c r="ET34" s="71">
        <f>+Columns!JF50</f>
        <v>0</v>
      </c>
      <c r="EU34" s="71">
        <f>+Columns!JG50</f>
        <v>0</v>
      </c>
      <c r="EV34" s="71">
        <f>+Columns!JH50</f>
        <v>0</v>
      </c>
      <c r="EW34" s="71">
        <f>+Columns!JI50</f>
        <v>0</v>
      </c>
      <c r="EX34" s="71">
        <f>+Columns!JJ50</f>
        <v>0</v>
      </c>
      <c r="EY34" s="71">
        <f>+Columns!JK50</f>
        <v>0</v>
      </c>
      <c r="EZ34" s="389">
        <f>+Columns!JL50</f>
        <v>0</v>
      </c>
      <c r="FA34" s="71">
        <f>+Columns!JM50</f>
        <v>0</v>
      </c>
      <c r="FB34" s="71">
        <f>+Columns!JN50</f>
        <v>0</v>
      </c>
      <c r="FC34" s="71">
        <f>+Columns!JO50</f>
        <v>0</v>
      </c>
      <c r="FD34" s="71">
        <f>+Columns!JP50</f>
        <v>0</v>
      </c>
      <c r="FE34" s="71">
        <f>+Columns!JQ50</f>
        <v>0</v>
      </c>
      <c r="FF34" s="71">
        <f>+Columns!JR50</f>
        <v>0</v>
      </c>
      <c r="FG34" s="71">
        <f>+Columns!JS50</f>
        <v>0</v>
      </c>
      <c r="FH34" s="71">
        <f>+Columns!JT50</f>
        <v>0</v>
      </c>
      <c r="FI34" s="71">
        <f>+Columns!JU50</f>
        <v>0</v>
      </c>
      <c r="FJ34" s="71">
        <f>+Columns!JV50</f>
        <v>0</v>
      </c>
      <c r="FK34" s="71">
        <f>+Columns!JW50</f>
        <v>0</v>
      </c>
      <c r="FL34" s="71">
        <f>+Columns!JX50</f>
        <v>0</v>
      </c>
      <c r="FM34" s="71">
        <f>+Columns!JY50</f>
        <v>0</v>
      </c>
      <c r="FN34" s="71">
        <f>+Columns!JZ50</f>
        <v>0</v>
      </c>
      <c r="FO34" s="71">
        <f>+Columns!KA50</f>
        <v>0</v>
      </c>
      <c r="FP34" s="71">
        <f>+Columns!KB50</f>
        <v>0</v>
      </c>
      <c r="FQ34" s="71">
        <f>+Columns!KC50</f>
        <v>0</v>
      </c>
      <c r="FR34" s="71">
        <f>+Columns!KD50</f>
        <v>0</v>
      </c>
      <c r="FS34" s="71">
        <f>+Columns!KE50</f>
        <v>0</v>
      </c>
      <c r="FT34" s="71">
        <f>+Columns!KF50</f>
        <v>0</v>
      </c>
      <c r="FU34" s="71">
        <f>+Columns!KG50</f>
        <v>0</v>
      </c>
      <c r="FV34" s="71">
        <f>+Columns!KH50</f>
        <v>0</v>
      </c>
      <c r="FW34" s="71">
        <f>+Columns!KI50</f>
        <v>0</v>
      </c>
      <c r="FX34" s="71">
        <f>+Columns!KJ50</f>
        <v>0</v>
      </c>
      <c r="FY34" s="71">
        <f>+Columns!KK50</f>
        <v>0</v>
      </c>
      <c r="FZ34" s="71">
        <f>+Columns!KL50</f>
        <v>0</v>
      </c>
      <c r="GA34" s="71">
        <f>+Columns!KM50</f>
        <v>0</v>
      </c>
      <c r="GB34" s="71">
        <f>+Columns!KN50</f>
        <v>0</v>
      </c>
      <c r="GC34" s="71">
        <f>+Columns!KO50</f>
        <v>0</v>
      </c>
      <c r="GD34" s="71">
        <f>+Columns!KP50</f>
        <v>0</v>
      </c>
      <c r="GE34" s="389">
        <f>+Columns!KQ50</f>
        <v>0</v>
      </c>
      <c r="GF34" s="71">
        <f>+Columns!KR50</f>
        <v>0</v>
      </c>
      <c r="GG34" s="71">
        <f>+Columns!KS50</f>
        <v>0</v>
      </c>
      <c r="GH34" s="71">
        <f>+Columns!KT50</f>
        <v>0</v>
      </c>
      <c r="GI34" s="71">
        <f>+Columns!KU50</f>
        <v>0</v>
      </c>
      <c r="GJ34" s="71">
        <f>+Columns!KV50</f>
        <v>0</v>
      </c>
      <c r="GK34" s="71">
        <f>+Columns!KW50</f>
        <v>0</v>
      </c>
      <c r="GL34" s="71">
        <f>+Columns!KX50</f>
        <v>0</v>
      </c>
      <c r="GM34" s="71">
        <f>+Columns!KY50</f>
        <v>0</v>
      </c>
      <c r="GN34" s="71">
        <f>+Columns!KZ50</f>
        <v>0</v>
      </c>
      <c r="GO34" s="71">
        <f>+Columns!LA50</f>
        <v>0</v>
      </c>
      <c r="GP34" s="71">
        <f>+Columns!LB50</f>
        <v>0</v>
      </c>
      <c r="GQ34" s="71">
        <f>+Columns!LC50</f>
        <v>0</v>
      </c>
      <c r="GR34" s="71">
        <f>+Columns!LD50</f>
        <v>0</v>
      </c>
      <c r="GS34" s="71">
        <f>+Columns!LE50</f>
        <v>0</v>
      </c>
      <c r="GT34" s="71">
        <f>+Columns!LF50</f>
        <v>0</v>
      </c>
      <c r="GU34" s="71">
        <f>+Columns!LG50</f>
        <v>0</v>
      </c>
      <c r="GV34" s="71">
        <f>+Columns!LH50</f>
        <v>0</v>
      </c>
      <c r="GW34" s="71">
        <f>+Columns!LI50</f>
        <v>0</v>
      </c>
      <c r="GX34" s="71">
        <f>+Columns!LJ50</f>
        <v>0</v>
      </c>
      <c r="GY34" s="389">
        <f>+Columns!LK50</f>
        <v>0</v>
      </c>
      <c r="GZ34" s="450"/>
    </row>
    <row r="35" spans="1:208" ht="15" hidden="1" customHeight="1" thickBot="1" x14ac:dyDescent="0.4">
      <c r="A35" s="479"/>
      <c r="B35" s="474"/>
      <c r="C35" s="23" t="s">
        <v>81</v>
      </c>
      <c r="D35" s="2" t="s">
        <v>87</v>
      </c>
      <c r="E35" s="73">
        <f>+'Internal Wall'!O89</f>
        <v>28.2</v>
      </c>
      <c r="F35" s="13">
        <f>+'Internal Wall'!P89</f>
        <v>0</v>
      </c>
      <c r="G35" s="13">
        <f>+'Internal Wall'!Q89</f>
        <v>0</v>
      </c>
      <c r="H35" s="13">
        <f>+'Internal Wall'!R89</f>
        <v>37.5</v>
      </c>
      <c r="I35" s="13">
        <f>+'Internal Wall'!S89</f>
        <v>0</v>
      </c>
      <c r="J35" s="13">
        <f>+'Internal Wall'!T89</f>
        <v>0</v>
      </c>
      <c r="K35" s="13">
        <f>+'Internal Wall'!U89</f>
        <v>40.9</v>
      </c>
      <c r="L35" s="13">
        <f>+'Internal Wall'!V89</f>
        <v>14</v>
      </c>
      <c r="M35" s="13">
        <f>+'Internal Wall'!W89</f>
        <v>24.55</v>
      </c>
      <c r="N35" s="13">
        <f>+'Internal Wall'!X89</f>
        <v>13.25</v>
      </c>
      <c r="O35" s="13">
        <f>+'Internal Wall'!Y89</f>
        <v>17.66</v>
      </c>
      <c r="P35" s="13">
        <f>+'Internal Wall'!Z89</f>
        <v>0</v>
      </c>
      <c r="Q35" s="13">
        <f>+'Internal Wall'!AA89</f>
        <v>0</v>
      </c>
      <c r="R35" s="13">
        <f>+'Internal Wall'!AB89</f>
        <v>16.399999999999999</v>
      </c>
      <c r="S35" s="13">
        <f>+'Internal Wall'!AC89</f>
        <v>7.25</v>
      </c>
      <c r="T35" s="13">
        <f>+'Internal Wall'!AD89</f>
        <v>0</v>
      </c>
      <c r="U35" s="13">
        <f>+'Internal Wall'!AE89</f>
        <v>12.4</v>
      </c>
      <c r="V35" s="13">
        <f>+'Internal Wall'!AF89</f>
        <v>0</v>
      </c>
      <c r="W35" s="13">
        <f>+'Internal Wall'!AG89</f>
        <v>0</v>
      </c>
      <c r="X35" s="13">
        <f>+'Internal Wall'!AH89</f>
        <v>0</v>
      </c>
      <c r="Y35" s="13">
        <f>+'Internal Wall'!AI89</f>
        <v>7.5</v>
      </c>
      <c r="Z35" s="13">
        <f>+'Internal Wall'!AJ89</f>
        <v>0</v>
      </c>
      <c r="AA35" s="13">
        <f>+'Internal Wall'!AK89</f>
        <v>5</v>
      </c>
      <c r="AB35" s="13">
        <f>+'Internal Wall'!AL89</f>
        <v>0</v>
      </c>
      <c r="AC35" s="13">
        <f>+'Internal Wall'!AM89</f>
        <v>10</v>
      </c>
      <c r="AD35" s="13">
        <f>+'Internal Wall'!AN89</f>
        <v>10</v>
      </c>
      <c r="AE35" s="13">
        <f>+'Internal Wall'!AO89</f>
        <v>0</v>
      </c>
      <c r="AF35" s="274">
        <f>+'Internal Wall'!AP89</f>
        <v>3</v>
      </c>
      <c r="AG35" s="162">
        <f>+'Internal Wall'!BN89</f>
        <v>0</v>
      </c>
      <c r="AH35" s="73">
        <f>+'Internal Wall'!AR89</f>
        <v>0</v>
      </c>
      <c r="AI35" s="13">
        <f>+'Internal Wall'!AS89</f>
        <v>7.85</v>
      </c>
      <c r="AJ35" s="13">
        <f>+'Internal Wall'!AT89</f>
        <v>29</v>
      </c>
      <c r="AK35" s="13">
        <f>+'Internal Wall'!AU89</f>
        <v>0</v>
      </c>
      <c r="AL35" s="13">
        <f>+'Internal Wall'!AV89</f>
        <v>4</v>
      </c>
      <c r="AM35" s="13">
        <f>+'Internal Wall'!AW89</f>
        <v>0</v>
      </c>
      <c r="AN35" s="13">
        <f>+'Internal Wall'!AX89</f>
        <v>0</v>
      </c>
      <c r="AO35" s="13">
        <f>+'Internal Wall'!AY89</f>
        <v>46.25</v>
      </c>
      <c r="AP35" s="13">
        <f>+'Internal Wall'!AZ89</f>
        <v>0</v>
      </c>
      <c r="AQ35" s="13">
        <f>+'Internal Wall'!BA89</f>
        <v>0</v>
      </c>
      <c r="AR35" s="13">
        <f>+'Internal Wall'!BB89</f>
        <v>10.5</v>
      </c>
      <c r="AS35" s="13">
        <f>+'Internal Wall'!BC89</f>
        <v>0</v>
      </c>
      <c r="AT35" s="13">
        <f>+'Internal Wall'!BD89</f>
        <v>0</v>
      </c>
      <c r="AU35" s="13">
        <f>+'Internal Wall'!BE89</f>
        <v>0</v>
      </c>
      <c r="AV35" s="13">
        <f>+'Internal Wall'!BF89</f>
        <v>8.1</v>
      </c>
      <c r="AW35" s="13">
        <f>+'Internal Wall'!BG89</f>
        <v>0</v>
      </c>
      <c r="AX35" s="13">
        <f>+'Internal Wall'!BH89</f>
        <v>0</v>
      </c>
      <c r="AY35" s="13">
        <f>+'Internal Wall'!BI89</f>
        <v>13.1</v>
      </c>
      <c r="AZ35" s="13">
        <f>+'Internal Wall'!BJ89</f>
        <v>0</v>
      </c>
      <c r="BA35" s="13">
        <f>+'Internal Wall'!BK89</f>
        <v>0</v>
      </c>
      <c r="BB35" s="13">
        <f>+'Internal Wall'!BL89</f>
        <v>0</v>
      </c>
      <c r="BC35" s="13">
        <f>+'Internal Wall'!BM89</f>
        <v>0</v>
      </c>
      <c r="BD35" s="13">
        <f>+'Internal Wall'!BN89</f>
        <v>0</v>
      </c>
      <c r="BE35" s="13">
        <f>+'Internal Wall'!BO89</f>
        <v>31.5</v>
      </c>
      <c r="BF35" s="13">
        <f>+'Internal Wall'!BP89</f>
        <v>0</v>
      </c>
      <c r="BG35" s="13">
        <f>+'Internal Wall'!BQ89</f>
        <v>5.5</v>
      </c>
      <c r="BH35" s="13">
        <f>+'Internal Wall'!BR89</f>
        <v>0</v>
      </c>
      <c r="BI35" s="13">
        <f>+'Internal Wall'!BS89</f>
        <v>20.149999999999999</v>
      </c>
      <c r="BJ35" s="13">
        <f>+'Internal Wall'!BT89</f>
        <v>0</v>
      </c>
      <c r="BK35" s="13">
        <f>+'Internal Wall'!BU89</f>
        <v>0</v>
      </c>
      <c r="BL35" s="274">
        <f>+'Internal Wall'!BV89</f>
        <v>9.25</v>
      </c>
      <c r="BM35" s="295">
        <f>+'Internal Wall'!IR89</f>
        <v>0</v>
      </c>
      <c r="BN35" s="73">
        <f>+'Internal Wall'!BX89</f>
        <v>6.4</v>
      </c>
      <c r="BO35" s="13">
        <f>+'Internal Wall'!BY89</f>
        <v>5.05</v>
      </c>
      <c r="BP35" s="13">
        <f>+'Internal Wall'!BZ89</f>
        <v>0</v>
      </c>
      <c r="BQ35" s="13">
        <f>+'Internal Wall'!CA89</f>
        <v>11.5</v>
      </c>
      <c r="BR35" s="13">
        <f>+'Internal Wall'!CB89</f>
        <v>5</v>
      </c>
      <c r="BS35" s="13">
        <f>+'Internal Wall'!CC89</f>
        <v>11.7</v>
      </c>
      <c r="BT35" s="13">
        <f>+'Internal Wall'!CD89</f>
        <v>7</v>
      </c>
      <c r="BU35" s="13">
        <f>+'Internal Wall'!CE89</f>
        <v>6.65</v>
      </c>
      <c r="BV35" s="13">
        <f>+'Internal Wall'!CF89</f>
        <v>0</v>
      </c>
      <c r="BW35" s="13">
        <f>+'Internal Wall'!CG89</f>
        <v>0</v>
      </c>
      <c r="BX35" s="13">
        <f>+'Internal Wall'!CH89</f>
        <v>0</v>
      </c>
      <c r="BY35" s="13">
        <f>+'Internal Wall'!CI89</f>
        <v>0</v>
      </c>
      <c r="BZ35" s="13">
        <f>+'Internal Wall'!CJ89</f>
        <v>6.45</v>
      </c>
      <c r="CA35" s="13">
        <f>+'Internal Wall'!CK89</f>
        <v>0</v>
      </c>
      <c r="CB35" s="13">
        <f>+'Internal Wall'!CL89</f>
        <v>35.1</v>
      </c>
      <c r="CC35" s="13">
        <f>+'Internal Wall'!CM89</f>
        <v>0</v>
      </c>
      <c r="CD35" s="13">
        <f>+'Internal Wall'!CN89</f>
        <v>0</v>
      </c>
      <c r="CE35" s="13">
        <f>+'Internal Wall'!CO89</f>
        <v>8</v>
      </c>
      <c r="CF35" s="13">
        <f>+'Internal Wall'!CP89</f>
        <v>7.9</v>
      </c>
      <c r="CG35" s="13">
        <f>+'Internal Wall'!CQ89</f>
        <v>7.5</v>
      </c>
      <c r="CH35" s="13">
        <f>+'Internal Wall'!CR89</f>
        <v>0</v>
      </c>
      <c r="CI35" s="13">
        <f>+'Internal Wall'!CS89</f>
        <v>7.55</v>
      </c>
      <c r="CJ35" s="13">
        <f>+'Internal Wall'!CT89</f>
        <v>16.45</v>
      </c>
      <c r="CK35" s="13">
        <f>+'Internal Wall'!CU89</f>
        <v>0</v>
      </c>
      <c r="CL35" s="13">
        <f>+'Internal Wall'!CV89</f>
        <v>5</v>
      </c>
      <c r="CM35" s="13">
        <f>+'Internal Wall'!CW89</f>
        <v>2.5</v>
      </c>
      <c r="CN35" s="13">
        <f>+'Internal Wall'!CX89</f>
        <v>0</v>
      </c>
      <c r="CO35" s="13">
        <f>+'Internal Wall'!CY89</f>
        <v>0</v>
      </c>
      <c r="CP35" s="13">
        <f>+'Internal Wall'!CZ89</f>
        <v>0</v>
      </c>
      <c r="CQ35" s="101">
        <f>+'Internal Wall'!DA89</f>
        <v>23.5</v>
      </c>
      <c r="CR35" s="73">
        <f>+'Internal Wall'!DB89</f>
        <v>0</v>
      </c>
      <c r="CS35" s="13">
        <f>+'Internal Wall'!DC89</f>
        <v>0</v>
      </c>
      <c r="CT35" s="13">
        <f>+'Internal Wall'!DD89</f>
        <v>2.5</v>
      </c>
      <c r="CU35" s="13">
        <f>+'Internal Wall'!DE89</f>
        <v>4</v>
      </c>
      <c r="CV35" s="13">
        <f>+'Internal Wall'!DF89</f>
        <v>3.5</v>
      </c>
      <c r="CW35" s="13">
        <f>+'Internal Wall'!DG89</f>
        <v>10.85</v>
      </c>
      <c r="CX35" s="13">
        <f>+'Internal Wall'!DH89</f>
        <v>0</v>
      </c>
      <c r="CY35" s="13">
        <f>+'Internal Wall'!DI89</f>
        <v>0</v>
      </c>
      <c r="CZ35" s="13">
        <f>+'Internal Wall'!DJ89</f>
        <v>8</v>
      </c>
      <c r="DA35" s="13">
        <f>+'Internal Wall'!DK89</f>
        <v>0</v>
      </c>
      <c r="DB35" s="13">
        <f>+'Internal Wall'!DL89</f>
        <v>0</v>
      </c>
      <c r="DC35" s="13">
        <f>+'Internal Wall'!DM89</f>
        <v>6</v>
      </c>
      <c r="DD35" s="13">
        <f>+'Internal Wall'!DN89</f>
        <v>0</v>
      </c>
      <c r="DE35" s="13">
        <f>+'Internal Wall'!DO89</f>
        <v>0</v>
      </c>
      <c r="DF35" s="13">
        <f>+'Internal Wall'!DP89</f>
        <v>0</v>
      </c>
      <c r="DG35" s="13">
        <f>+'Internal Wall'!DQ89</f>
        <v>6</v>
      </c>
      <c r="DH35" s="13">
        <f>+'Internal Wall'!DR89</f>
        <v>0</v>
      </c>
      <c r="DI35" s="13">
        <f>+'Internal Wall'!DS89</f>
        <v>3.5</v>
      </c>
      <c r="DJ35" s="13">
        <f>+'Internal Wall'!DT89</f>
        <v>0</v>
      </c>
      <c r="DK35" s="13">
        <f>+'Internal Wall'!DU89</f>
        <v>0</v>
      </c>
      <c r="DL35" s="13">
        <f>+'Internal Wall'!DV89</f>
        <v>3</v>
      </c>
      <c r="DM35" s="13">
        <f>+'Internal Wall'!DW89</f>
        <v>0</v>
      </c>
      <c r="DN35" s="13">
        <f>+'Internal Wall'!DX89</f>
        <v>0</v>
      </c>
      <c r="DO35" s="13">
        <f>+'Internal Wall'!DY89</f>
        <v>3</v>
      </c>
      <c r="DP35" s="13">
        <f>+'Internal Wall'!DZ89</f>
        <v>0</v>
      </c>
      <c r="DQ35" s="13">
        <f>+'Internal Wall'!EA89</f>
        <v>0</v>
      </c>
      <c r="DR35" s="13">
        <f>+'Internal Wall'!EB89</f>
        <v>0</v>
      </c>
      <c r="DS35" s="13">
        <f>+'Internal Wall'!EC89</f>
        <v>0</v>
      </c>
      <c r="DT35" s="13">
        <f>+'Internal Wall'!ED89</f>
        <v>0</v>
      </c>
      <c r="DU35" s="13">
        <f>+'Internal Wall'!EE89</f>
        <v>0</v>
      </c>
      <c r="DV35" s="274">
        <f>+'Internal Wall'!EF89</f>
        <v>0</v>
      </c>
      <c r="DW35" s="73">
        <f>+'Internal Wall'!EG89</f>
        <v>0</v>
      </c>
      <c r="DX35" s="13">
        <f>+'Internal Wall'!EH89</f>
        <v>0</v>
      </c>
      <c r="DY35" s="13">
        <f>+'Internal Wall'!EI89</f>
        <v>0</v>
      </c>
      <c r="DZ35" s="13">
        <f>+'Internal Wall'!EJ89</f>
        <v>0</v>
      </c>
      <c r="EA35" s="13">
        <f>+'Internal Wall'!EK89</f>
        <v>0</v>
      </c>
      <c r="EB35" s="13">
        <f>+'Internal Wall'!EL89</f>
        <v>0</v>
      </c>
      <c r="EC35" s="13">
        <f>+'Internal Wall'!EM89</f>
        <v>0</v>
      </c>
      <c r="ED35" s="13">
        <f>+'Internal Wall'!EN89</f>
        <v>0</v>
      </c>
      <c r="EE35" s="13">
        <f>+'Internal Wall'!EO89</f>
        <v>0</v>
      </c>
      <c r="EF35" s="13">
        <f>+'Internal Wall'!EP89</f>
        <v>0</v>
      </c>
      <c r="EG35" s="13">
        <f>+'Internal Wall'!EQ89</f>
        <v>0</v>
      </c>
      <c r="EH35" s="13">
        <f>+'Internal Wall'!ER89</f>
        <v>0</v>
      </c>
      <c r="EI35" s="13">
        <f>+'Internal Wall'!ES89</f>
        <v>0</v>
      </c>
      <c r="EJ35" s="13">
        <f>+'Internal Wall'!ET89</f>
        <v>0</v>
      </c>
      <c r="EK35" s="13">
        <f>+'Internal Wall'!EU89</f>
        <v>0</v>
      </c>
      <c r="EL35" s="13">
        <f>+'Internal Wall'!EV89</f>
        <v>0</v>
      </c>
      <c r="EM35" s="13">
        <f>+'Internal Wall'!EW89</f>
        <v>0</v>
      </c>
      <c r="EN35" s="13">
        <f>+'Internal Wall'!EX89</f>
        <v>0</v>
      </c>
      <c r="EO35" s="13">
        <f>+'Internal Wall'!EY89</f>
        <v>0</v>
      </c>
      <c r="EP35" s="13">
        <f>+'Internal Wall'!EZ89</f>
        <v>0</v>
      </c>
      <c r="EQ35" s="13">
        <f>+'Internal Wall'!FA89</f>
        <v>0</v>
      </c>
      <c r="ER35" s="13">
        <f>+'Internal Wall'!FB89</f>
        <v>0</v>
      </c>
      <c r="ES35" s="13">
        <f>+'Internal Wall'!FC89</f>
        <v>0</v>
      </c>
      <c r="ET35" s="13">
        <f>+'Internal Wall'!FD89</f>
        <v>0</v>
      </c>
      <c r="EU35" s="13">
        <f>+'Internal Wall'!FE89</f>
        <v>0</v>
      </c>
      <c r="EV35" s="13">
        <f>+'Internal Wall'!FF89</f>
        <v>0</v>
      </c>
      <c r="EW35" s="13">
        <f>+'Internal Wall'!FG89</f>
        <v>0</v>
      </c>
      <c r="EX35" s="13">
        <f>+'Internal Wall'!FH89</f>
        <v>0</v>
      </c>
      <c r="EY35" s="13">
        <f>+'Internal Wall'!FI89</f>
        <v>0</v>
      </c>
      <c r="EZ35" s="101">
        <f>+'Internal Wall'!FJ89</f>
        <v>0</v>
      </c>
      <c r="FA35" s="73">
        <f>+'Internal Wall'!FK89</f>
        <v>0</v>
      </c>
      <c r="FB35" s="13">
        <f>+'Internal Wall'!FL89</f>
        <v>0</v>
      </c>
      <c r="FC35" s="13">
        <f>+'Internal Wall'!FM89</f>
        <v>0</v>
      </c>
      <c r="FD35" s="13">
        <f>+'Internal Wall'!FN89</f>
        <v>0</v>
      </c>
      <c r="FE35" s="13">
        <f>+'Internal Wall'!FO89</f>
        <v>0</v>
      </c>
      <c r="FF35" s="13">
        <f>+'Internal Wall'!FP89</f>
        <v>0</v>
      </c>
      <c r="FG35" s="13">
        <f>+'Internal Wall'!FQ89</f>
        <v>0</v>
      </c>
      <c r="FH35" s="13">
        <f>+'Internal Wall'!FR89</f>
        <v>0</v>
      </c>
      <c r="FI35" s="13">
        <f>+'Internal Wall'!FS89</f>
        <v>0</v>
      </c>
      <c r="FJ35" s="13">
        <f>+'Internal Wall'!FT89</f>
        <v>0</v>
      </c>
      <c r="FK35" s="13">
        <f>+'Internal Wall'!FU89</f>
        <v>0</v>
      </c>
      <c r="FL35" s="13">
        <f>+'Internal Wall'!FV89</f>
        <v>0</v>
      </c>
      <c r="FM35" s="13">
        <f>+'Internal Wall'!FW89</f>
        <v>0</v>
      </c>
      <c r="FN35" s="13">
        <f>+'Internal Wall'!FX89</f>
        <v>0</v>
      </c>
      <c r="FO35" s="13">
        <f>+'Internal Wall'!FY89</f>
        <v>0</v>
      </c>
      <c r="FP35" s="13">
        <f>+'Internal Wall'!FZ89</f>
        <v>0</v>
      </c>
      <c r="FQ35" s="13">
        <f>+'Internal Wall'!GA89</f>
        <v>0</v>
      </c>
      <c r="FR35" s="13">
        <f>+'Internal Wall'!GB89</f>
        <v>15</v>
      </c>
      <c r="FS35" s="13">
        <f>+'Internal Wall'!GC89</f>
        <v>0</v>
      </c>
      <c r="FT35" s="13">
        <f>+'Internal Wall'!GD89</f>
        <v>0</v>
      </c>
      <c r="FU35" s="13">
        <f>+'Internal Wall'!GE89</f>
        <v>0</v>
      </c>
      <c r="FV35" s="13">
        <f>+'Internal Wall'!GF89</f>
        <v>0</v>
      </c>
      <c r="FW35" s="13">
        <f>+'Internal Wall'!GG89</f>
        <v>0</v>
      </c>
      <c r="FX35" s="13">
        <f>+'Internal Wall'!GH89</f>
        <v>0</v>
      </c>
      <c r="FY35" s="13">
        <f>+'Internal Wall'!GI89</f>
        <v>0</v>
      </c>
      <c r="FZ35" s="13">
        <f>+'Internal Wall'!GJ89</f>
        <v>0</v>
      </c>
      <c r="GA35" s="13">
        <f>+'Internal Wall'!GK89</f>
        <v>0</v>
      </c>
      <c r="GB35" s="13">
        <f>+'Internal Wall'!GL89</f>
        <v>0</v>
      </c>
      <c r="GC35" s="13">
        <f>+'Internal Wall'!GM89</f>
        <v>28</v>
      </c>
      <c r="GD35" s="13">
        <f>+'Internal Wall'!GN89</f>
        <v>0</v>
      </c>
      <c r="GE35" s="101">
        <f>+'Internal Wall'!GO89</f>
        <v>0</v>
      </c>
      <c r="GF35" s="73">
        <f>+'Internal Wall'!GP89</f>
        <v>0</v>
      </c>
      <c r="GG35" s="13">
        <f>+'Internal Wall'!GQ89</f>
        <v>0</v>
      </c>
      <c r="GH35" s="13">
        <f>+'Internal Wall'!GR89</f>
        <v>0</v>
      </c>
      <c r="GI35" s="13">
        <f>+'Internal Wall'!GS89</f>
        <v>0</v>
      </c>
      <c r="GJ35" s="13">
        <f>+'Internal Wall'!GT89</f>
        <v>0</v>
      </c>
      <c r="GK35" s="13">
        <f>+'Internal Wall'!GU89</f>
        <v>0</v>
      </c>
      <c r="GL35" s="13">
        <f>+'Internal Wall'!GV89</f>
        <v>0</v>
      </c>
      <c r="GM35" s="13">
        <f>+'Internal Wall'!GW89</f>
        <v>23.2</v>
      </c>
      <c r="GN35" s="13">
        <f>+'Internal Wall'!GX89</f>
        <v>0</v>
      </c>
      <c r="GO35" s="13">
        <f>+'Internal Wall'!GY89</f>
        <v>0</v>
      </c>
      <c r="GP35" s="13">
        <f>+'Internal Wall'!GZ89</f>
        <v>13.1</v>
      </c>
      <c r="GQ35" s="13">
        <f>+'Internal Wall'!HA89</f>
        <v>0</v>
      </c>
      <c r="GR35" s="13">
        <f>+'Internal Wall'!HB89</f>
        <v>0</v>
      </c>
      <c r="GS35" s="13">
        <f>+'Internal Wall'!HC89</f>
        <v>0</v>
      </c>
      <c r="GT35" s="13">
        <f>+'Internal Wall'!HD89</f>
        <v>0</v>
      </c>
      <c r="GU35" s="13">
        <f>+'Internal Wall'!HE89</f>
        <v>0</v>
      </c>
      <c r="GV35" s="13">
        <f>+'Internal Wall'!HF89</f>
        <v>0</v>
      </c>
      <c r="GW35" s="13">
        <f>+'Internal Wall'!HG89</f>
        <v>0</v>
      </c>
      <c r="GX35" s="13">
        <f>+'Internal Wall'!HH89</f>
        <v>0</v>
      </c>
      <c r="GY35" s="101">
        <f>+'Internal Wall'!HI89</f>
        <v>0</v>
      </c>
      <c r="GZ35" s="451"/>
    </row>
    <row r="36" spans="1:208" ht="15" hidden="1" customHeight="1" thickBot="1" x14ac:dyDescent="0.4">
      <c r="A36" s="479"/>
      <c r="B36" s="474"/>
      <c r="C36" s="23" t="s">
        <v>83</v>
      </c>
      <c r="D36" s="2" t="s">
        <v>87</v>
      </c>
      <c r="E36" s="73">
        <f>+'External Wall'!O39</f>
        <v>5.0999999999999996</v>
      </c>
      <c r="F36" s="13">
        <f>+'External Wall'!P39</f>
        <v>9</v>
      </c>
      <c r="G36" s="13">
        <f>+'External Wall'!Q39</f>
        <v>0</v>
      </c>
      <c r="H36" s="13">
        <f>+'External Wall'!R39</f>
        <v>0</v>
      </c>
      <c r="I36" s="13">
        <f>+'External Wall'!S39</f>
        <v>0</v>
      </c>
      <c r="J36" s="13">
        <f>+'External Wall'!T39</f>
        <v>0</v>
      </c>
      <c r="K36" s="13">
        <f>+'External Wall'!U39</f>
        <v>0</v>
      </c>
      <c r="L36" s="13">
        <f>+'External Wall'!V39</f>
        <v>0</v>
      </c>
      <c r="M36" s="13">
        <f>+'External Wall'!W39</f>
        <v>0</v>
      </c>
      <c r="N36" s="13">
        <f>+'External Wall'!X39</f>
        <v>0</v>
      </c>
      <c r="O36" s="13">
        <f>+'External Wall'!Y39</f>
        <v>0</v>
      </c>
      <c r="P36" s="13">
        <f>+'External Wall'!Z39</f>
        <v>0</v>
      </c>
      <c r="Q36" s="13">
        <f>+'External Wall'!AA39</f>
        <v>0</v>
      </c>
      <c r="R36" s="13">
        <f>+'External Wall'!AB39</f>
        <v>0</v>
      </c>
      <c r="S36" s="13">
        <f>+'External Wall'!AC39</f>
        <v>0</v>
      </c>
      <c r="T36" s="13">
        <f>+'External Wall'!AD39</f>
        <v>0</v>
      </c>
      <c r="U36" s="13">
        <f>+'External Wall'!AE39</f>
        <v>9.6999999999999993</v>
      </c>
      <c r="V36" s="13">
        <f>+'External Wall'!AF39</f>
        <v>0</v>
      </c>
      <c r="W36" s="13">
        <f>+'External Wall'!AG39</f>
        <v>0</v>
      </c>
      <c r="X36" s="13">
        <f>+'External Wall'!AH39</f>
        <v>0</v>
      </c>
      <c r="Y36" s="13">
        <f>+'External Wall'!AI39</f>
        <v>0</v>
      </c>
      <c r="Z36" s="13">
        <f>+'External Wall'!AJ39</f>
        <v>0</v>
      </c>
      <c r="AA36" s="13">
        <f>+'External Wall'!AK39</f>
        <v>0</v>
      </c>
      <c r="AB36" s="13">
        <f>+'External Wall'!AL39</f>
        <v>0</v>
      </c>
      <c r="AC36" s="13">
        <f>+'External Wall'!AM39</f>
        <v>0</v>
      </c>
      <c r="AD36" s="13">
        <f>+'External Wall'!AN39</f>
        <v>0</v>
      </c>
      <c r="AE36" s="13">
        <f>+'External Wall'!AO39</f>
        <v>0</v>
      </c>
      <c r="AF36" s="274">
        <f>+'External Wall'!AP39</f>
        <v>0</v>
      </c>
      <c r="AG36" s="162">
        <f>+'External Wall'!AQ39</f>
        <v>0</v>
      </c>
      <c r="AH36" s="73">
        <f>+'External Wall'!AR39</f>
        <v>0</v>
      </c>
      <c r="AI36" s="13">
        <f>+'External Wall'!AS39</f>
        <v>0</v>
      </c>
      <c r="AJ36" s="13">
        <f>+'External Wall'!AT39</f>
        <v>0</v>
      </c>
      <c r="AK36" s="13">
        <f>+'External Wall'!AU39</f>
        <v>0</v>
      </c>
      <c r="AL36" s="13">
        <f>+'External Wall'!AV39</f>
        <v>0</v>
      </c>
      <c r="AM36" s="13">
        <f>+'External Wall'!AW39</f>
        <v>0</v>
      </c>
      <c r="AN36" s="13">
        <f>+'External Wall'!AX39</f>
        <v>0</v>
      </c>
      <c r="AO36" s="13">
        <f>+'External Wall'!AY39</f>
        <v>0</v>
      </c>
      <c r="AP36" s="13">
        <f>+'External Wall'!AZ39</f>
        <v>0</v>
      </c>
      <c r="AQ36" s="13">
        <f>+'External Wall'!BA39</f>
        <v>0</v>
      </c>
      <c r="AR36" s="13">
        <f>+'External Wall'!BB39</f>
        <v>0</v>
      </c>
      <c r="AS36" s="13">
        <f>+'External Wall'!BC39</f>
        <v>0</v>
      </c>
      <c r="AT36" s="13">
        <f>+'External Wall'!BD39</f>
        <v>0</v>
      </c>
      <c r="AU36" s="13">
        <f>+'External Wall'!BE39</f>
        <v>0</v>
      </c>
      <c r="AV36" s="13">
        <f>+'External Wall'!BF39</f>
        <v>0</v>
      </c>
      <c r="AW36" s="13">
        <f>+'External Wall'!BG39</f>
        <v>0</v>
      </c>
      <c r="AX36" s="13">
        <f>+'External Wall'!BH39</f>
        <v>0</v>
      </c>
      <c r="AY36" s="13">
        <f>+'External Wall'!BI39</f>
        <v>0</v>
      </c>
      <c r="AZ36" s="13">
        <f>+'External Wall'!BJ39</f>
        <v>0</v>
      </c>
      <c r="BA36" s="13">
        <f>+'External Wall'!BK39</f>
        <v>0</v>
      </c>
      <c r="BB36" s="13">
        <f>+'External Wall'!BL39</f>
        <v>0</v>
      </c>
      <c r="BC36" s="13">
        <f>+'External Wall'!BM39</f>
        <v>0</v>
      </c>
      <c r="BD36" s="13">
        <f>+'External Wall'!BN39</f>
        <v>0</v>
      </c>
      <c r="BE36" s="13">
        <f>+'External Wall'!BO39</f>
        <v>0</v>
      </c>
      <c r="BF36" s="13">
        <f>+'External Wall'!BP39</f>
        <v>0</v>
      </c>
      <c r="BG36" s="13">
        <f>+'External Wall'!BQ39</f>
        <v>0</v>
      </c>
      <c r="BH36" s="13">
        <f>+'External Wall'!BR39</f>
        <v>0</v>
      </c>
      <c r="BI36" s="13">
        <f>+'External Wall'!BS39</f>
        <v>0</v>
      </c>
      <c r="BJ36" s="13">
        <f>+'External Wall'!BT39</f>
        <v>0</v>
      </c>
      <c r="BK36" s="13">
        <f>+'External Wall'!BU39</f>
        <v>0</v>
      </c>
      <c r="BL36" s="274">
        <f>+'External Wall'!BV39</f>
        <v>0</v>
      </c>
      <c r="BM36" s="295">
        <f>+'External Wall'!BW39</f>
        <v>0</v>
      </c>
      <c r="BN36" s="73">
        <f>+'External Wall'!BX39</f>
        <v>0</v>
      </c>
      <c r="BO36" s="13">
        <f>+'External Wall'!BY39</f>
        <v>0</v>
      </c>
      <c r="BP36" s="13">
        <f>+'External Wall'!BZ39</f>
        <v>0</v>
      </c>
      <c r="BQ36" s="13">
        <f>+'External Wall'!CA39</f>
        <v>0</v>
      </c>
      <c r="BR36" s="13">
        <f>+'External Wall'!CB39</f>
        <v>0</v>
      </c>
      <c r="BS36" s="13">
        <f>+'External Wall'!CC39</f>
        <v>0</v>
      </c>
      <c r="BT36" s="13">
        <f>+'External Wall'!CD39</f>
        <v>0</v>
      </c>
      <c r="BU36" s="13">
        <f>+'External Wall'!CE39</f>
        <v>0</v>
      </c>
      <c r="BV36" s="13">
        <f>+'External Wall'!CF39</f>
        <v>0</v>
      </c>
      <c r="BW36" s="13">
        <f>+'External Wall'!CG39</f>
        <v>0</v>
      </c>
      <c r="BX36" s="13">
        <f>+'External Wall'!CH39</f>
        <v>0</v>
      </c>
      <c r="BY36" s="13">
        <f>+'External Wall'!CI39</f>
        <v>0</v>
      </c>
      <c r="BZ36" s="13">
        <f>+'External Wall'!CJ39</f>
        <v>0</v>
      </c>
      <c r="CA36" s="13">
        <f>+'External Wall'!CK39</f>
        <v>0</v>
      </c>
      <c r="CB36" s="13">
        <f>+'External Wall'!CL39</f>
        <v>0</v>
      </c>
      <c r="CC36" s="13">
        <f>+'External Wall'!CM39</f>
        <v>0</v>
      </c>
      <c r="CD36" s="13">
        <f>+'External Wall'!CN39</f>
        <v>0</v>
      </c>
      <c r="CE36" s="13">
        <f>+'External Wall'!CO39</f>
        <v>0</v>
      </c>
      <c r="CF36" s="13">
        <f>+'External Wall'!CP39</f>
        <v>0</v>
      </c>
      <c r="CG36" s="13">
        <f>+'External Wall'!CQ39</f>
        <v>0</v>
      </c>
      <c r="CH36" s="13">
        <f>+'External Wall'!CR39</f>
        <v>0</v>
      </c>
      <c r="CI36" s="13">
        <f>+'External Wall'!CS39</f>
        <v>0</v>
      </c>
      <c r="CJ36" s="13">
        <f>+'External Wall'!CT39</f>
        <v>0</v>
      </c>
      <c r="CK36" s="13">
        <f>+'External Wall'!CU39</f>
        <v>0</v>
      </c>
      <c r="CL36" s="13">
        <f>+'External Wall'!CV39</f>
        <v>0</v>
      </c>
      <c r="CM36" s="13">
        <f>+'External Wall'!CW39</f>
        <v>0</v>
      </c>
      <c r="CN36" s="13">
        <f>+'External Wall'!CX39</f>
        <v>0</v>
      </c>
      <c r="CO36" s="13">
        <f>+'External Wall'!CY39</f>
        <v>0</v>
      </c>
      <c r="CP36" s="13">
        <f>+'External Wall'!CZ39</f>
        <v>0</v>
      </c>
      <c r="CQ36" s="101">
        <f>+'External Wall'!DA39</f>
        <v>0</v>
      </c>
      <c r="CR36" s="73">
        <f>+'External Wall'!DB39</f>
        <v>0</v>
      </c>
      <c r="CS36" s="13">
        <f>+'External Wall'!DC39</f>
        <v>0</v>
      </c>
      <c r="CT36" s="13">
        <f>+'External Wall'!DD39</f>
        <v>0</v>
      </c>
      <c r="CU36" s="13">
        <f>+'External Wall'!DE39</f>
        <v>0</v>
      </c>
      <c r="CV36" s="13">
        <f>+'External Wall'!DF39</f>
        <v>0</v>
      </c>
      <c r="CW36" s="13">
        <f>+'External Wall'!DG39</f>
        <v>0</v>
      </c>
      <c r="CX36" s="13">
        <f>+'External Wall'!DH39</f>
        <v>0</v>
      </c>
      <c r="CY36" s="13">
        <f>+'External Wall'!DI39</f>
        <v>0</v>
      </c>
      <c r="CZ36" s="13">
        <f>+'External Wall'!DJ39</f>
        <v>0</v>
      </c>
      <c r="DA36" s="13">
        <f>+'External Wall'!DK39</f>
        <v>0</v>
      </c>
      <c r="DB36" s="13">
        <f>+'External Wall'!DL39</f>
        <v>0</v>
      </c>
      <c r="DC36" s="13">
        <f>+'External Wall'!DM39</f>
        <v>0</v>
      </c>
      <c r="DD36" s="13">
        <f>+'External Wall'!DN39</f>
        <v>0</v>
      </c>
      <c r="DE36" s="13">
        <f>+'External Wall'!DO39</f>
        <v>0</v>
      </c>
      <c r="DF36" s="13">
        <f>+'External Wall'!DP39</f>
        <v>0</v>
      </c>
      <c r="DG36" s="13">
        <f>+'External Wall'!DQ39</f>
        <v>0</v>
      </c>
      <c r="DH36" s="13">
        <f>+'External Wall'!DR39</f>
        <v>0</v>
      </c>
      <c r="DI36" s="13">
        <f>+'External Wall'!HU39</f>
        <v>0</v>
      </c>
      <c r="DJ36" s="13">
        <f>+'External Wall'!HV39</f>
        <v>0</v>
      </c>
      <c r="DK36" s="13">
        <f>+'External Wall'!HW39</f>
        <v>0</v>
      </c>
      <c r="DL36" s="13">
        <f>+'External Wall'!HX39</f>
        <v>0</v>
      </c>
      <c r="DM36" s="13">
        <f>+'External Wall'!HY39</f>
        <v>0</v>
      </c>
      <c r="DN36" s="13">
        <f>+'External Wall'!HZ39</f>
        <v>0</v>
      </c>
      <c r="DO36" s="13">
        <f>+'External Wall'!IA39</f>
        <v>0</v>
      </c>
      <c r="DP36" s="13">
        <f>+'External Wall'!IB39</f>
        <v>0</v>
      </c>
      <c r="DQ36" s="13">
        <f>+'External Wall'!IC39</f>
        <v>0</v>
      </c>
      <c r="DR36" s="13">
        <f>+'External Wall'!ID39</f>
        <v>0</v>
      </c>
      <c r="DS36" s="13">
        <f>+'External Wall'!IE39</f>
        <v>0</v>
      </c>
      <c r="DT36" s="13">
        <f>+'External Wall'!IF39</f>
        <v>0</v>
      </c>
      <c r="DU36" s="13">
        <f>+'External Wall'!IG39</f>
        <v>0</v>
      </c>
      <c r="DV36" s="274">
        <f>+'External Wall'!IH39</f>
        <v>0</v>
      </c>
      <c r="DW36" s="73">
        <f>+'External Wall'!II39</f>
        <v>0</v>
      </c>
      <c r="DX36" s="13">
        <f>+'External Wall'!IJ39</f>
        <v>0</v>
      </c>
      <c r="DY36" s="13">
        <f>+'External Wall'!IK39</f>
        <v>0</v>
      </c>
      <c r="DZ36" s="13">
        <f>+'External Wall'!IL39</f>
        <v>0</v>
      </c>
      <c r="EA36" s="13">
        <f>+'External Wall'!IM39</f>
        <v>0</v>
      </c>
      <c r="EB36" s="13">
        <f>+'External Wall'!IN39</f>
        <v>0</v>
      </c>
      <c r="EC36" s="13">
        <f>+'External Wall'!IO39</f>
        <v>0</v>
      </c>
      <c r="ED36" s="13">
        <f>+'External Wall'!IP39</f>
        <v>0</v>
      </c>
      <c r="EE36" s="13">
        <f>+'External Wall'!IQ39</f>
        <v>0</v>
      </c>
      <c r="EF36" s="13">
        <f>+'External Wall'!IR39</f>
        <v>0</v>
      </c>
      <c r="EG36" s="13">
        <f>+'External Wall'!IS39</f>
        <v>0</v>
      </c>
      <c r="EH36" s="13">
        <f>+'External Wall'!IT39</f>
        <v>0</v>
      </c>
      <c r="EI36" s="13">
        <f>+'External Wall'!IU39</f>
        <v>0</v>
      </c>
      <c r="EJ36" s="13">
        <f>+'External Wall'!IV39</f>
        <v>0</v>
      </c>
      <c r="EK36" s="13">
        <f>+'External Wall'!IW39</f>
        <v>0</v>
      </c>
      <c r="EL36" s="13">
        <f>+'External Wall'!IX39</f>
        <v>0</v>
      </c>
      <c r="EM36" s="13">
        <f>+'External Wall'!IY39</f>
        <v>0</v>
      </c>
      <c r="EN36" s="13">
        <f>+'External Wall'!IZ39</f>
        <v>0</v>
      </c>
      <c r="EO36" s="13">
        <f>+'External Wall'!JA39</f>
        <v>0</v>
      </c>
      <c r="EP36" s="13">
        <f>+'External Wall'!JB39</f>
        <v>0</v>
      </c>
      <c r="EQ36" s="13">
        <f>+'External Wall'!JC39</f>
        <v>0</v>
      </c>
      <c r="ER36" s="13">
        <f>+'External Wall'!JD39</f>
        <v>0</v>
      </c>
      <c r="ES36" s="13">
        <f>+'External Wall'!JE39</f>
        <v>0</v>
      </c>
      <c r="ET36" s="13">
        <f>+'External Wall'!JF39</f>
        <v>0</v>
      </c>
      <c r="EU36" s="13">
        <f>+'External Wall'!JG39</f>
        <v>0</v>
      </c>
      <c r="EV36" s="13">
        <f>+'External Wall'!JH39</f>
        <v>0</v>
      </c>
      <c r="EW36" s="13">
        <f>+'External Wall'!JI39</f>
        <v>0</v>
      </c>
      <c r="EX36" s="13">
        <f>+'External Wall'!JJ39</f>
        <v>0</v>
      </c>
      <c r="EY36" s="13">
        <f>+'External Wall'!JK39</f>
        <v>0</v>
      </c>
      <c r="EZ36" s="101">
        <f>+'External Wall'!JL39</f>
        <v>0</v>
      </c>
      <c r="FA36" s="73">
        <f>+'External Wall'!JM39</f>
        <v>0</v>
      </c>
      <c r="FB36" s="13">
        <f>+'External Wall'!JN39</f>
        <v>0</v>
      </c>
      <c r="FC36" s="13">
        <f>+'External Wall'!JO39</f>
        <v>0</v>
      </c>
      <c r="FD36" s="13">
        <f>+'External Wall'!JP39</f>
        <v>0</v>
      </c>
      <c r="FE36" s="13">
        <f>+'External Wall'!JQ39</f>
        <v>0</v>
      </c>
      <c r="FF36" s="13">
        <f>+'External Wall'!JR39</f>
        <v>0</v>
      </c>
      <c r="FG36" s="13">
        <f>+'External Wall'!JS39</f>
        <v>0</v>
      </c>
      <c r="FH36" s="13">
        <f>+'External Wall'!JT39</f>
        <v>0</v>
      </c>
      <c r="FI36" s="13">
        <f>+'External Wall'!JU39</f>
        <v>0</v>
      </c>
      <c r="FJ36" s="13">
        <f>+'External Wall'!JV39</f>
        <v>0</v>
      </c>
      <c r="FK36" s="13">
        <f>+'External Wall'!JW39</f>
        <v>0</v>
      </c>
      <c r="FL36" s="13">
        <f>+'External Wall'!JX39</f>
        <v>0</v>
      </c>
      <c r="FM36" s="13">
        <f>+'External Wall'!JY39</f>
        <v>0</v>
      </c>
      <c r="FN36" s="13">
        <f>+'External Wall'!JZ39</f>
        <v>0</v>
      </c>
      <c r="FO36" s="13">
        <f>+'External Wall'!KA39</f>
        <v>0</v>
      </c>
      <c r="FP36" s="13">
        <f>+'External Wall'!KB39</f>
        <v>0</v>
      </c>
      <c r="FQ36" s="13">
        <f>+'External Wall'!KC39</f>
        <v>0</v>
      </c>
      <c r="FR36" s="13">
        <f>+'External Wall'!KD39</f>
        <v>0</v>
      </c>
      <c r="FS36" s="13">
        <f>+'External Wall'!KE39</f>
        <v>0</v>
      </c>
      <c r="FT36" s="13">
        <f>+'External Wall'!KF39</f>
        <v>0</v>
      </c>
      <c r="FU36" s="13">
        <f>+'External Wall'!KG39</f>
        <v>0</v>
      </c>
      <c r="FV36" s="13">
        <f>+'External Wall'!KH39</f>
        <v>0</v>
      </c>
      <c r="FW36" s="13">
        <f>+'External Wall'!KI39</f>
        <v>0</v>
      </c>
      <c r="FX36" s="13">
        <f>+'External Wall'!KJ39</f>
        <v>0</v>
      </c>
      <c r="FY36" s="13">
        <f>+'External Wall'!KK39</f>
        <v>0</v>
      </c>
      <c r="FZ36" s="13">
        <f>+'External Wall'!KL39</f>
        <v>0</v>
      </c>
      <c r="GA36" s="13">
        <f>+'External Wall'!KM39</f>
        <v>0</v>
      </c>
      <c r="GB36" s="13">
        <f>+'External Wall'!KN39</f>
        <v>0</v>
      </c>
      <c r="GC36" s="13">
        <f>+'External Wall'!KO39</f>
        <v>0</v>
      </c>
      <c r="GD36" s="13">
        <f>+'External Wall'!KP39</f>
        <v>0</v>
      </c>
      <c r="GE36" s="101">
        <f>+'External Wall'!KQ39</f>
        <v>0</v>
      </c>
      <c r="GF36" s="73">
        <f>+'External Wall'!KR39</f>
        <v>0</v>
      </c>
      <c r="GG36" s="13">
        <f>+'External Wall'!KS39</f>
        <v>0</v>
      </c>
      <c r="GH36" s="13">
        <f>+'External Wall'!KT39</f>
        <v>0</v>
      </c>
      <c r="GI36" s="13">
        <f>+'External Wall'!KU39</f>
        <v>0</v>
      </c>
      <c r="GJ36" s="13">
        <f>+'External Wall'!KV39</f>
        <v>0</v>
      </c>
      <c r="GK36" s="13">
        <f>+'External Wall'!KW39</f>
        <v>0</v>
      </c>
      <c r="GL36" s="13">
        <f>+'External Wall'!KX39</f>
        <v>0</v>
      </c>
      <c r="GM36" s="13">
        <f>+'External Wall'!KY39</f>
        <v>0</v>
      </c>
      <c r="GN36" s="13">
        <f>+'External Wall'!KZ39</f>
        <v>0</v>
      </c>
      <c r="GO36" s="13">
        <f>+'External Wall'!LA39</f>
        <v>0</v>
      </c>
      <c r="GP36" s="13">
        <f>+'External Wall'!LB39</f>
        <v>0</v>
      </c>
      <c r="GQ36" s="13">
        <f>+'External Wall'!LC39</f>
        <v>0</v>
      </c>
      <c r="GR36" s="13">
        <f>+'External Wall'!LD39</f>
        <v>0</v>
      </c>
      <c r="GS36" s="13">
        <f>+'External Wall'!LE39</f>
        <v>0</v>
      </c>
      <c r="GT36" s="13">
        <f>+'External Wall'!LF39</f>
        <v>0</v>
      </c>
      <c r="GU36" s="13">
        <f>+'External Wall'!LG39</f>
        <v>0</v>
      </c>
      <c r="GV36" s="13">
        <f>+'External Wall'!LH39</f>
        <v>0</v>
      </c>
      <c r="GW36" s="13">
        <f>+'External Wall'!LI39</f>
        <v>0</v>
      </c>
      <c r="GX36" s="13">
        <f>+'External Wall'!LJ39</f>
        <v>0</v>
      </c>
      <c r="GY36" s="101">
        <f>+'External Wall'!LK39</f>
        <v>0</v>
      </c>
      <c r="GZ36" s="451"/>
    </row>
    <row r="37" spans="1:208" ht="15" hidden="1" customHeight="1" thickBot="1" x14ac:dyDescent="0.4">
      <c r="A37" s="480"/>
      <c r="B37" s="475"/>
      <c r="C37" s="196" t="s">
        <v>84</v>
      </c>
      <c r="D37" s="195" t="s">
        <v>88</v>
      </c>
      <c r="E37" s="197">
        <f>+Slab!O75</f>
        <v>68</v>
      </c>
      <c r="F37" s="198">
        <f>+Slab!P75</f>
        <v>0</v>
      </c>
      <c r="G37" s="198">
        <f>+Slab!Q75</f>
        <v>0</v>
      </c>
      <c r="H37" s="198">
        <f>+Slab!R75</f>
        <v>0</v>
      </c>
      <c r="I37" s="198">
        <f>+Slab!S75</f>
        <v>0</v>
      </c>
      <c r="J37" s="198">
        <f>+Slab!T75</f>
        <v>0</v>
      </c>
      <c r="K37" s="198">
        <f>+Slab!U75</f>
        <v>0</v>
      </c>
      <c r="L37" s="198">
        <f>+Slab!V75</f>
        <v>0</v>
      </c>
      <c r="M37" s="198">
        <f>+Slab!W75</f>
        <v>0</v>
      </c>
      <c r="N37" s="198">
        <f>+Slab!X75</f>
        <v>0</v>
      </c>
      <c r="O37" s="198">
        <f>+Slab!Y75</f>
        <v>0</v>
      </c>
      <c r="P37" s="198">
        <f>+Slab!Z75</f>
        <v>0</v>
      </c>
      <c r="Q37" s="198">
        <f>+Slab!AA75</f>
        <v>0</v>
      </c>
      <c r="R37" s="198">
        <f>+Slab!AB75</f>
        <v>0</v>
      </c>
      <c r="S37" s="198">
        <f>+Slab!AC75</f>
        <v>0</v>
      </c>
      <c r="T37" s="198">
        <f>+Slab!AD75</f>
        <v>0</v>
      </c>
      <c r="U37" s="198">
        <f>+Slab!AE75</f>
        <v>0</v>
      </c>
      <c r="V37" s="198">
        <f>+Slab!AF75</f>
        <v>0</v>
      </c>
      <c r="W37" s="198">
        <f>+Slab!AG75</f>
        <v>0</v>
      </c>
      <c r="X37" s="198">
        <f>+Slab!AH75</f>
        <v>0</v>
      </c>
      <c r="Y37" s="198">
        <f>+Slab!AI75</f>
        <v>0</v>
      </c>
      <c r="Z37" s="198">
        <f>+Slab!AJ75</f>
        <v>0</v>
      </c>
      <c r="AA37" s="198">
        <f>+Slab!AK75</f>
        <v>1260</v>
      </c>
      <c r="AB37" s="198">
        <f>+Slab!AL75</f>
        <v>0</v>
      </c>
      <c r="AC37" s="198">
        <f>+Slab!AM75</f>
        <v>0</v>
      </c>
      <c r="AD37" s="198">
        <f>+Slab!AN75</f>
        <v>0</v>
      </c>
      <c r="AE37" s="198">
        <f>+Slab!AO75</f>
        <v>0</v>
      </c>
      <c r="AF37" s="287">
        <f>+Slab!AP75</f>
        <v>0</v>
      </c>
      <c r="AG37" s="200">
        <f>+Slab!AQ75</f>
        <v>0</v>
      </c>
      <c r="AH37" s="197">
        <f>+Slab!AR75</f>
        <v>0</v>
      </c>
      <c r="AI37" s="198">
        <f>+Slab!AS75</f>
        <v>0</v>
      </c>
      <c r="AJ37" s="198">
        <f>+Slab!AT75</f>
        <v>0</v>
      </c>
      <c r="AK37" s="198">
        <f>+Slab!AU75</f>
        <v>0</v>
      </c>
      <c r="AL37" s="198">
        <f>+Slab!AV75</f>
        <v>0</v>
      </c>
      <c r="AM37" s="198">
        <f>+Slab!AW75</f>
        <v>0</v>
      </c>
      <c r="AN37" s="198">
        <f>+Slab!AX75</f>
        <v>0</v>
      </c>
      <c r="AO37" s="198">
        <f>+Slab!AY75</f>
        <v>0</v>
      </c>
      <c r="AP37" s="198">
        <f>+Slab!AZ75</f>
        <v>0</v>
      </c>
      <c r="AQ37" s="198">
        <f>+Slab!BA75</f>
        <v>73</v>
      </c>
      <c r="AR37" s="198">
        <f>+Slab!BB75</f>
        <v>0</v>
      </c>
      <c r="AS37" s="198">
        <f>+Slab!BC75</f>
        <v>0</v>
      </c>
      <c r="AT37" s="198">
        <f>+Slab!BD75</f>
        <v>0</v>
      </c>
      <c r="AU37" s="198">
        <f>+Slab!BE75</f>
        <v>710</v>
      </c>
      <c r="AV37" s="198">
        <f>+Slab!BF75</f>
        <v>0</v>
      </c>
      <c r="AW37" s="198">
        <f>+Slab!BG75</f>
        <v>0</v>
      </c>
      <c r="AX37" s="198">
        <f>+Slab!BH75</f>
        <v>0</v>
      </c>
      <c r="AY37" s="198">
        <f>+Slab!BI75</f>
        <v>0</v>
      </c>
      <c r="AZ37" s="198">
        <f>+Slab!BJ75</f>
        <v>0</v>
      </c>
      <c r="BA37" s="198">
        <f>+Slab!BK75</f>
        <v>0</v>
      </c>
      <c r="BB37" s="198">
        <f>+Slab!BL75</f>
        <v>0</v>
      </c>
      <c r="BC37" s="198">
        <f>+Slab!BM75</f>
        <v>0</v>
      </c>
      <c r="BD37" s="198">
        <f>+Slab!BN75</f>
        <v>0</v>
      </c>
      <c r="BE37" s="198">
        <f>+Slab!BO75</f>
        <v>0</v>
      </c>
      <c r="BF37" s="198">
        <f>+Slab!BP75</f>
        <v>0</v>
      </c>
      <c r="BG37" s="198">
        <f>+Slab!BQ75</f>
        <v>0</v>
      </c>
      <c r="BH37" s="198">
        <f>+Slab!BR75</f>
        <v>0</v>
      </c>
      <c r="BI37" s="198">
        <f>+Slab!BS75</f>
        <v>0</v>
      </c>
      <c r="BJ37" s="198">
        <f>+Slab!BT75</f>
        <v>850</v>
      </c>
      <c r="BK37" s="198">
        <f>+Slab!BU75</f>
        <v>0</v>
      </c>
      <c r="BL37" s="287">
        <f>+Slab!BV75</f>
        <v>0</v>
      </c>
      <c r="BM37" s="284">
        <f>+Slab!BW75</f>
        <v>0</v>
      </c>
      <c r="BN37" s="197">
        <f>+Slab!BX75</f>
        <v>0</v>
      </c>
      <c r="BO37" s="198">
        <f>+Slab!BY75</f>
        <v>0</v>
      </c>
      <c r="BP37" s="198">
        <f>+Slab!BZ75</f>
        <v>0</v>
      </c>
      <c r="BQ37" s="198">
        <f>+Slab!CA75</f>
        <v>58</v>
      </c>
      <c r="BR37" s="198">
        <f>+Slab!CB75</f>
        <v>0</v>
      </c>
      <c r="BS37" s="198">
        <f>+Slab!CC75</f>
        <v>48</v>
      </c>
      <c r="BT37" s="198">
        <f>+Slab!CD75</f>
        <v>50</v>
      </c>
      <c r="BU37" s="198">
        <f>+Slab!CE75</f>
        <v>350</v>
      </c>
      <c r="BV37" s="198">
        <f>+Slab!CF75</f>
        <v>62.5</v>
      </c>
      <c r="BW37" s="198">
        <f>+Slab!CG75</f>
        <v>0</v>
      </c>
      <c r="BX37" s="198">
        <f>+Slab!CH75</f>
        <v>0</v>
      </c>
      <c r="BY37" s="198">
        <f>+Slab!CI75</f>
        <v>0</v>
      </c>
      <c r="BZ37" s="198">
        <f>+Slab!CJ75</f>
        <v>0</v>
      </c>
      <c r="CA37" s="198">
        <f>+Slab!CK75</f>
        <v>0</v>
      </c>
      <c r="CB37" s="198">
        <f>+Slab!CL75</f>
        <v>0</v>
      </c>
      <c r="CC37" s="198">
        <f>+Slab!CM75</f>
        <v>0</v>
      </c>
      <c r="CD37" s="198">
        <f>+Slab!CN75</f>
        <v>0</v>
      </c>
      <c r="CE37" s="198">
        <f>+Slab!CO75</f>
        <v>0</v>
      </c>
      <c r="CF37" s="198">
        <f>+Slab!CP75</f>
        <v>80</v>
      </c>
      <c r="CG37" s="198">
        <f>+Slab!CQ75</f>
        <v>0</v>
      </c>
      <c r="CH37" s="198">
        <f>+Slab!CR75</f>
        <v>0</v>
      </c>
      <c r="CI37" s="198">
        <f>+Slab!CS75</f>
        <v>0</v>
      </c>
      <c r="CJ37" s="198">
        <f>+Slab!CT75</f>
        <v>0</v>
      </c>
      <c r="CK37" s="198">
        <f>+Slab!CU75</f>
        <v>0</v>
      </c>
      <c r="CL37" s="198">
        <f>+Slab!CV75</f>
        <v>0</v>
      </c>
      <c r="CM37" s="198">
        <f>+Slab!CW75</f>
        <v>0</v>
      </c>
      <c r="CN37" s="198">
        <f>+Slab!CX75</f>
        <v>165</v>
      </c>
      <c r="CO37" s="198">
        <f>+Slab!CY75</f>
        <v>0</v>
      </c>
      <c r="CP37" s="198">
        <f>+Slab!CZ75</f>
        <v>0</v>
      </c>
      <c r="CQ37" s="199">
        <f>+Slab!DA75</f>
        <v>0</v>
      </c>
      <c r="CR37" s="197">
        <f>+Slab!DB75</f>
        <v>0</v>
      </c>
      <c r="CS37" s="198">
        <f>+Slab!DC75</f>
        <v>0</v>
      </c>
      <c r="CT37" s="198">
        <f>+Slab!DD75</f>
        <v>90</v>
      </c>
      <c r="CU37" s="198">
        <f>+Slab!DE75</f>
        <v>0</v>
      </c>
      <c r="CV37" s="198">
        <f>+Slab!DF75</f>
        <v>0</v>
      </c>
      <c r="CW37" s="198">
        <f>+Slab!DG75</f>
        <v>0</v>
      </c>
      <c r="CX37" s="198">
        <f>+Slab!DH75</f>
        <v>90</v>
      </c>
      <c r="CY37" s="198">
        <f>+Slab!DI75</f>
        <v>0</v>
      </c>
      <c r="CZ37" s="198">
        <f>+Slab!DJ75</f>
        <v>0</v>
      </c>
      <c r="DA37" s="198">
        <f>+Slab!DK75</f>
        <v>0</v>
      </c>
      <c r="DB37" s="198">
        <f>+Slab!DL75</f>
        <v>0</v>
      </c>
      <c r="DC37" s="198">
        <f>+Slab!DM75</f>
        <v>0</v>
      </c>
      <c r="DD37" s="198">
        <f>+Slab!DN75</f>
        <v>160</v>
      </c>
      <c r="DE37" s="198">
        <f>+Slab!DO75</f>
        <v>0</v>
      </c>
      <c r="DF37" s="198">
        <f>+Slab!DP75</f>
        <v>0</v>
      </c>
      <c r="DG37" s="198">
        <f>+Slab!DQ75</f>
        <v>0</v>
      </c>
      <c r="DH37" s="198">
        <f>+Slab!DR75</f>
        <v>0</v>
      </c>
      <c r="DI37" s="198">
        <f>+Slab!DS75</f>
        <v>0</v>
      </c>
      <c r="DJ37" s="198">
        <f>+Slab!DT75</f>
        <v>0</v>
      </c>
      <c r="DK37" s="198">
        <f>+Slab!DU75</f>
        <v>0</v>
      </c>
      <c r="DL37" s="198">
        <f>+Slab!DV75</f>
        <v>5</v>
      </c>
      <c r="DM37" s="198">
        <f>+Slab!DW75</f>
        <v>0</v>
      </c>
      <c r="DN37" s="198">
        <f>+Slab!DX75</f>
        <v>0</v>
      </c>
      <c r="DO37" s="198">
        <f>+Slab!DY75</f>
        <v>0</v>
      </c>
      <c r="DP37" s="198">
        <f>+Slab!DZ75</f>
        <v>0</v>
      </c>
      <c r="DQ37" s="198">
        <f>+Slab!EA75</f>
        <v>0</v>
      </c>
      <c r="DR37" s="198">
        <f>+Slab!EB75</f>
        <v>0</v>
      </c>
      <c r="DS37" s="198">
        <f>+Slab!EC75</f>
        <v>0</v>
      </c>
      <c r="DT37" s="198">
        <f>+Slab!ED75</f>
        <v>0</v>
      </c>
      <c r="DU37" s="198">
        <f>+Slab!EE75</f>
        <v>0</v>
      </c>
      <c r="DV37" s="287">
        <f>+Slab!EF75</f>
        <v>0</v>
      </c>
      <c r="DW37" s="197">
        <f>+Slab!EG75</f>
        <v>0</v>
      </c>
      <c r="DX37" s="198">
        <f>+Slab!EH75</f>
        <v>0</v>
      </c>
      <c r="DY37" s="198">
        <f>+Slab!EI75</f>
        <v>0</v>
      </c>
      <c r="DZ37" s="198">
        <f>+Slab!EJ75</f>
        <v>50</v>
      </c>
      <c r="EA37" s="198">
        <f>+Slab!EK75</f>
        <v>0</v>
      </c>
      <c r="EB37" s="198">
        <f>+Slab!EL75</f>
        <v>107.5</v>
      </c>
      <c r="EC37" s="198">
        <f>+Slab!EM75</f>
        <v>0</v>
      </c>
      <c r="ED37" s="198">
        <f>+Slab!EN75</f>
        <v>0</v>
      </c>
      <c r="EE37" s="198">
        <f>+Slab!EO75</f>
        <v>0</v>
      </c>
      <c r="EF37" s="198">
        <f>+Slab!EP75</f>
        <v>0</v>
      </c>
      <c r="EG37" s="198">
        <f>+Slab!EQ75</f>
        <v>0</v>
      </c>
      <c r="EH37" s="198">
        <f>+Slab!ER75</f>
        <v>0</v>
      </c>
      <c r="EI37" s="198">
        <f>+Slab!ES75</f>
        <v>0</v>
      </c>
      <c r="EJ37" s="198">
        <f>+Slab!ET75</f>
        <v>0</v>
      </c>
      <c r="EK37" s="198">
        <f>+Slab!EU75</f>
        <v>0</v>
      </c>
      <c r="EL37" s="198">
        <f>+Slab!EV75</f>
        <v>0</v>
      </c>
      <c r="EM37" s="198">
        <f>+Slab!EW75</f>
        <v>0</v>
      </c>
      <c r="EN37" s="198">
        <f>+Slab!EX75</f>
        <v>0</v>
      </c>
      <c r="EO37" s="198">
        <f>+Slab!EY75</f>
        <v>0</v>
      </c>
      <c r="EP37" s="198">
        <f>+Slab!EZ75</f>
        <v>0</v>
      </c>
      <c r="EQ37" s="198">
        <f>+Slab!FA75</f>
        <v>0</v>
      </c>
      <c r="ER37" s="198">
        <f>+Slab!FB75</f>
        <v>0</v>
      </c>
      <c r="ES37" s="198">
        <f>+Slab!FC75</f>
        <v>0</v>
      </c>
      <c r="ET37" s="198">
        <f>+Slab!FD75</f>
        <v>0</v>
      </c>
      <c r="EU37" s="198">
        <f>+Slab!FE75</f>
        <v>0</v>
      </c>
      <c r="EV37" s="198">
        <f>+Slab!FF75</f>
        <v>0</v>
      </c>
      <c r="EW37" s="198">
        <f>+Slab!FG75</f>
        <v>0</v>
      </c>
      <c r="EX37" s="198">
        <f>+Slab!FH75</f>
        <v>0</v>
      </c>
      <c r="EY37" s="198">
        <f>+Slab!FI75</f>
        <v>195</v>
      </c>
      <c r="EZ37" s="199">
        <f>+Slab!FJ75</f>
        <v>14.5</v>
      </c>
      <c r="FA37" s="197">
        <f>+Slab!FK75</f>
        <v>12.5</v>
      </c>
      <c r="FB37" s="198">
        <f>+Slab!FL75</f>
        <v>0</v>
      </c>
      <c r="FC37" s="198">
        <f>+Slab!FM75</f>
        <v>0</v>
      </c>
      <c r="FD37" s="198">
        <f>+Slab!FN75</f>
        <v>0</v>
      </c>
      <c r="FE37" s="198">
        <f>+Slab!FO75</f>
        <v>0</v>
      </c>
      <c r="FF37" s="198">
        <f>+Slab!FP75</f>
        <v>0</v>
      </c>
      <c r="FG37" s="198">
        <f>+Slab!FQ75</f>
        <v>0</v>
      </c>
      <c r="FH37" s="198">
        <f>+Slab!FR75</f>
        <v>0</v>
      </c>
      <c r="FI37" s="198">
        <f>+Slab!FS75</f>
        <v>0</v>
      </c>
      <c r="FJ37" s="198">
        <f>+Slab!FT75</f>
        <v>0</v>
      </c>
      <c r="FK37" s="198">
        <f>+Slab!FU75</f>
        <v>0</v>
      </c>
      <c r="FL37" s="198">
        <f>+Slab!FV75</f>
        <v>0</v>
      </c>
      <c r="FM37" s="198">
        <f>+Slab!FW75</f>
        <v>0</v>
      </c>
      <c r="FN37" s="198">
        <f>+Slab!FX75</f>
        <v>0</v>
      </c>
      <c r="FO37" s="198">
        <f>+Slab!FY75</f>
        <v>0</v>
      </c>
      <c r="FP37" s="198">
        <f>+Slab!FZ75</f>
        <v>0</v>
      </c>
      <c r="FQ37" s="198">
        <f>+Slab!GA75</f>
        <v>0</v>
      </c>
      <c r="FR37" s="198">
        <f>+Slab!GB75</f>
        <v>0</v>
      </c>
      <c r="FS37" s="198">
        <f>+Slab!GC75</f>
        <v>0</v>
      </c>
      <c r="FT37" s="198">
        <f>+Slab!GD75</f>
        <v>0</v>
      </c>
      <c r="FU37" s="198">
        <f>+Slab!GE75</f>
        <v>0</v>
      </c>
      <c r="FV37" s="198">
        <f>+Slab!GF75</f>
        <v>0</v>
      </c>
      <c r="FW37" s="198">
        <f>+Slab!GG75</f>
        <v>0</v>
      </c>
      <c r="FX37" s="198">
        <f>+Slab!GH75</f>
        <v>0</v>
      </c>
      <c r="FY37" s="198">
        <f>+Slab!GI75</f>
        <v>0</v>
      </c>
      <c r="FZ37" s="198">
        <f>+Slab!GJ75</f>
        <v>0</v>
      </c>
      <c r="GA37" s="198">
        <f>+Slab!GK75</f>
        <v>0</v>
      </c>
      <c r="GB37" s="198">
        <f>+Slab!GL75</f>
        <v>0</v>
      </c>
      <c r="GC37" s="198">
        <f>+Slab!GM75</f>
        <v>0</v>
      </c>
      <c r="GD37" s="198">
        <f>+Slab!GN75</f>
        <v>0</v>
      </c>
      <c r="GE37" s="199">
        <f>+Slab!GO75</f>
        <v>0</v>
      </c>
      <c r="GF37" s="197">
        <f>+Slab!GP75</f>
        <v>0</v>
      </c>
      <c r="GG37" s="198">
        <f>+Slab!GQ75</f>
        <v>0</v>
      </c>
      <c r="GH37" s="198">
        <f>+Slab!GR75</f>
        <v>0</v>
      </c>
      <c r="GI37" s="198">
        <f>+Slab!GS75</f>
        <v>0</v>
      </c>
      <c r="GJ37" s="198">
        <f>+Slab!GT75</f>
        <v>0</v>
      </c>
      <c r="GK37" s="198">
        <f>+Slab!GU75</f>
        <v>0</v>
      </c>
      <c r="GL37" s="198">
        <f>+Slab!GV75</f>
        <v>0</v>
      </c>
      <c r="GM37" s="198">
        <f>+Slab!GW75</f>
        <v>0</v>
      </c>
      <c r="GN37" s="198">
        <f>+Slab!GX75</f>
        <v>0</v>
      </c>
      <c r="GO37" s="198">
        <f>+Slab!GY75</f>
        <v>0</v>
      </c>
      <c r="GP37" s="198">
        <f>+Slab!GZ75</f>
        <v>0</v>
      </c>
      <c r="GQ37" s="198">
        <f>+Slab!HA75</f>
        <v>0</v>
      </c>
      <c r="GR37" s="198">
        <f>+Slab!HB75</f>
        <v>0</v>
      </c>
      <c r="GS37" s="198">
        <f>+Slab!HC75</f>
        <v>0</v>
      </c>
      <c r="GT37" s="198">
        <f>+Slab!HD75</f>
        <v>0</v>
      </c>
      <c r="GU37" s="198">
        <f>+Slab!HE75</f>
        <v>0</v>
      </c>
      <c r="GV37" s="198">
        <f>+Slab!HF75</f>
        <v>0</v>
      </c>
      <c r="GW37" s="198">
        <f>+Slab!HG75</f>
        <v>0</v>
      </c>
      <c r="GX37" s="198">
        <f>+Slab!HH75</f>
        <v>0</v>
      </c>
      <c r="GY37" s="199">
        <f>+Slab!HI75</f>
        <v>0</v>
      </c>
      <c r="GZ37" s="452"/>
    </row>
    <row r="38" spans="1:208" ht="15" hidden="1" customHeight="1" thickBot="1" x14ac:dyDescent="0.4">
      <c r="A38" s="204"/>
      <c r="B38" s="201"/>
      <c r="C38" s="205"/>
      <c r="D38" s="206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8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247"/>
      <c r="BN38" s="207"/>
      <c r="BO38" s="207"/>
      <c r="BP38" s="207"/>
      <c r="BQ38" s="207"/>
      <c r="BR38" s="207"/>
      <c r="BS38" s="207"/>
      <c r="BT38" s="207"/>
      <c r="BU38" s="207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207"/>
      <c r="CG38" s="207"/>
      <c r="CH38" s="207"/>
      <c r="CI38" s="207"/>
      <c r="CJ38" s="207"/>
      <c r="CK38" s="207"/>
      <c r="CL38" s="207"/>
      <c r="CM38" s="207"/>
      <c r="CN38" s="207"/>
      <c r="CO38" s="207"/>
      <c r="CP38" s="207"/>
      <c r="CQ38" s="207"/>
      <c r="CR38" s="288"/>
      <c r="CS38" s="289"/>
      <c r="CT38" s="289"/>
      <c r="CU38" s="289"/>
      <c r="CV38" s="289"/>
      <c r="CW38" s="289"/>
      <c r="CX38" s="289"/>
      <c r="CY38" s="289"/>
      <c r="CZ38" s="289"/>
      <c r="DA38" s="289"/>
      <c r="DB38" s="289"/>
      <c r="DC38" s="289"/>
      <c r="DD38" s="289"/>
      <c r="DE38" s="289"/>
      <c r="DF38" s="289"/>
      <c r="DG38" s="289"/>
      <c r="DH38" s="289"/>
      <c r="DI38" s="289"/>
      <c r="DJ38" s="289"/>
      <c r="DK38" s="289"/>
      <c r="DL38" s="289"/>
      <c r="DM38" s="289"/>
      <c r="DN38" s="289"/>
      <c r="DO38" s="289"/>
      <c r="DP38" s="289"/>
      <c r="DQ38" s="289"/>
      <c r="DR38" s="289"/>
      <c r="DS38" s="289"/>
      <c r="DT38" s="289"/>
      <c r="DU38" s="289"/>
      <c r="DV38" s="352"/>
      <c r="DW38" s="288"/>
      <c r="DX38" s="289"/>
      <c r="DY38" s="289"/>
      <c r="DZ38" s="289"/>
      <c r="EA38" s="289"/>
      <c r="EB38" s="289"/>
      <c r="EC38" s="289"/>
      <c r="ED38" s="289"/>
      <c r="EE38" s="289"/>
      <c r="EF38" s="289"/>
      <c r="EG38" s="289"/>
      <c r="EH38" s="289"/>
      <c r="EI38" s="289"/>
      <c r="EJ38" s="289"/>
      <c r="EK38" s="289"/>
      <c r="EL38" s="289"/>
      <c r="EM38" s="289"/>
      <c r="EN38" s="289"/>
      <c r="EO38" s="289"/>
      <c r="EP38" s="289"/>
      <c r="EQ38" s="289"/>
      <c r="ER38" s="289"/>
      <c r="ES38" s="289"/>
      <c r="ET38" s="289"/>
      <c r="EU38" s="289"/>
      <c r="EV38" s="289"/>
      <c r="EW38" s="289"/>
      <c r="EX38" s="289"/>
      <c r="EY38" s="289"/>
      <c r="EZ38" s="289"/>
      <c r="FA38" s="288"/>
      <c r="FB38" s="289"/>
      <c r="FC38" s="289"/>
      <c r="FD38" s="289"/>
      <c r="FE38" s="289"/>
      <c r="FF38" s="289"/>
      <c r="FG38" s="289"/>
      <c r="FH38" s="289"/>
      <c r="FI38" s="289"/>
      <c r="FJ38" s="289"/>
      <c r="FK38" s="289"/>
      <c r="FL38" s="289"/>
      <c r="FM38" s="289"/>
      <c r="FN38" s="289"/>
      <c r="FO38" s="289"/>
      <c r="FP38" s="289"/>
      <c r="FQ38" s="289"/>
      <c r="FR38" s="289"/>
      <c r="FS38" s="289"/>
      <c r="FT38" s="289"/>
      <c r="FU38" s="289"/>
      <c r="FV38" s="289"/>
      <c r="FW38" s="289"/>
      <c r="FX38" s="289"/>
      <c r="FY38" s="289"/>
      <c r="FZ38" s="289"/>
      <c r="GA38" s="289"/>
      <c r="GB38" s="289"/>
      <c r="GC38" s="289"/>
      <c r="GD38" s="289"/>
      <c r="GE38" s="289"/>
      <c r="GF38" s="288"/>
      <c r="GG38" s="289"/>
      <c r="GH38" s="289"/>
      <c r="GI38" s="289"/>
      <c r="GJ38" s="289"/>
      <c r="GK38" s="289"/>
      <c r="GL38" s="289"/>
      <c r="GM38" s="289"/>
      <c r="GN38" s="289"/>
      <c r="GO38" s="289"/>
      <c r="GP38" s="289"/>
      <c r="GQ38" s="289"/>
      <c r="GR38" s="289"/>
      <c r="GS38" s="289"/>
      <c r="GT38" s="289"/>
      <c r="GU38" s="289"/>
      <c r="GV38" s="289"/>
      <c r="GW38" s="289"/>
      <c r="GX38" s="289"/>
      <c r="GY38" s="289"/>
      <c r="GZ38" s="448"/>
    </row>
    <row r="39" spans="1:208" ht="15" hidden="1" customHeight="1" thickBot="1" x14ac:dyDescent="0.4">
      <c r="A39" s="482"/>
      <c r="B39" s="481" t="s">
        <v>16</v>
      </c>
      <c r="C39" s="25" t="s">
        <v>82</v>
      </c>
      <c r="D39" s="32" t="s">
        <v>86</v>
      </c>
      <c r="E39" s="71">
        <f>+Columns!O80</f>
        <v>0</v>
      </c>
      <c r="F39" s="37">
        <f>+Columns!P80</f>
        <v>0</v>
      </c>
      <c r="G39" s="37">
        <f>+Columns!Q80</f>
        <v>0</v>
      </c>
      <c r="H39" s="37">
        <f>+Columns!R80</f>
        <v>0</v>
      </c>
      <c r="I39" s="37">
        <f>+Columns!S80</f>
        <v>0</v>
      </c>
      <c r="J39" s="37">
        <f>+Columns!T80</f>
        <v>0</v>
      </c>
      <c r="K39" s="37">
        <f>+Columns!U80</f>
        <v>0</v>
      </c>
      <c r="L39" s="37">
        <f>+Columns!V80</f>
        <v>0</v>
      </c>
      <c r="M39" s="37">
        <f>+Columns!W80</f>
        <v>0</v>
      </c>
      <c r="N39" s="37">
        <f>+Columns!X80</f>
        <v>0</v>
      </c>
      <c r="O39" s="37">
        <f>+Columns!Y80</f>
        <v>0</v>
      </c>
      <c r="P39" s="37">
        <f>+Columns!Z80</f>
        <v>0</v>
      </c>
      <c r="Q39" s="37">
        <f>+Columns!AA80</f>
        <v>0</v>
      </c>
      <c r="R39" s="37">
        <f>+Columns!AB80</f>
        <v>0</v>
      </c>
      <c r="S39" s="37">
        <f>+Columns!AC80</f>
        <v>0</v>
      </c>
      <c r="T39" s="37">
        <f>+Columns!AD80</f>
        <v>0</v>
      </c>
      <c r="U39" s="37">
        <f>+Columns!AE80</f>
        <v>0.5</v>
      </c>
      <c r="V39" s="37">
        <f>+Columns!AF80</f>
        <v>6</v>
      </c>
      <c r="W39" s="37">
        <f>+Columns!AG80</f>
        <v>0</v>
      </c>
      <c r="X39" s="37">
        <f>+Columns!AH80</f>
        <v>0</v>
      </c>
      <c r="Y39" s="37">
        <f>+Columns!AI80</f>
        <v>0</v>
      </c>
      <c r="Z39" s="37">
        <f>+Columns!AJ80</f>
        <v>0</v>
      </c>
      <c r="AA39" s="37">
        <f>+Columns!AK80</f>
        <v>0</v>
      </c>
      <c r="AB39" s="37">
        <f>+Columns!AL80</f>
        <v>0</v>
      </c>
      <c r="AC39" s="37">
        <f>+Columns!AM80</f>
        <v>0</v>
      </c>
      <c r="AD39" s="37">
        <f>+Columns!AN80</f>
        <v>0</v>
      </c>
      <c r="AE39" s="37">
        <f>+Columns!AO80</f>
        <v>0</v>
      </c>
      <c r="AF39" s="276">
        <f>+Columns!AP80</f>
        <v>0</v>
      </c>
      <c r="AG39" s="165">
        <f>+Columns!AQ80</f>
        <v>0</v>
      </c>
      <c r="AH39" s="71">
        <f>+Columns!AR80</f>
        <v>0</v>
      </c>
      <c r="AI39" s="37">
        <f>+Columns!AS80</f>
        <v>0</v>
      </c>
      <c r="AJ39" s="37">
        <f>+Columns!AT80</f>
        <v>0</v>
      </c>
      <c r="AK39" s="37">
        <f>+Columns!AU80</f>
        <v>2</v>
      </c>
      <c r="AL39" s="37">
        <f>+Columns!AV80</f>
        <v>0</v>
      </c>
      <c r="AM39" s="37">
        <f>+Columns!AW80</f>
        <v>0</v>
      </c>
      <c r="AN39" s="37">
        <f>+Columns!AX80</f>
        <v>0</v>
      </c>
      <c r="AO39" s="37">
        <f>+Columns!AY80</f>
        <v>0</v>
      </c>
      <c r="AP39" s="37">
        <f>+Columns!AZ80</f>
        <v>0</v>
      </c>
      <c r="AQ39" s="37">
        <f>+Columns!BA80</f>
        <v>4</v>
      </c>
      <c r="AR39" s="37">
        <f>+Columns!BB80</f>
        <v>0</v>
      </c>
      <c r="AS39" s="37">
        <f>+Columns!BC80</f>
        <v>0</v>
      </c>
      <c r="AT39" s="37">
        <f>+Columns!BD80</f>
        <v>0</v>
      </c>
      <c r="AU39" s="37">
        <f>+Columns!BE80</f>
        <v>0</v>
      </c>
      <c r="AV39" s="37">
        <f>+Columns!BF80</f>
        <v>0</v>
      </c>
      <c r="AW39" s="37">
        <f>+Columns!BG80</f>
        <v>0</v>
      </c>
      <c r="AX39" s="37">
        <f>+Columns!BH80</f>
        <v>0</v>
      </c>
      <c r="AY39" s="37">
        <f>+Columns!BI80</f>
        <v>0</v>
      </c>
      <c r="AZ39" s="37">
        <f>+Columns!BJ80</f>
        <v>0</v>
      </c>
      <c r="BA39" s="37">
        <f>+Columns!BK80</f>
        <v>0</v>
      </c>
      <c r="BB39" s="37">
        <f>+Columns!BL80</f>
        <v>0</v>
      </c>
      <c r="BC39" s="37">
        <f>+Columns!BM80</f>
        <v>0</v>
      </c>
      <c r="BD39" s="37">
        <f>+Columns!BN80</f>
        <v>0</v>
      </c>
      <c r="BE39" s="37">
        <f>+Columns!BO80</f>
        <v>2</v>
      </c>
      <c r="BF39" s="37">
        <f>+Columns!BP80</f>
        <v>0</v>
      </c>
      <c r="BG39" s="37">
        <f>+Columns!BQ80</f>
        <v>0</v>
      </c>
      <c r="BH39" s="37">
        <f>+Columns!BR80</f>
        <v>0</v>
      </c>
      <c r="BI39" s="37">
        <f>+Columns!BS80</f>
        <v>2</v>
      </c>
      <c r="BJ39" s="37">
        <f>+Columns!BT80</f>
        <v>0</v>
      </c>
      <c r="BK39" s="37">
        <f>+Columns!BU80</f>
        <v>0</v>
      </c>
      <c r="BL39" s="276">
        <f>+Columns!BV80</f>
        <v>0</v>
      </c>
      <c r="BM39" s="294">
        <f>+Columns!BW80</f>
        <v>0</v>
      </c>
      <c r="BN39" s="71">
        <f>+Columns!BX80</f>
        <v>0</v>
      </c>
      <c r="BO39" s="37">
        <f>+Columns!BY80</f>
        <v>0</v>
      </c>
      <c r="BP39" s="37">
        <f>+Columns!BZ80</f>
        <v>0</v>
      </c>
      <c r="BQ39" s="37">
        <f>+Columns!CA80</f>
        <v>0</v>
      </c>
      <c r="BR39" s="37">
        <f>+Columns!CB80</f>
        <v>0</v>
      </c>
      <c r="BS39" s="37">
        <f>+Columns!CC80</f>
        <v>0</v>
      </c>
      <c r="BT39" s="37">
        <f>+Columns!CD80</f>
        <v>1.5</v>
      </c>
      <c r="BU39" s="37">
        <f>+Columns!CE80</f>
        <v>0</v>
      </c>
      <c r="BV39" s="37">
        <f>+Columns!CF80</f>
        <v>0</v>
      </c>
      <c r="BW39" s="37">
        <f>+Columns!CG80</f>
        <v>0</v>
      </c>
      <c r="BX39" s="37">
        <f>+Columns!CH80</f>
        <v>0</v>
      </c>
      <c r="BY39" s="37">
        <f>+Columns!CI80</f>
        <v>0</v>
      </c>
      <c r="BZ39" s="37">
        <f>+Columns!CJ80</f>
        <v>0</v>
      </c>
      <c r="CA39" s="37">
        <f>+Columns!CK80</f>
        <v>0</v>
      </c>
      <c r="CB39" s="37">
        <f>+Columns!CL80</f>
        <v>1.5</v>
      </c>
      <c r="CC39" s="37">
        <f>+Columns!CM80</f>
        <v>0</v>
      </c>
      <c r="CD39" s="37">
        <f>+Columns!CN80</f>
        <v>0</v>
      </c>
      <c r="CE39" s="37">
        <f>+Columns!CO80</f>
        <v>2.5</v>
      </c>
      <c r="CF39" s="37">
        <f>+Columns!CP80</f>
        <v>0</v>
      </c>
      <c r="CG39" s="37">
        <f>+Columns!CQ80</f>
        <v>0</v>
      </c>
      <c r="CH39" s="37">
        <f>+Columns!CR80</f>
        <v>0</v>
      </c>
      <c r="CI39" s="37">
        <f>+Columns!CS80</f>
        <v>0</v>
      </c>
      <c r="CJ39" s="37">
        <f>+Columns!CT80</f>
        <v>0</v>
      </c>
      <c r="CK39" s="37">
        <f>+Columns!CU80</f>
        <v>0</v>
      </c>
      <c r="CL39" s="37">
        <f>+Columns!CV80</f>
        <v>0</v>
      </c>
      <c r="CM39" s="37">
        <f>+Columns!CW80</f>
        <v>2</v>
      </c>
      <c r="CN39" s="37">
        <f>+Columns!CX80</f>
        <v>1.5</v>
      </c>
      <c r="CO39" s="37">
        <f>+Columns!CY80</f>
        <v>0</v>
      </c>
      <c r="CP39" s="37">
        <f>+Columns!CZ80</f>
        <v>0</v>
      </c>
      <c r="CQ39" s="157">
        <f>+Columns!DA80</f>
        <v>1.5</v>
      </c>
      <c r="CR39" s="71">
        <f>+Columns!DB80</f>
        <v>0</v>
      </c>
      <c r="CS39" s="71">
        <f>+Columns!DC80</f>
        <v>0</v>
      </c>
      <c r="CT39" s="71">
        <f>+Columns!DD80</f>
        <v>1.5</v>
      </c>
      <c r="CU39" s="71">
        <f>+Columns!DE80</f>
        <v>0</v>
      </c>
      <c r="CV39" s="71">
        <f>+Columns!DF80</f>
        <v>0</v>
      </c>
      <c r="CW39" s="71">
        <f>+Columns!DG80</f>
        <v>3.5</v>
      </c>
      <c r="CX39" s="71">
        <f>+Columns!DH80</f>
        <v>0.5</v>
      </c>
      <c r="CY39" s="71">
        <f>+Columns!DI80</f>
        <v>0</v>
      </c>
      <c r="CZ39" s="71">
        <f>+Columns!DJ80</f>
        <v>0</v>
      </c>
      <c r="DA39" s="71">
        <f>+Columns!DK80</f>
        <v>0</v>
      </c>
      <c r="DB39" s="71">
        <f>+Columns!DL80</f>
        <v>3</v>
      </c>
      <c r="DC39" s="71">
        <f>+Columns!DM80</f>
        <v>0</v>
      </c>
      <c r="DD39" s="71">
        <f>+Columns!DN80</f>
        <v>0.5</v>
      </c>
      <c r="DE39" s="71">
        <f>+Columns!DO80</f>
        <v>0</v>
      </c>
      <c r="DF39" s="71">
        <f>+Columns!DP80</f>
        <v>0</v>
      </c>
      <c r="DG39" s="71">
        <f>+Columns!DQ80</f>
        <v>0</v>
      </c>
      <c r="DH39" s="71">
        <f>+Columns!DR80</f>
        <v>0.5</v>
      </c>
      <c r="DI39" s="71">
        <f>+Columns!DS80</f>
        <v>0</v>
      </c>
      <c r="DJ39" s="71">
        <f>+Columns!DT80</f>
        <v>0</v>
      </c>
      <c r="DK39" s="71">
        <f>+Columns!DU80</f>
        <v>0</v>
      </c>
      <c r="DL39" s="71">
        <f>+Columns!DV80</f>
        <v>0</v>
      </c>
      <c r="DM39" s="71">
        <f>+Columns!DW80</f>
        <v>0</v>
      </c>
      <c r="DN39" s="71">
        <f>+Columns!DX80</f>
        <v>0</v>
      </c>
      <c r="DO39" s="71">
        <f>+Columns!DY80</f>
        <v>0</v>
      </c>
      <c r="DP39" s="71">
        <f>+Columns!DZ80</f>
        <v>0</v>
      </c>
      <c r="DQ39" s="71">
        <f>+Columns!EA80</f>
        <v>0</v>
      </c>
      <c r="DR39" s="71">
        <f>+Columns!EB80</f>
        <v>0</v>
      </c>
      <c r="DS39" s="71">
        <f>+Columns!EC80</f>
        <v>0</v>
      </c>
      <c r="DT39" s="71">
        <f>+Columns!ED80</f>
        <v>0</v>
      </c>
      <c r="DU39" s="71">
        <f>+Columns!EE80</f>
        <v>0</v>
      </c>
      <c r="DV39" s="356">
        <f>+Columns!EF80</f>
        <v>0</v>
      </c>
      <c r="DW39" s="71">
        <f>+Columns!EG80</f>
        <v>0</v>
      </c>
      <c r="DX39" s="71">
        <f>+Columns!EH80</f>
        <v>0</v>
      </c>
      <c r="DY39" s="71">
        <f>+Columns!EI80</f>
        <v>0</v>
      </c>
      <c r="DZ39" s="71">
        <f>+Columns!EJ80</f>
        <v>0</v>
      </c>
      <c r="EA39" s="71">
        <f>+Columns!EK80</f>
        <v>0</v>
      </c>
      <c r="EB39" s="71">
        <f>+Columns!EL80</f>
        <v>0</v>
      </c>
      <c r="EC39" s="71">
        <f>+Columns!EM80</f>
        <v>0</v>
      </c>
      <c r="ED39" s="71">
        <f>+Columns!EN80</f>
        <v>1</v>
      </c>
      <c r="EE39" s="71">
        <f>+Columns!EO80</f>
        <v>0</v>
      </c>
      <c r="EF39" s="71">
        <f>+Columns!EP80</f>
        <v>0</v>
      </c>
      <c r="EG39" s="71">
        <f>+Columns!EQ80</f>
        <v>0</v>
      </c>
      <c r="EH39" s="71">
        <f>+Columns!ER80</f>
        <v>0</v>
      </c>
      <c r="EI39" s="71">
        <f>+Columns!ES80</f>
        <v>0</v>
      </c>
      <c r="EJ39" s="71">
        <f>+Columns!ET80</f>
        <v>0</v>
      </c>
      <c r="EK39" s="71">
        <f>+Columns!EU80</f>
        <v>0</v>
      </c>
      <c r="EL39" s="71">
        <f>+Columns!EV80</f>
        <v>0</v>
      </c>
      <c r="EM39" s="71">
        <f>+Columns!EW80</f>
        <v>0</v>
      </c>
      <c r="EN39" s="71">
        <f>+Columns!EX80</f>
        <v>0</v>
      </c>
      <c r="EO39" s="71">
        <f>+Columns!EY80</f>
        <v>0</v>
      </c>
      <c r="EP39" s="71">
        <f>+Columns!EZ80</f>
        <v>0</v>
      </c>
      <c r="EQ39" s="71">
        <f>+Columns!FA80</f>
        <v>0</v>
      </c>
      <c r="ER39" s="71">
        <f>+Columns!FB80</f>
        <v>0</v>
      </c>
      <c r="ES39" s="71">
        <f>+Columns!FC80</f>
        <v>0</v>
      </c>
      <c r="ET39" s="71">
        <f>+Columns!FD80</f>
        <v>0</v>
      </c>
      <c r="EU39" s="71">
        <f>+Columns!FE80</f>
        <v>0</v>
      </c>
      <c r="EV39" s="71">
        <f>+Columns!FF80</f>
        <v>0</v>
      </c>
      <c r="EW39" s="71">
        <f>+Columns!FG80</f>
        <v>0</v>
      </c>
      <c r="EX39" s="71">
        <f>+Columns!FH80</f>
        <v>0</v>
      </c>
      <c r="EY39" s="71">
        <f>+Columns!FI80</f>
        <v>0</v>
      </c>
      <c r="EZ39" s="389">
        <f>+Columns!FJ80</f>
        <v>0</v>
      </c>
      <c r="FA39" s="71">
        <f>+Columns!FK80</f>
        <v>0</v>
      </c>
      <c r="FB39" s="71">
        <f>+Columns!FL80</f>
        <v>0</v>
      </c>
      <c r="FC39" s="71">
        <f>+Columns!FM80</f>
        <v>0</v>
      </c>
      <c r="FD39" s="71">
        <f>+Columns!FN80</f>
        <v>0</v>
      </c>
      <c r="FE39" s="71">
        <f>+Columns!FO80</f>
        <v>0</v>
      </c>
      <c r="FF39" s="71">
        <f>+Columns!FP80</f>
        <v>0</v>
      </c>
      <c r="FG39" s="71">
        <f>+Columns!FQ80</f>
        <v>0</v>
      </c>
      <c r="FH39" s="71">
        <f>+Columns!FR80</f>
        <v>0</v>
      </c>
      <c r="FI39" s="71">
        <f>+Columns!FS80</f>
        <v>0</v>
      </c>
      <c r="FJ39" s="71">
        <f>+Columns!FT80</f>
        <v>0</v>
      </c>
      <c r="FK39" s="71">
        <f>+Columns!FU80</f>
        <v>0</v>
      </c>
      <c r="FL39" s="71">
        <f>+Columns!FV80</f>
        <v>0</v>
      </c>
      <c r="FM39" s="71">
        <f>+Columns!FW80</f>
        <v>0</v>
      </c>
      <c r="FN39" s="71">
        <f>+Columns!FX80</f>
        <v>0</v>
      </c>
      <c r="FO39" s="71">
        <f>+Columns!FY80</f>
        <v>0</v>
      </c>
      <c r="FP39" s="71">
        <f>+Columns!FZ80</f>
        <v>0</v>
      </c>
      <c r="FQ39" s="71">
        <f>+Columns!GA80</f>
        <v>0</v>
      </c>
      <c r="FR39" s="71">
        <f>+Columns!GB80</f>
        <v>0</v>
      </c>
      <c r="FS39" s="71">
        <f>+Columns!GC80</f>
        <v>0</v>
      </c>
      <c r="FT39" s="71">
        <f>+Columns!GD80</f>
        <v>0</v>
      </c>
      <c r="FU39" s="71">
        <f>+Columns!GE80</f>
        <v>0</v>
      </c>
      <c r="FV39" s="71">
        <f>+Columns!GF80</f>
        <v>0</v>
      </c>
      <c r="FW39" s="71">
        <f>+Columns!GG80</f>
        <v>0</v>
      </c>
      <c r="FX39" s="71">
        <f>+Columns!GH80</f>
        <v>0</v>
      </c>
      <c r="FY39" s="71">
        <f>+Columns!GI80</f>
        <v>5</v>
      </c>
      <c r="FZ39" s="71">
        <f>+Columns!GJ80</f>
        <v>0</v>
      </c>
      <c r="GA39" s="71">
        <f>+Columns!GK80</f>
        <v>0</v>
      </c>
      <c r="GB39" s="71">
        <f>+Columns!GL80</f>
        <v>0</v>
      </c>
      <c r="GC39" s="71">
        <f>+Columns!GM80</f>
        <v>3</v>
      </c>
      <c r="GD39" s="71">
        <f>+Columns!GN80</f>
        <v>0</v>
      </c>
      <c r="GE39" s="389">
        <f>+Columns!GO80</f>
        <v>0</v>
      </c>
      <c r="GF39" s="71">
        <f>+Columns!GP80</f>
        <v>0</v>
      </c>
      <c r="GG39" s="71">
        <f>+Columns!GQ80</f>
        <v>0</v>
      </c>
      <c r="GH39" s="71">
        <f>+Columns!GR80</f>
        <v>0</v>
      </c>
      <c r="GI39" s="71">
        <f>+Columns!GS80</f>
        <v>0</v>
      </c>
      <c r="GJ39" s="71">
        <f>+Columns!GT80</f>
        <v>0</v>
      </c>
      <c r="GK39" s="71">
        <f>+Columns!GU80</f>
        <v>0</v>
      </c>
      <c r="GL39" s="71">
        <f>+Columns!GV80</f>
        <v>0</v>
      </c>
      <c r="GM39" s="71">
        <f>+Columns!GW80</f>
        <v>0</v>
      </c>
      <c r="GN39" s="71">
        <f>+Columns!GX80</f>
        <v>0</v>
      </c>
      <c r="GO39" s="71">
        <f>+Columns!GY80</f>
        <v>0</v>
      </c>
      <c r="GP39" s="71">
        <f>+Columns!GZ80</f>
        <v>0</v>
      </c>
      <c r="GQ39" s="71">
        <f>+Columns!HA80</f>
        <v>0</v>
      </c>
      <c r="GR39" s="71">
        <f>+Columns!HB80</f>
        <v>0</v>
      </c>
      <c r="GS39" s="71">
        <f>+Columns!HC80</f>
        <v>0</v>
      </c>
      <c r="GT39" s="71">
        <f>+Columns!HD80</f>
        <v>0</v>
      </c>
      <c r="GU39" s="71">
        <f>+Columns!HE80</f>
        <v>0</v>
      </c>
      <c r="GV39" s="71">
        <f>+Columns!HF80</f>
        <v>0</v>
      </c>
      <c r="GW39" s="71">
        <f>+Columns!HG80</f>
        <v>0</v>
      </c>
      <c r="GX39" s="71">
        <f>+Columns!HH80</f>
        <v>0</v>
      </c>
      <c r="GY39" s="389">
        <f>+Columns!HI80</f>
        <v>0</v>
      </c>
      <c r="GZ39" s="450"/>
    </row>
    <row r="40" spans="1:208" ht="15" hidden="1" customHeight="1" thickBot="1" x14ac:dyDescent="0.4">
      <c r="A40" s="479"/>
      <c r="B40" s="474"/>
      <c r="C40" s="23" t="s">
        <v>81</v>
      </c>
      <c r="D40" s="2" t="s">
        <v>87</v>
      </c>
      <c r="E40" s="73">
        <f>+'Internal Wall'!O93</f>
        <v>0</v>
      </c>
      <c r="F40" s="13">
        <f>+'Internal Wall'!P93</f>
        <v>0</v>
      </c>
      <c r="G40" s="13">
        <f>+'Internal Wall'!Q93</f>
        <v>0</v>
      </c>
      <c r="H40" s="13">
        <f>+'Internal Wall'!R93</f>
        <v>0</v>
      </c>
      <c r="I40" s="13">
        <f>+'Internal Wall'!S93</f>
        <v>0</v>
      </c>
      <c r="J40" s="13">
        <f>+'Internal Wall'!T93</f>
        <v>0</v>
      </c>
      <c r="K40" s="13">
        <f>+'Internal Wall'!U93</f>
        <v>0</v>
      </c>
      <c r="L40" s="13">
        <f>+'Internal Wall'!V93</f>
        <v>0</v>
      </c>
      <c r="M40" s="13">
        <f>+'Internal Wall'!W93</f>
        <v>0</v>
      </c>
      <c r="N40" s="13">
        <f>+'Internal Wall'!X93</f>
        <v>0</v>
      </c>
      <c r="O40" s="13">
        <f>+'Internal Wall'!Y93</f>
        <v>0</v>
      </c>
      <c r="P40" s="13">
        <f>+'Internal Wall'!Z93</f>
        <v>0</v>
      </c>
      <c r="Q40" s="13">
        <f>+'Internal Wall'!AA93</f>
        <v>0</v>
      </c>
      <c r="R40" s="13">
        <f>+'Internal Wall'!AB93</f>
        <v>0</v>
      </c>
      <c r="S40" s="13">
        <f>+'Internal Wall'!AC93</f>
        <v>0</v>
      </c>
      <c r="T40" s="13">
        <f>+'Internal Wall'!AD93</f>
        <v>0</v>
      </c>
      <c r="U40" s="13">
        <f>+'Internal Wall'!AE93</f>
        <v>0</v>
      </c>
      <c r="V40" s="13">
        <f>+'Internal Wall'!AF93</f>
        <v>0</v>
      </c>
      <c r="W40" s="13">
        <f>+'Internal Wall'!AG93</f>
        <v>0</v>
      </c>
      <c r="X40" s="13">
        <f>+'Internal Wall'!AH93</f>
        <v>0</v>
      </c>
      <c r="Y40" s="13">
        <f>+'Internal Wall'!AI93</f>
        <v>0</v>
      </c>
      <c r="Z40" s="13">
        <f>+'Internal Wall'!AJ93</f>
        <v>0</v>
      </c>
      <c r="AA40" s="13">
        <f>+'Internal Wall'!AK93</f>
        <v>0</v>
      </c>
      <c r="AB40" s="13">
        <f>+'Internal Wall'!AL93</f>
        <v>0</v>
      </c>
      <c r="AC40" s="13">
        <f>+'Internal Wall'!AM93</f>
        <v>0</v>
      </c>
      <c r="AD40" s="13">
        <f>+'Internal Wall'!AN93</f>
        <v>0</v>
      </c>
      <c r="AE40" s="13">
        <f>+'Internal Wall'!AO93</f>
        <v>0</v>
      </c>
      <c r="AF40" s="274">
        <f>+'Internal Wall'!AP93</f>
        <v>0</v>
      </c>
      <c r="AG40" s="162">
        <f>+'Internal Wall'!BN93</f>
        <v>0</v>
      </c>
      <c r="AH40" s="73">
        <f>+'Internal Wall'!AR93</f>
        <v>0</v>
      </c>
      <c r="AI40" s="13">
        <f>+'Internal Wall'!AS93</f>
        <v>0</v>
      </c>
      <c r="AJ40" s="13">
        <f>+'Internal Wall'!AT93</f>
        <v>0</v>
      </c>
      <c r="AK40" s="13">
        <f>+'Internal Wall'!AU93</f>
        <v>0</v>
      </c>
      <c r="AL40" s="13">
        <f>+'Internal Wall'!AV93</f>
        <v>0</v>
      </c>
      <c r="AM40" s="13">
        <f>+'Internal Wall'!AW93</f>
        <v>0</v>
      </c>
      <c r="AN40" s="13">
        <f>+'Internal Wall'!AX93</f>
        <v>0</v>
      </c>
      <c r="AO40" s="13">
        <f>+'Internal Wall'!AY93</f>
        <v>0</v>
      </c>
      <c r="AP40" s="13">
        <f>+'Internal Wall'!AZ93</f>
        <v>0</v>
      </c>
      <c r="AQ40" s="13">
        <f>+'Internal Wall'!BA93</f>
        <v>0</v>
      </c>
      <c r="AR40" s="13">
        <f>+'Internal Wall'!BB93</f>
        <v>0</v>
      </c>
      <c r="AS40" s="13">
        <f>+'Internal Wall'!BC93</f>
        <v>0</v>
      </c>
      <c r="AT40" s="13">
        <f>+'Internal Wall'!BD93</f>
        <v>0</v>
      </c>
      <c r="AU40" s="13">
        <f>+'Internal Wall'!BE93</f>
        <v>0</v>
      </c>
      <c r="AV40" s="13">
        <f>+'Internal Wall'!BF93</f>
        <v>16.399999999999999</v>
      </c>
      <c r="AW40" s="13">
        <f>+'Internal Wall'!BG93</f>
        <v>0</v>
      </c>
      <c r="AX40" s="13">
        <f>+'Internal Wall'!BH93</f>
        <v>0</v>
      </c>
      <c r="AY40" s="13">
        <f>+'Internal Wall'!BI93</f>
        <v>0</v>
      </c>
      <c r="AZ40" s="13">
        <f>+'Internal Wall'!BJ93</f>
        <v>0</v>
      </c>
      <c r="BA40" s="13">
        <f>+'Internal Wall'!BK93</f>
        <v>0</v>
      </c>
      <c r="BB40" s="13">
        <f>+'Internal Wall'!BL93</f>
        <v>0</v>
      </c>
      <c r="BC40" s="13">
        <f>+'Internal Wall'!BM93</f>
        <v>0</v>
      </c>
      <c r="BD40" s="13">
        <f>+'Internal Wall'!BN93</f>
        <v>0</v>
      </c>
      <c r="BE40" s="13">
        <f>+'Internal Wall'!BO93</f>
        <v>0</v>
      </c>
      <c r="BF40" s="13">
        <f>+'Internal Wall'!BP93</f>
        <v>0</v>
      </c>
      <c r="BG40" s="13">
        <f>+'Internal Wall'!BQ93</f>
        <v>0</v>
      </c>
      <c r="BH40" s="13">
        <f>+'Internal Wall'!BR93</f>
        <v>0</v>
      </c>
      <c r="BI40" s="13">
        <f>+'Internal Wall'!BS93</f>
        <v>0</v>
      </c>
      <c r="BJ40" s="13">
        <f>+'Internal Wall'!BT93</f>
        <v>0</v>
      </c>
      <c r="BK40" s="13">
        <f>+'Internal Wall'!BU93</f>
        <v>0</v>
      </c>
      <c r="BL40" s="274">
        <f>+'Internal Wall'!BV93</f>
        <v>16</v>
      </c>
      <c r="BM40" s="295">
        <f>+'Internal Wall'!IR93</f>
        <v>0</v>
      </c>
      <c r="BN40" s="73">
        <f>+'Internal Wall'!BX93</f>
        <v>15</v>
      </c>
      <c r="BO40" s="13">
        <f>+'Internal Wall'!BY93</f>
        <v>14</v>
      </c>
      <c r="BP40" s="13">
        <f>+'Internal Wall'!BZ93</f>
        <v>0</v>
      </c>
      <c r="BQ40" s="13">
        <f>+'Internal Wall'!CA93</f>
        <v>0</v>
      </c>
      <c r="BR40" s="13">
        <f>+'Internal Wall'!CB93</f>
        <v>28</v>
      </c>
      <c r="BS40" s="13">
        <f>+'Internal Wall'!CC93</f>
        <v>0</v>
      </c>
      <c r="BT40" s="13">
        <f>+'Internal Wall'!CD93</f>
        <v>0</v>
      </c>
      <c r="BU40" s="13">
        <f>+'Internal Wall'!CE93</f>
        <v>0</v>
      </c>
      <c r="BV40" s="13">
        <f>+'Internal Wall'!CF93</f>
        <v>16.5</v>
      </c>
      <c r="BW40" s="13">
        <f>+'Internal Wall'!CG93</f>
        <v>0</v>
      </c>
      <c r="BX40" s="13">
        <f>+'Internal Wall'!CH93</f>
        <v>0</v>
      </c>
      <c r="BY40" s="13">
        <f>+'Internal Wall'!CI93</f>
        <v>0</v>
      </c>
      <c r="BZ40" s="13">
        <f>+'Internal Wall'!CJ93</f>
        <v>24.1</v>
      </c>
      <c r="CA40" s="13">
        <f>+'Internal Wall'!CK93</f>
        <v>0</v>
      </c>
      <c r="CB40" s="13">
        <f>+'Internal Wall'!CL93</f>
        <v>10</v>
      </c>
      <c r="CC40" s="13">
        <f>+'Internal Wall'!CM93</f>
        <v>6.9</v>
      </c>
      <c r="CD40" s="13">
        <f>+'Internal Wall'!CN93</f>
        <v>0</v>
      </c>
      <c r="CE40" s="13">
        <f>+'Internal Wall'!CO93</f>
        <v>6</v>
      </c>
      <c r="CF40" s="13">
        <f>+'Internal Wall'!CP93</f>
        <v>43.2</v>
      </c>
      <c r="CG40" s="13">
        <f>+'Internal Wall'!CQ93</f>
        <v>0</v>
      </c>
      <c r="CH40" s="13">
        <f>+'Internal Wall'!CR93</f>
        <v>19.5</v>
      </c>
      <c r="CI40" s="13">
        <f>+'Internal Wall'!CS93</f>
        <v>25.8</v>
      </c>
      <c r="CJ40" s="13">
        <f>+'Internal Wall'!CT93</f>
        <v>0</v>
      </c>
      <c r="CK40" s="13">
        <f>+'Internal Wall'!CU93</f>
        <v>0</v>
      </c>
      <c r="CL40" s="13">
        <f>+'Internal Wall'!CV93</f>
        <v>24</v>
      </c>
      <c r="CM40" s="13">
        <f>+'Internal Wall'!CW93</f>
        <v>6</v>
      </c>
      <c r="CN40" s="13">
        <f>+'Internal Wall'!CX93</f>
        <v>0</v>
      </c>
      <c r="CO40" s="13">
        <f>+'Internal Wall'!CY93</f>
        <v>0</v>
      </c>
      <c r="CP40" s="13">
        <f>+'Internal Wall'!CZ93</f>
        <v>0</v>
      </c>
      <c r="CQ40" s="101">
        <f>+'Internal Wall'!DA93</f>
        <v>0</v>
      </c>
      <c r="CR40" s="73">
        <f>+'Internal Wall'!DB93</f>
        <v>0</v>
      </c>
      <c r="CS40" s="13">
        <f>+'Internal Wall'!DC93</f>
        <v>17.899999999999999</v>
      </c>
      <c r="CT40" s="13">
        <f>+'Internal Wall'!DD93</f>
        <v>0</v>
      </c>
      <c r="CU40" s="13">
        <f>+'Internal Wall'!DE93</f>
        <v>21.5</v>
      </c>
      <c r="CV40" s="13">
        <f>+'Internal Wall'!DF93</f>
        <v>0</v>
      </c>
      <c r="CW40" s="13">
        <f>+'Internal Wall'!DG93</f>
        <v>16</v>
      </c>
      <c r="CX40" s="13">
        <f>+'Internal Wall'!DH93</f>
        <v>0</v>
      </c>
      <c r="CY40" s="13">
        <f>+'Internal Wall'!DI93</f>
        <v>0</v>
      </c>
      <c r="CZ40" s="13">
        <f>+'Internal Wall'!DJ93</f>
        <v>13</v>
      </c>
      <c r="DA40" s="13">
        <f>+'Internal Wall'!DK93</f>
        <v>0</v>
      </c>
      <c r="DB40" s="13">
        <f>+'Internal Wall'!DL93</f>
        <v>10.5</v>
      </c>
      <c r="DC40" s="13">
        <f>+'Internal Wall'!DM93</f>
        <v>0</v>
      </c>
      <c r="DD40" s="13">
        <f>+'Internal Wall'!DN93</f>
        <v>6.05</v>
      </c>
      <c r="DE40" s="13">
        <f>+'Internal Wall'!DO93</f>
        <v>13.75</v>
      </c>
      <c r="DF40" s="13">
        <f>+'Internal Wall'!DP93</f>
        <v>0</v>
      </c>
      <c r="DG40" s="13">
        <f>+'Internal Wall'!DQ93</f>
        <v>44.1</v>
      </c>
      <c r="DH40" s="13">
        <f>+'Internal Wall'!DR93</f>
        <v>9.3000000000000007</v>
      </c>
      <c r="DI40" s="13">
        <f>+'Internal Wall'!DS93</f>
        <v>9</v>
      </c>
      <c r="DJ40" s="13">
        <f>+'Internal Wall'!DT93</f>
        <v>14</v>
      </c>
      <c r="DK40" s="13">
        <f>+'Internal Wall'!DU93</f>
        <v>6.6</v>
      </c>
      <c r="DL40" s="13">
        <f>+'Internal Wall'!DV93</f>
        <v>0</v>
      </c>
      <c r="DM40" s="13">
        <f>+'Internal Wall'!DW93</f>
        <v>0</v>
      </c>
      <c r="DN40" s="13">
        <f>+'Internal Wall'!DX93</f>
        <v>33.6</v>
      </c>
      <c r="DO40" s="13">
        <f>+'Internal Wall'!DY93</f>
        <v>0</v>
      </c>
      <c r="DP40" s="13">
        <f>+'Internal Wall'!DZ93</f>
        <v>0</v>
      </c>
      <c r="DQ40" s="13">
        <f>+'Internal Wall'!EA93</f>
        <v>0</v>
      </c>
      <c r="DR40" s="13">
        <f>+'Internal Wall'!EB93</f>
        <v>0</v>
      </c>
      <c r="DS40" s="13">
        <f>+'Internal Wall'!EC93</f>
        <v>0</v>
      </c>
      <c r="DT40" s="13">
        <f>+'Internal Wall'!ED93</f>
        <v>0</v>
      </c>
      <c r="DU40" s="13">
        <f>+'Internal Wall'!EE93</f>
        <v>0</v>
      </c>
      <c r="DV40" s="274">
        <f>+'Internal Wall'!EF93</f>
        <v>14.3</v>
      </c>
      <c r="DW40" s="73">
        <f>+'Internal Wall'!EG93</f>
        <v>6</v>
      </c>
      <c r="DX40" s="13">
        <f>+'Internal Wall'!EH93</f>
        <v>12.25</v>
      </c>
      <c r="DY40" s="13">
        <f>+'Internal Wall'!EI93</f>
        <v>0</v>
      </c>
      <c r="DZ40" s="13">
        <f>+'Internal Wall'!EJ93</f>
        <v>11.05</v>
      </c>
      <c r="EA40" s="13">
        <f>+'Internal Wall'!EK93</f>
        <v>0</v>
      </c>
      <c r="EB40" s="13">
        <f>+'Internal Wall'!EL93</f>
        <v>9.5</v>
      </c>
      <c r="EC40" s="13">
        <f>+'Internal Wall'!EM93</f>
        <v>9.85</v>
      </c>
      <c r="ED40" s="13">
        <f>+'Internal Wall'!EN93</f>
        <v>14</v>
      </c>
      <c r="EE40" s="13">
        <f>+'Internal Wall'!EO93</f>
        <v>3</v>
      </c>
      <c r="EF40" s="13">
        <f>+'Internal Wall'!EP93</f>
        <v>0</v>
      </c>
      <c r="EG40" s="13">
        <f>+'Internal Wall'!EQ93</f>
        <v>14</v>
      </c>
      <c r="EH40" s="13">
        <f>+'Internal Wall'!ER93</f>
        <v>0</v>
      </c>
      <c r="EI40" s="13">
        <f>+'Internal Wall'!ES93</f>
        <v>0</v>
      </c>
      <c r="EJ40" s="13">
        <f>+'Internal Wall'!ET93</f>
        <v>0</v>
      </c>
      <c r="EK40" s="13">
        <f>+'Internal Wall'!EU93</f>
        <v>0</v>
      </c>
      <c r="EL40" s="13">
        <f>+'Internal Wall'!EV93</f>
        <v>24.55</v>
      </c>
      <c r="EM40" s="13">
        <f>+'Internal Wall'!EW93</f>
        <v>11.4</v>
      </c>
      <c r="EN40" s="13">
        <f>+'Internal Wall'!EX93</f>
        <v>13.5</v>
      </c>
      <c r="EO40" s="13">
        <f>+'Internal Wall'!EY93</f>
        <v>0</v>
      </c>
      <c r="EP40" s="13">
        <f>+'Internal Wall'!EZ93</f>
        <v>7.5</v>
      </c>
      <c r="EQ40" s="13">
        <f>+'Internal Wall'!FA93</f>
        <v>0</v>
      </c>
      <c r="ER40" s="13">
        <f>+'Internal Wall'!FB93</f>
        <v>6</v>
      </c>
      <c r="ES40" s="13">
        <f>+'Internal Wall'!FC93</f>
        <v>1</v>
      </c>
      <c r="ET40" s="13">
        <f>+'Internal Wall'!FD93</f>
        <v>8.75</v>
      </c>
      <c r="EU40" s="13">
        <f>+'Internal Wall'!FE93</f>
        <v>5.5</v>
      </c>
      <c r="EV40" s="13">
        <f>+'Internal Wall'!FF93</f>
        <v>0</v>
      </c>
      <c r="EW40" s="13">
        <f>+'Internal Wall'!FG93</f>
        <v>10.5</v>
      </c>
      <c r="EX40" s="13">
        <f>+'Internal Wall'!FH93</f>
        <v>0</v>
      </c>
      <c r="EY40" s="13">
        <f>+'Internal Wall'!FI93</f>
        <v>0</v>
      </c>
      <c r="EZ40" s="101">
        <f>+'Internal Wall'!FJ93</f>
        <v>10.4</v>
      </c>
      <c r="FA40" s="73">
        <f>+'Internal Wall'!FK93</f>
        <v>0</v>
      </c>
      <c r="FB40" s="13">
        <f>+'Internal Wall'!FL93</f>
        <v>7.5</v>
      </c>
      <c r="FC40" s="13">
        <f>+'Internal Wall'!FM93</f>
        <v>0</v>
      </c>
      <c r="FD40" s="13">
        <f>+'Internal Wall'!FN93</f>
        <v>0</v>
      </c>
      <c r="FE40" s="13">
        <f>+'Internal Wall'!FO93</f>
        <v>0</v>
      </c>
      <c r="FF40" s="13">
        <f>+'Internal Wall'!FP93</f>
        <v>0</v>
      </c>
      <c r="FG40" s="13">
        <f>+'Internal Wall'!FQ93</f>
        <v>0</v>
      </c>
      <c r="FH40" s="13">
        <f>+'Internal Wall'!FR93</f>
        <v>10</v>
      </c>
      <c r="FI40" s="13">
        <f>+'Internal Wall'!FS93</f>
        <v>0</v>
      </c>
      <c r="FJ40" s="13">
        <f>+'Internal Wall'!FT93</f>
        <v>0</v>
      </c>
      <c r="FK40" s="13">
        <f>+'Internal Wall'!FU93</f>
        <v>0</v>
      </c>
      <c r="FL40" s="13">
        <f>+'Internal Wall'!FV93</f>
        <v>0</v>
      </c>
      <c r="FM40" s="13">
        <f>+'Internal Wall'!FW93</f>
        <v>0</v>
      </c>
      <c r="FN40" s="13">
        <f>+'Internal Wall'!FX93</f>
        <v>8.75</v>
      </c>
      <c r="FO40" s="13">
        <f>+'Internal Wall'!FY93</f>
        <v>0</v>
      </c>
      <c r="FP40" s="13">
        <f>+'Internal Wall'!FZ93</f>
        <v>0</v>
      </c>
      <c r="FQ40" s="13">
        <f>+'Internal Wall'!GA93</f>
        <v>4.75</v>
      </c>
      <c r="FR40" s="13">
        <f>+'Internal Wall'!GB93</f>
        <v>0</v>
      </c>
      <c r="FS40" s="13">
        <f>+'Internal Wall'!GC93</f>
        <v>0</v>
      </c>
      <c r="FT40" s="13">
        <f>+'Internal Wall'!GD93</f>
        <v>0</v>
      </c>
      <c r="FU40" s="13">
        <f>+'Internal Wall'!GE93</f>
        <v>9.5</v>
      </c>
      <c r="FV40" s="13">
        <f>+'Internal Wall'!GF93</f>
        <v>7.75</v>
      </c>
      <c r="FW40" s="13">
        <f>+'Internal Wall'!GG93</f>
        <v>5.5</v>
      </c>
      <c r="FX40" s="13">
        <f>+'Internal Wall'!GH93</f>
        <v>0</v>
      </c>
      <c r="FY40" s="13">
        <f>+'Internal Wall'!GI93</f>
        <v>0</v>
      </c>
      <c r="FZ40" s="13">
        <f>+'Internal Wall'!GJ93</f>
        <v>0</v>
      </c>
      <c r="GA40" s="13">
        <f>+'Internal Wall'!GK93</f>
        <v>0</v>
      </c>
      <c r="GB40" s="13">
        <f>+'Internal Wall'!GL93</f>
        <v>0</v>
      </c>
      <c r="GC40" s="13">
        <f>+'Internal Wall'!GM93</f>
        <v>0</v>
      </c>
      <c r="GD40" s="13">
        <f>+'Internal Wall'!GN93</f>
        <v>0</v>
      </c>
      <c r="GE40" s="101">
        <f>+'Internal Wall'!GO93</f>
        <v>0</v>
      </c>
      <c r="GF40" s="73">
        <f>+'Internal Wall'!GP93</f>
        <v>0</v>
      </c>
      <c r="GG40" s="13">
        <f>+'Internal Wall'!GQ93</f>
        <v>10.199999999999999</v>
      </c>
      <c r="GH40" s="13">
        <f>+'Internal Wall'!GR93</f>
        <v>0</v>
      </c>
      <c r="GI40" s="13">
        <f>+'Internal Wall'!GS93</f>
        <v>0</v>
      </c>
      <c r="GJ40" s="13">
        <f>+'Internal Wall'!GT93</f>
        <v>0</v>
      </c>
      <c r="GK40" s="13">
        <f>+'Internal Wall'!GU93</f>
        <v>1.4</v>
      </c>
      <c r="GL40" s="13">
        <f>+'Internal Wall'!GV93</f>
        <v>0</v>
      </c>
      <c r="GM40" s="13">
        <f>+'Internal Wall'!GW93</f>
        <v>0</v>
      </c>
      <c r="GN40" s="13">
        <f>+'Internal Wall'!GX93</f>
        <v>0</v>
      </c>
      <c r="GO40" s="13">
        <f>+'Internal Wall'!GY93</f>
        <v>0</v>
      </c>
      <c r="GP40" s="13">
        <f>+'Internal Wall'!GZ93</f>
        <v>26</v>
      </c>
      <c r="GQ40" s="13">
        <f>+'Internal Wall'!HA93</f>
        <v>0</v>
      </c>
      <c r="GR40" s="13">
        <f>+'Internal Wall'!HB93</f>
        <v>0</v>
      </c>
      <c r="GS40" s="13">
        <f>+'Internal Wall'!HC93</f>
        <v>0</v>
      </c>
      <c r="GT40" s="13">
        <f>+'Internal Wall'!HD93</f>
        <v>0</v>
      </c>
      <c r="GU40" s="13">
        <f>+'Internal Wall'!HE93</f>
        <v>0</v>
      </c>
      <c r="GV40" s="13">
        <f>+'Internal Wall'!HF93</f>
        <v>0</v>
      </c>
      <c r="GW40" s="13">
        <f>+'Internal Wall'!HG93</f>
        <v>0</v>
      </c>
      <c r="GX40" s="13">
        <f>+'Internal Wall'!HH93</f>
        <v>0</v>
      </c>
      <c r="GY40" s="101">
        <f>+'Internal Wall'!HI93</f>
        <v>0</v>
      </c>
      <c r="GZ40" s="451"/>
    </row>
    <row r="41" spans="1:208" ht="15" hidden="1" customHeight="1" thickBot="1" x14ac:dyDescent="0.4">
      <c r="A41" s="479"/>
      <c r="B41" s="474"/>
      <c r="C41" s="23" t="s">
        <v>83</v>
      </c>
      <c r="D41" s="2" t="s">
        <v>87</v>
      </c>
      <c r="E41" s="73">
        <f>+'External Wall'!O43</f>
        <v>0</v>
      </c>
      <c r="F41" s="13">
        <f>+'External Wall'!P43</f>
        <v>0</v>
      </c>
      <c r="G41" s="13">
        <f>+'External Wall'!Q43</f>
        <v>0</v>
      </c>
      <c r="H41" s="13">
        <f>+'External Wall'!R43</f>
        <v>0</v>
      </c>
      <c r="I41" s="13">
        <f>+'External Wall'!S43</f>
        <v>0</v>
      </c>
      <c r="J41" s="13">
        <f>+'External Wall'!T43</f>
        <v>0</v>
      </c>
      <c r="K41" s="13">
        <f>+'External Wall'!U43</f>
        <v>0</v>
      </c>
      <c r="L41" s="13">
        <f>+'External Wall'!V43</f>
        <v>0</v>
      </c>
      <c r="M41" s="13">
        <f>+'External Wall'!W43</f>
        <v>0</v>
      </c>
      <c r="N41" s="13">
        <f>+'External Wall'!X43</f>
        <v>0</v>
      </c>
      <c r="O41" s="13">
        <f>+'External Wall'!Y43</f>
        <v>0</v>
      </c>
      <c r="P41" s="13">
        <f>+'External Wall'!Z43</f>
        <v>0</v>
      </c>
      <c r="Q41" s="13">
        <f>+'External Wall'!AA43</f>
        <v>0</v>
      </c>
      <c r="R41" s="13">
        <f>+'External Wall'!AB43</f>
        <v>0</v>
      </c>
      <c r="S41" s="13">
        <f>+'External Wall'!AC43</f>
        <v>0</v>
      </c>
      <c r="T41" s="13">
        <f>+'External Wall'!AD43</f>
        <v>0</v>
      </c>
      <c r="U41" s="13">
        <f>+'External Wall'!AE43</f>
        <v>0</v>
      </c>
      <c r="V41" s="13">
        <f>+'External Wall'!AF43</f>
        <v>0</v>
      </c>
      <c r="W41" s="13">
        <f>+'External Wall'!AG43</f>
        <v>0</v>
      </c>
      <c r="X41" s="13">
        <f>+'External Wall'!AH43</f>
        <v>0</v>
      </c>
      <c r="Y41" s="13">
        <f>+'External Wall'!AI43</f>
        <v>0</v>
      </c>
      <c r="Z41" s="13">
        <f>+'External Wall'!AJ43</f>
        <v>0</v>
      </c>
      <c r="AA41" s="13">
        <f>+'External Wall'!AK43</f>
        <v>0</v>
      </c>
      <c r="AB41" s="13">
        <f>+'External Wall'!AL43</f>
        <v>0</v>
      </c>
      <c r="AC41" s="13">
        <f>+'External Wall'!AM43</f>
        <v>0</v>
      </c>
      <c r="AD41" s="13">
        <f>+'External Wall'!AN43</f>
        <v>0</v>
      </c>
      <c r="AE41" s="13">
        <f>+'External Wall'!AO43</f>
        <v>0</v>
      </c>
      <c r="AF41" s="274">
        <f>+'External Wall'!AP43</f>
        <v>0</v>
      </c>
      <c r="AG41" s="162">
        <f>+'External Wall'!AQ43</f>
        <v>0</v>
      </c>
      <c r="AH41" s="73">
        <f>+'External Wall'!AR43</f>
        <v>0</v>
      </c>
      <c r="AI41" s="13">
        <f>+'External Wall'!AS43</f>
        <v>0</v>
      </c>
      <c r="AJ41" s="13">
        <f>+'External Wall'!AT43</f>
        <v>0</v>
      </c>
      <c r="AK41" s="13">
        <f>+'External Wall'!AU43</f>
        <v>0</v>
      </c>
      <c r="AL41" s="13">
        <f>+'External Wall'!AV43</f>
        <v>0</v>
      </c>
      <c r="AM41" s="13">
        <f>+'External Wall'!AW43</f>
        <v>0</v>
      </c>
      <c r="AN41" s="13">
        <f>+'External Wall'!AX43</f>
        <v>0</v>
      </c>
      <c r="AO41" s="13">
        <f>+'External Wall'!AY43</f>
        <v>0</v>
      </c>
      <c r="AP41" s="13">
        <f>+'External Wall'!AZ43</f>
        <v>21.4</v>
      </c>
      <c r="AQ41" s="13">
        <f>+'External Wall'!BA43</f>
        <v>0</v>
      </c>
      <c r="AR41" s="13">
        <f>+'External Wall'!BB43</f>
        <v>0</v>
      </c>
      <c r="AS41" s="13">
        <f>+'External Wall'!BC43</f>
        <v>0</v>
      </c>
      <c r="AT41" s="13">
        <f>+'External Wall'!BD43</f>
        <v>0</v>
      </c>
      <c r="AU41" s="13">
        <f>+'External Wall'!BE43</f>
        <v>0</v>
      </c>
      <c r="AV41" s="13">
        <f>+'External Wall'!BF43</f>
        <v>8</v>
      </c>
      <c r="AW41" s="13">
        <f>+'External Wall'!BG43</f>
        <v>0</v>
      </c>
      <c r="AX41" s="13">
        <f>+'External Wall'!BH43</f>
        <v>0</v>
      </c>
      <c r="AY41" s="13">
        <f>+'External Wall'!BI43</f>
        <v>0</v>
      </c>
      <c r="AZ41" s="13">
        <f>+'External Wall'!BJ43</f>
        <v>0</v>
      </c>
      <c r="BA41" s="13">
        <f>+'External Wall'!BK43</f>
        <v>0</v>
      </c>
      <c r="BB41" s="13">
        <f>+'External Wall'!BL43</f>
        <v>0</v>
      </c>
      <c r="BC41" s="13">
        <f>+'External Wall'!BM43</f>
        <v>0</v>
      </c>
      <c r="BD41" s="13">
        <f>+'External Wall'!BN43</f>
        <v>0</v>
      </c>
      <c r="BE41" s="13">
        <f>+'External Wall'!BO43</f>
        <v>8.1</v>
      </c>
      <c r="BF41" s="13">
        <f>+'External Wall'!BP43</f>
        <v>0</v>
      </c>
      <c r="BG41" s="13">
        <f>+'External Wall'!BQ43</f>
        <v>0</v>
      </c>
      <c r="BH41" s="13">
        <f>+'External Wall'!BR43</f>
        <v>0</v>
      </c>
      <c r="BI41" s="13">
        <f>+'External Wall'!BS43</f>
        <v>4.9000000000000004</v>
      </c>
      <c r="BJ41" s="13">
        <f>+'External Wall'!BT43</f>
        <v>0</v>
      </c>
      <c r="BK41" s="13">
        <f>+'External Wall'!BU43</f>
        <v>3.9</v>
      </c>
      <c r="BL41" s="274">
        <f>+'External Wall'!BV43</f>
        <v>0</v>
      </c>
      <c r="BM41" s="295">
        <f>+'External Wall'!BW43</f>
        <v>0</v>
      </c>
      <c r="BN41" s="73">
        <f>+'External Wall'!BX43</f>
        <v>0</v>
      </c>
      <c r="BO41" s="13">
        <f>+'External Wall'!BY43</f>
        <v>0</v>
      </c>
      <c r="BP41" s="13">
        <f>+'External Wall'!BZ43</f>
        <v>0</v>
      </c>
      <c r="BQ41" s="13">
        <f>+'External Wall'!CA43</f>
        <v>0</v>
      </c>
      <c r="BR41" s="13">
        <f>+'External Wall'!CB43</f>
        <v>0</v>
      </c>
      <c r="BS41" s="13">
        <f>+'External Wall'!CC43</f>
        <v>0</v>
      </c>
      <c r="BT41" s="13">
        <f>+'External Wall'!CD43</f>
        <v>0</v>
      </c>
      <c r="BU41" s="13">
        <f>+'External Wall'!CE43</f>
        <v>0</v>
      </c>
      <c r="BV41" s="13">
        <f>+'External Wall'!CF43</f>
        <v>0</v>
      </c>
      <c r="BW41" s="13">
        <f>+'External Wall'!CG43</f>
        <v>0</v>
      </c>
      <c r="BX41" s="13">
        <f>+'External Wall'!CH43</f>
        <v>0</v>
      </c>
      <c r="BY41" s="13">
        <f>+'External Wall'!CI43</f>
        <v>0</v>
      </c>
      <c r="BZ41" s="13">
        <f>+'External Wall'!CJ43</f>
        <v>0</v>
      </c>
      <c r="CA41" s="13">
        <f>+'External Wall'!CK43</f>
        <v>0</v>
      </c>
      <c r="CB41" s="13">
        <f>+'External Wall'!CL43</f>
        <v>0</v>
      </c>
      <c r="CC41" s="13">
        <f>+'External Wall'!CM43</f>
        <v>6.3</v>
      </c>
      <c r="CD41" s="13">
        <f>+'External Wall'!CN43</f>
        <v>0</v>
      </c>
      <c r="CE41" s="13">
        <f>+'External Wall'!CO43</f>
        <v>0</v>
      </c>
      <c r="CF41" s="13">
        <f>+'External Wall'!CP43</f>
        <v>0</v>
      </c>
      <c r="CG41" s="13">
        <f>+'External Wall'!CQ43</f>
        <v>0</v>
      </c>
      <c r="CH41" s="13">
        <f>+'External Wall'!CR43</f>
        <v>0</v>
      </c>
      <c r="CI41" s="13">
        <f>+'External Wall'!CS43</f>
        <v>0</v>
      </c>
      <c r="CJ41" s="13">
        <f>+'External Wall'!CT43</f>
        <v>0</v>
      </c>
      <c r="CK41" s="13">
        <f>+'External Wall'!CU43</f>
        <v>0</v>
      </c>
      <c r="CL41" s="13">
        <f>+'External Wall'!CV43</f>
        <v>0</v>
      </c>
      <c r="CM41" s="13">
        <f>+'External Wall'!CW43</f>
        <v>0</v>
      </c>
      <c r="CN41" s="13">
        <f>+'External Wall'!CX43</f>
        <v>0</v>
      </c>
      <c r="CO41" s="13">
        <f>+'External Wall'!CY43</f>
        <v>0</v>
      </c>
      <c r="CP41" s="13">
        <f>+'External Wall'!CZ43</f>
        <v>0</v>
      </c>
      <c r="CQ41" s="101">
        <f>+'External Wall'!DA43</f>
        <v>0</v>
      </c>
      <c r="CR41" s="73">
        <f>+'External Wall'!DB43</f>
        <v>0</v>
      </c>
      <c r="CS41" s="13">
        <f>+'External Wall'!DC43</f>
        <v>0</v>
      </c>
      <c r="CT41" s="13">
        <f>+'External Wall'!DD43</f>
        <v>0</v>
      </c>
      <c r="CU41" s="13">
        <f>+'External Wall'!DE43</f>
        <v>0</v>
      </c>
      <c r="CV41" s="13">
        <f>+'External Wall'!DF43</f>
        <v>0</v>
      </c>
      <c r="CW41" s="13">
        <f>+'External Wall'!DG43</f>
        <v>0</v>
      </c>
      <c r="CX41" s="13">
        <f>+'External Wall'!DH43</f>
        <v>0</v>
      </c>
      <c r="CY41" s="13">
        <f>+'External Wall'!DI43</f>
        <v>0</v>
      </c>
      <c r="CZ41" s="13">
        <f>+'External Wall'!DJ43</f>
        <v>0</v>
      </c>
      <c r="DA41" s="13">
        <f>+'External Wall'!DK43</f>
        <v>0</v>
      </c>
      <c r="DB41" s="13">
        <f>+'External Wall'!DL43</f>
        <v>0</v>
      </c>
      <c r="DC41" s="13">
        <f>+'External Wall'!DM43</f>
        <v>0</v>
      </c>
      <c r="DD41" s="13">
        <f>+'External Wall'!DN43</f>
        <v>0</v>
      </c>
      <c r="DE41" s="13">
        <f>+'External Wall'!DO43</f>
        <v>0</v>
      </c>
      <c r="DF41" s="13">
        <f>+'External Wall'!DP43</f>
        <v>0</v>
      </c>
      <c r="DG41" s="13">
        <f>+'External Wall'!DQ43</f>
        <v>0</v>
      </c>
      <c r="DH41" s="13">
        <f>+'External Wall'!DR43</f>
        <v>0</v>
      </c>
      <c r="DI41" s="13">
        <f>+'External Wall'!DS43</f>
        <v>0</v>
      </c>
      <c r="DJ41" s="13">
        <f>+'External Wall'!DT43</f>
        <v>0</v>
      </c>
      <c r="DK41" s="13">
        <f>+'External Wall'!DU43</f>
        <v>0</v>
      </c>
      <c r="DL41" s="13">
        <f>+'External Wall'!DV43</f>
        <v>0</v>
      </c>
      <c r="DM41" s="13">
        <f>+'External Wall'!DW43</f>
        <v>0</v>
      </c>
      <c r="DN41" s="13">
        <f>+'External Wall'!DX43</f>
        <v>0</v>
      </c>
      <c r="DO41" s="13">
        <f>+'External Wall'!DY43</f>
        <v>0</v>
      </c>
      <c r="DP41" s="13">
        <f>+'External Wall'!DZ43</f>
        <v>0</v>
      </c>
      <c r="DQ41" s="13">
        <f>+'External Wall'!EA43</f>
        <v>0</v>
      </c>
      <c r="DR41" s="13">
        <f>+'External Wall'!EB43</f>
        <v>0</v>
      </c>
      <c r="DS41" s="13">
        <f>+'External Wall'!EC43</f>
        <v>0</v>
      </c>
      <c r="DT41" s="13">
        <f>+'External Wall'!ED43</f>
        <v>0</v>
      </c>
      <c r="DU41" s="13">
        <f>+'External Wall'!EE43</f>
        <v>0</v>
      </c>
      <c r="DV41" s="274">
        <f>+'External Wall'!EF43</f>
        <v>0</v>
      </c>
      <c r="DW41" s="73">
        <f>+'External Wall'!EG43</f>
        <v>0</v>
      </c>
      <c r="DX41" s="13">
        <f>+'External Wall'!EH43</f>
        <v>0</v>
      </c>
      <c r="DY41" s="13">
        <f>+'External Wall'!EI43</f>
        <v>0</v>
      </c>
      <c r="DZ41" s="13">
        <f>+'External Wall'!EJ43</f>
        <v>0</v>
      </c>
      <c r="EA41" s="13">
        <f>+'External Wall'!EK43</f>
        <v>0</v>
      </c>
      <c r="EB41" s="13">
        <f>+'External Wall'!EL43</f>
        <v>0</v>
      </c>
      <c r="EC41" s="13">
        <f>+'External Wall'!EM43</f>
        <v>0</v>
      </c>
      <c r="ED41" s="13">
        <f>+'External Wall'!EN43</f>
        <v>0</v>
      </c>
      <c r="EE41" s="13">
        <f>+'External Wall'!EO43</f>
        <v>0</v>
      </c>
      <c r="EF41" s="13">
        <f>+'External Wall'!EP43</f>
        <v>0</v>
      </c>
      <c r="EG41" s="13">
        <f>+'External Wall'!EQ43</f>
        <v>0</v>
      </c>
      <c r="EH41" s="13">
        <f>+'External Wall'!ER43</f>
        <v>0</v>
      </c>
      <c r="EI41" s="13">
        <f>+'External Wall'!ES43</f>
        <v>0</v>
      </c>
      <c r="EJ41" s="13">
        <f>+'External Wall'!ET43</f>
        <v>0</v>
      </c>
      <c r="EK41" s="13">
        <f>+'External Wall'!EU43</f>
        <v>0</v>
      </c>
      <c r="EL41" s="13">
        <f>+'External Wall'!EV43</f>
        <v>0</v>
      </c>
      <c r="EM41" s="13">
        <f>+'External Wall'!EW43</f>
        <v>0</v>
      </c>
      <c r="EN41" s="13">
        <f>+'External Wall'!EX43</f>
        <v>0</v>
      </c>
      <c r="EO41" s="13">
        <f>+'External Wall'!EY43</f>
        <v>0</v>
      </c>
      <c r="EP41" s="13">
        <f>+'External Wall'!EZ43</f>
        <v>0</v>
      </c>
      <c r="EQ41" s="13">
        <f>+'External Wall'!FA43</f>
        <v>0</v>
      </c>
      <c r="ER41" s="13">
        <f>+'External Wall'!FB43</f>
        <v>0</v>
      </c>
      <c r="ES41" s="13">
        <f>+'External Wall'!FC43</f>
        <v>0</v>
      </c>
      <c r="ET41" s="13">
        <f>+'External Wall'!FD43</f>
        <v>0</v>
      </c>
      <c r="EU41" s="13">
        <f>+'External Wall'!FE43</f>
        <v>1.8</v>
      </c>
      <c r="EV41" s="13">
        <f>+'External Wall'!FF43</f>
        <v>0</v>
      </c>
      <c r="EW41" s="13">
        <f>+'External Wall'!FG43</f>
        <v>0</v>
      </c>
      <c r="EX41" s="13">
        <f>+'External Wall'!FH43</f>
        <v>0</v>
      </c>
      <c r="EY41" s="13">
        <f>+'External Wall'!FI43</f>
        <v>0</v>
      </c>
      <c r="EZ41" s="101">
        <f>+'External Wall'!FJ43</f>
        <v>0</v>
      </c>
      <c r="FA41" s="73">
        <f>+'External Wall'!FK43</f>
        <v>0</v>
      </c>
      <c r="FB41" s="13">
        <f>+'External Wall'!FL43</f>
        <v>0</v>
      </c>
      <c r="FC41" s="13">
        <f>+'External Wall'!FM43</f>
        <v>0</v>
      </c>
      <c r="FD41" s="13">
        <f>+'External Wall'!FN43</f>
        <v>0</v>
      </c>
      <c r="FE41" s="13">
        <f>+'External Wall'!FO43</f>
        <v>0</v>
      </c>
      <c r="FF41" s="13">
        <f>+'External Wall'!FP43</f>
        <v>0</v>
      </c>
      <c r="FG41" s="13">
        <f>+'External Wall'!FQ43</f>
        <v>0</v>
      </c>
      <c r="FH41" s="13">
        <f>+'External Wall'!FR43</f>
        <v>0</v>
      </c>
      <c r="FI41" s="13">
        <f>+'External Wall'!FS43</f>
        <v>0</v>
      </c>
      <c r="FJ41" s="13">
        <f>+'External Wall'!FT43</f>
        <v>0</v>
      </c>
      <c r="FK41" s="13">
        <f>+'External Wall'!FU43</f>
        <v>0</v>
      </c>
      <c r="FL41" s="13">
        <f>+'External Wall'!FV43</f>
        <v>0</v>
      </c>
      <c r="FM41" s="13">
        <f>+'External Wall'!FW43</f>
        <v>0</v>
      </c>
      <c r="FN41" s="13">
        <f>+'External Wall'!FX43</f>
        <v>0</v>
      </c>
      <c r="FO41" s="13">
        <f>+'External Wall'!FY43</f>
        <v>0</v>
      </c>
      <c r="FP41" s="13">
        <f>+'External Wall'!FZ43</f>
        <v>0</v>
      </c>
      <c r="FQ41" s="13">
        <f>+'External Wall'!GA43</f>
        <v>0</v>
      </c>
      <c r="FR41" s="13">
        <f>+'External Wall'!GB43</f>
        <v>0</v>
      </c>
      <c r="FS41" s="13">
        <f>+'External Wall'!GC43</f>
        <v>0</v>
      </c>
      <c r="FT41" s="13">
        <f>+'External Wall'!GD43</f>
        <v>0</v>
      </c>
      <c r="FU41" s="13">
        <f>+'External Wall'!GE43</f>
        <v>0</v>
      </c>
      <c r="FV41" s="13">
        <f>+'External Wall'!GF43</f>
        <v>0</v>
      </c>
      <c r="FW41" s="13">
        <f>+'External Wall'!GG43</f>
        <v>0</v>
      </c>
      <c r="FX41" s="13">
        <f>+'External Wall'!GH43</f>
        <v>0</v>
      </c>
      <c r="FY41" s="13">
        <f>+'External Wall'!GI43</f>
        <v>0</v>
      </c>
      <c r="FZ41" s="13">
        <f>+'External Wall'!GJ43</f>
        <v>0</v>
      </c>
      <c r="GA41" s="13">
        <f>+'External Wall'!GK43</f>
        <v>0</v>
      </c>
      <c r="GB41" s="13">
        <f>+'External Wall'!GL43</f>
        <v>0</v>
      </c>
      <c r="GC41" s="13">
        <f>+'External Wall'!GM43</f>
        <v>0</v>
      </c>
      <c r="GD41" s="13">
        <f>+'External Wall'!GN43</f>
        <v>0</v>
      </c>
      <c r="GE41" s="101">
        <f>+'External Wall'!GO43</f>
        <v>0</v>
      </c>
      <c r="GF41" s="73">
        <f>+'External Wall'!GP43</f>
        <v>0</v>
      </c>
      <c r="GG41" s="13">
        <f>+'External Wall'!GQ43</f>
        <v>0</v>
      </c>
      <c r="GH41" s="13">
        <f>+'External Wall'!GR43</f>
        <v>0</v>
      </c>
      <c r="GI41" s="13">
        <f>+'External Wall'!GS43</f>
        <v>0</v>
      </c>
      <c r="GJ41" s="13">
        <f>+'External Wall'!GT43</f>
        <v>0</v>
      </c>
      <c r="GK41" s="13">
        <f>+'External Wall'!GU43</f>
        <v>0</v>
      </c>
      <c r="GL41" s="13">
        <f>+'External Wall'!GV43</f>
        <v>0</v>
      </c>
      <c r="GM41" s="13">
        <f>+'External Wall'!GW43</f>
        <v>0</v>
      </c>
      <c r="GN41" s="13">
        <f>+'External Wall'!GX43</f>
        <v>26</v>
      </c>
      <c r="GO41" s="13">
        <f>+'External Wall'!GY43</f>
        <v>0</v>
      </c>
      <c r="GP41" s="13">
        <f>+'External Wall'!GZ43</f>
        <v>0</v>
      </c>
      <c r="GQ41" s="13">
        <f>+'External Wall'!HA43</f>
        <v>0</v>
      </c>
      <c r="GR41" s="13">
        <f>+'External Wall'!HB43</f>
        <v>36</v>
      </c>
      <c r="GS41" s="13">
        <f>+'External Wall'!HC43</f>
        <v>0</v>
      </c>
      <c r="GT41" s="13">
        <f>+'External Wall'!HD43</f>
        <v>0</v>
      </c>
      <c r="GU41" s="13">
        <f>+'External Wall'!HE43</f>
        <v>0</v>
      </c>
      <c r="GV41" s="13">
        <f>+'External Wall'!HF43</f>
        <v>0</v>
      </c>
      <c r="GW41" s="13">
        <f>+'External Wall'!HG43</f>
        <v>0</v>
      </c>
      <c r="GX41" s="13">
        <f>+'External Wall'!HH43</f>
        <v>0</v>
      </c>
      <c r="GY41" s="101">
        <f>+'External Wall'!HI43</f>
        <v>0</v>
      </c>
      <c r="GZ41" s="451"/>
    </row>
    <row r="42" spans="1:208" ht="15" hidden="1" customHeight="1" thickBot="1" x14ac:dyDescent="0.4">
      <c r="A42" s="480"/>
      <c r="B42" s="475"/>
      <c r="C42" s="196" t="s">
        <v>84</v>
      </c>
      <c r="D42" s="195" t="s">
        <v>88</v>
      </c>
      <c r="E42" s="197">
        <f>+Slab!O79</f>
        <v>0</v>
      </c>
      <c r="F42" s="198">
        <f>+Slab!P79</f>
        <v>0</v>
      </c>
      <c r="G42" s="198">
        <f>+Slab!Q79</f>
        <v>0</v>
      </c>
      <c r="H42" s="198">
        <f>+Slab!R79</f>
        <v>0</v>
      </c>
      <c r="I42" s="198">
        <f>+Slab!S79</f>
        <v>0</v>
      </c>
      <c r="J42" s="198">
        <f>+Slab!T79</f>
        <v>0</v>
      </c>
      <c r="K42" s="198">
        <f>+Slab!U79</f>
        <v>0</v>
      </c>
      <c r="L42" s="198">
        <f>+Slab!V79</f>
        <v>0</v>
      </c>
      <c r="M42" s="198">
        <f>+Slab!W79</f>
        <v>0</v>
      </c>
      <c r="N42" s="198">
        <f>+Slab!X79</f>
        <v>0</v>
      </c>
      <c r="O42" s="198">
        <f>+Slab!Y79</f>
        <v>0</v>
      </c>
      <c r="P42" s="198">
        <f>+Slab!Z79</f>
        <v>0</v>
      </c>
      <c r="Q42" s="198">
        <f>+Slab!AA79</f>
        <v>0</v>
      </c>
      <c r="R42" s="198">
        <f>+Slab!AB79</f>
        <v>0</v>
      </c>
      <c r="S42" s="198">
        <f>+Slab!AC79</f>
        <v>0</v>
      </c>
      <c r="T42" s="198">
        <f>+Slab!AD79</f>
        <v>0</v>
      </c>
      <c r="U42" s="198">
        <f>+Slab!AE79</f>
        <v>0</v>
      </c>
      <c r="V42" s="198">
        <f>+Slab!AF79</f>
        <v>0</v>
      </c>
      <c r="W42" s="198">
        <f>+Slab!AG79</f>
        <v>0</v>
      </c>
      <c r="X42" s="198">
        <f>+Slab!AH79</f>
        <v>0</v>
      </c>
      <c r="Y42" s="198">
        <f>+Slab!AI79</f>
        <v>0</v>
      </c>
      <c r="Z42" s="198">
        <f>+Slab!AJ79</f>
        <v>0</v>
      </c>
      <c r="AA42" s="198">
        <f>+Slab!AK79</f>
        <v>0</v>
      </c>
      <c r="AB42" s="198">
        <f>+Slab!AL79</f>
        <v>0</v>
      </c>
      <c r="AC42" s="198">
        <f>+Slab!AM79</f>
        <v>0</v>
      </c>
      <c r="AD42" s="198">
        <f>+Slab!AN79</f>
        <v>0</v>
      </c>
      <c r="AE42" s="198">
        <f>+Slab!AO79</f>
        <v>0</v>
      </c>
      <c r="AF42" s="287">
        <f>+Slab!AP79</f>
        <v>0</v>
      </c>
      <c r="AG42" s="200">
        <f>+Slab!AQ79</f>
        <v>0</v>
      </c>
      <c r="AH42" s="197">
        <f>+Slab!AR79</f>
        <v>0</v>
      </c>
      <c r="AI42" s="198">
        <f>+Slab!AS79</f>
        <v>0</v>
      </c>
      <c r="AJ42" s="198">
        <f>+Slab!AT79</f>
        <v>0</v>
      </c>
      <c r="AK42" s="198">
        <f>+Slab!AU79</f>
        <v>0</v>
      </c>
      <c r="AL42" s="198">
        <f>+Slab!AV79</f>
        <v>0</v>
      </c>
      <c r="AM42" s="198">
        <f>+Slab!AW79</f>
        <v>0</v>
      </c>
      <c r="AN42" s="198">
        <f>+Slab!AX79</f>
        <v>0</v>
      </c>
      <c r="AO42" s="198">
        <f>+Slab!AY79</f>
        <v>0</v>
      </c>
      <c r="AP42" s="198">
        <f>+Slab!AZ79</f>
        <v>0</v>
      </c>
      <c r="AQ42" s="198">
        <f>+Slab!BA79</f>
        <v>0</v>
      </c>
      <c r="AR42" s="198">
        <f>+Slab!BB79</f>
        <v>0</v>
      </c>
      <c r="AS42" s="198">
        <f>+Slab!BC79</f>
        <v>0</v>
      </c>
      <c r="AT42" s="198">
        <f>+Slab!BD79</f>
        <v>0</v>
      </c>
      <c r="AU42" s="198">
        <f>+Slab!BE79</f>
        <v>0</v>
      </c>
      <c r="AV42" s="198">
        <f>+Slab!BF79</f>
        <v>0</v>
      </c>
      <c r="AW42" s="198">
        <f>+Slab!BG79</f>
        <v>0</v>
      </c>
      <c r="AX42" s="198">
        <f>+Slab!BH79</f>
        <v>0</v>
      </c>
      <c r="AY42" s="198">
        <f>+Slab!BI79</f>
        <v>0</v>
      </c>
      <c r="AZ42" s="198">
        <f>+Slab!BJ79</f>
        <v>0</v>
      </c>
      <c r="BA42" s="198">
        <f>+Slab!BK79</f>
        <v>0</v>
      </c>
      <c r="BB42" s="198">
        <f>+Slab!BL79</f>
        <v>0</v>
      </c>
      <c r="BC42" s="198">
        <f>+Slab!BM79</f>
        <v>0</v>
      </c>
      <c r="BD42" s="198">
        <f>+Slab!BN79</f>
        <v>0</v>
      </c>
      <c r="BE42" s="198">
        <f>+Slab!BO79</f>
        <v>0</v>
      </c>
      <c r="BF42" s="198">
        <f>+Slab!BP79</f>
        <v>0</v>
      </c>
      <c r="BG42" s="198">
        <f>+Slab!BQ79</f>
        <v>0</v>
      </c>
      <c r="BH42" s="198">
        <f>+Slab!BR79</f>
        <v>0</v>
      </c>
      <c r="BI42" s="198">
        <f>+Slab!BS79</f>
        <v>0</v>
      </c>
      <c r="BJ42" s="198">
        <f>+Slab!BT79</f>
        <v>0</v>
      </c>
      <c r="BK42" s="198">
        <f>+Slab!BU79</f>
        <v>0</v>
      </c>
      <c r="BL42" s="287">
        <f>+Slab!BV79</f>
        <v>0</v>
      </c>
      <c r="BM42" s="284">
        <f>+Slab!BW79</f>
        <v>0</v>
      </c>
      <c r="BN42" s="197">
        <f>+Slab!BX79</f>
        <v>0</v>
      </c>
      <c r="BO42" s="198">
        <f>+Slab!BY79</f>
        <v>0</v>
      </c>
      <c r="BP42" s="198">
        <f>+Slab!BZ79</f>
        <v>0</v>
      </c>
      <c r="BQ42" s="198">
        <f>+Slab!CA79</f>
        <v>0</v>
      </c>
      <c r="BR42" s="198">
        <f>+Slab!CB79</f>
        <v>0</v>
      </c>
      <c r="BS42" s="198">
        <f>+Slab!CC79</f>
        <v>0</v>
      </c>
      <c r="BT42" s="198">
        <f>+Slab!CD79</f>
        <v>0</v>
      </c>
      <c r="BU42" s="198">
        <f>+Slab!CE79</f>
        <v>0</v>
      </c>
      <c r="BV42" s="198">
        <f>+Slab!CF79</f>
        <v>0</v>
      </c>
      <c r="BW42" s="198">
        <f>+Slab!CG79</f>
        <v>0</v>
      </c>
      <c r="BX42" s="198">
        <f>+Slab!CH79</f>
        <v>0</v>
      </c>
      <c r="BY42" s="198">
        <f>+Slab!CI79</f>
        <v>0</v>
      </c>
      <c r="BZ42" s="198">
        <f>+Slab!CJ79</f>
        <v>0</v>
      </c>
      <c r="CA42" s="198">
        <f>+Slab!CK79</f>
        <v>0</v>
      </c>
      <c r="CB42" s="198">
        <f>+Slab!CL79</f>
        <v>0</v>
      </c>
      <c r="CC42" s="198">
        <f>+Slab!CM79</f>
        <v>0</v>
      </c>
      <c r="CD42" s="198">
        <f>+Slab!CN79</f>
        <v>0</v>
      </c>
      <c r="CE42" s="198">
        <f>+Slab!CO79</f>
        <v>0</v>
      </c>
      <c r="CF42" s="198">
        <f>+Slab!CP79</f>
        <v>0</v>
      </c>
      <c r="CG42" s="198">
        <f>+Slab!CQ79</f>
        <v>0</v>
      </c>
      <c r="CH42" s="198">
        <f>+Slab!CR79</f>
        <v>0</v>
      </c>
      <c r="CI42" s="198">
        <f>+Slab!CS79</f>
        <v>0</v>
      </c>
      <c r="CJ42" s="198">
        <f>+Slab!CT79</f>
        <v>0</v>
      </c>
      <c r="CK42" s="198">
        <f>+Slab!CU79</f>
        <v>0</v>
      </c>
      <c r="CL42" s="198">
        <f>+Slab!CV79</f>
        <v>0</v>
      </c>
      <c r="CM42" s="198">
        <f>+Slab!CW79</f>
        <v>0</v>
      </c>
      <c r="CN42" s="198">
        <f>+Slab!CX79</f>
        <v>0</v>
      </c>
      <c r="CO42" s="198">
        <f>+Slab!CY79</f>
        <v>0</v>
      </c>
      <c r="CP42" s="198">
        <f>+Slab!CZ79</f>
        <v>745</v>
      </c>
      <c r="CQ42" s="199">
        <f>+Slab!DA79</f>
        <v>0</v>
      </c>
      <c r="CR42" s="197">
        <f>+Slab!DB79</f>
        <v>0</v>
      </c>
      <c r="CS42" s="198">
        <f>+Slab!DC79</f>
        <v>0</v>
      </c>
      <c r="CT42" s="198">
        <f>+Slab!DD79</f>
        <v>0</v>
      </c>
      <c r="CU42" s="198">
        <f>+Slab!DE79</f>
        <v>0</v>
      </c>
      <c r="CV42" s="198">
        <f>+Slab!DF79</f>
        <v>0</v>
      </c>
      <c r="CW42" s="198">
        <f>+Slab!DG79</f>
        <v>0</v>
      </c>
      <c r="CX42" s="198">
        <f>+Slab!DH79</f>
        <v>0</v>
      </c>
      <c r="CY42" s="198">
        <f>+Slab!DI79</f>
        <v>0</v>
      </c>
      <c r="CZ42" s="198">
        <f>+Slab!DJ79</f>
        <v>0</v>
      </c>
      <c r="DA42" s="198">
        <f>+Slab!DK79</f>
        <v>0</v>
      </c>
      <c r="DB42" s="198">
        <f>+Slab!DL79</f>
        <v>0</v>
      </c>
      <c r="DC42" s="198">
        <f>+Slab!DM79</f>
        <v>0</v>
      </c>
      <c r="DD42" s="198">
        <f>+Slab!DN79</f>
        <v>0</v>
      </c>
      <c r="DE42" s="198">
        <f>+Slab!DO79</f>
        <v>0</v>
      </c>
      <c r="DF42" s="198">
        <f>+Slab!DP79</f>
        <v>0</v>
      </c>
      <c r="DG42" s="198">
        <f>+Slab!DQ79</f>
        <v>0</v>
      </c>
      <c r="DH42" s="198">
        <f>+Slab!DR79</f>
        <v>0</v>
      </c>
      <c r="DI42" s="198">
        <f>+Slab!DS79</f>
        <v>0</v>
      </c>
      <c r="DJ42" s="198">
        <f>+Slab!DT79</f>
        <v>0</v>
      </c>
      <c r="DK42" s="198">
        <f>+Slab!DU79</f>
        <v>0</v>
      </c>
      <c r="DL42" s="198">
        <f>+Slab!DV79</f>
        <v>200</v>
      </c>
      <c r="DM42" s="198">
        <f>+Slab!DW79</f>
        <v>0</v>
      </c>
      <c r="DN42" s="198">
        <f>+Slab!DX79</f>
        <v>0</v>
      </c>
      <c r="DO42" s="198">
        <f>+Slab!DY79</f>
        <v>0</v>
      </c>
      <c r="DP42" s="198">
        <f>+Slab!DZ79</f>
        <v>0</v>
      </c>
      <c r="DQ42" s="198">
        <f>+Slab!EA79</f>
        <v>0</v>
      </c>
      <c r="DR42" s="198">
        <f>+Slab!EB79</f>
        <v>0</v>
      </c>
      <c r="DS42" s="198">
        <f>+Slab!EC79</f>
        <v>0</v>
      </c>
      <c r="DT42" s="198">
        <f>+Slab!ED79</f>
        <v>0</v>
      </c>
      <c r="DU42" s="198">
        <f>+Slab!EE79</f>
        <v>0</v>
      </c>
      <c r="DV42" s="287">
        <f>+Slab!EF79</f>
        <v>0</v>
      </c>
      <c r="DW42" s="197">
        <f>+Slab!EG79</f>
        <v>0</v>
      </c>
      <c r="DX42" s="198">
        <f>+Slab!EH79</f>
        <v>0</v>
      </c>
      <c r="DY42" s="198">
        <f>+Slab!EI79</f>
        <v>0</v>
      </c>
      <c r="DZ42" s="198">
        <f>+Slab!EJ79</f>
        <v>105</v>
      </c>
      <c r="EA42" s="198">
        <f>+Slab!EK79</f>
        <v>0</v>
      </c>
      <c r="EB42" s="198">
        <f>+Slab!EL79</f>
        <v>0</v>
      </c>
      <c r="EC42" s="198">
        <f>+Slab!EM79</f>
        <v>0</v>
      </c>
      <c r="ED42" s="198">
        <f>+Slab!EN79</f>
        <v>0</v>
      </c>
      <c r="EE42" s="198">
        <f>+Slab!EO79</f>
        <v>0</v>
      </c>
      <c r="EF42" s="198">
        <f>+Slab!EP79</f>
        <v>0</v>
      </c>
      <c r="EG42" s="198">
        <f>+Slab!EQ79</f>
        <v>0</v>
      </c>
      <c r="EH42" s="198">
        <f>+Slab!ER79</f>
        <v>0</v>
      </c>
      <c r="EI42" s="198">
        <f>+Slab!ES79</f>
        <v>0</v>
      </c>
      <c r="EJ42" s="198">
        <f>+Slab!ET79</f>
        <v>0</v>
      </c>
      <c r="EK42" s="198">
        <f>+Slab!EU79</f>
        <v>0</v>
      </c>
      <c r="EL42" s="198">
        <f>+Slab!EV79</f>
        <v>0</v>
      </c>
      <c r="EM42" s="198">
        <f>+Slab!EW79</f>
        <v>0</v>
      </c>
      <c r="EN42" s="198">
        <f>+Slab!EX79</f>
        <v>0</v>
      </c>
      <c r="EO42" s="198">
        <f>+Slab!EY79</f>
        <v>0</v>
      </c>
      <c r="EP42" s="198">
        <f>+Slab!EZ79</f>
        <v>0</v>
      </c>
      <c r="EQ42" s="198">
        <f>+Slab!FA79</f>
        <v>0</v>
      </c>
      <c r="ER42" s="198">
        <f>+Slab!FB79</f>
        <v>0</v>
      </c>
      <c r="ES42" s="198">
        <f>+Slab!FC79</f>
        <v>0</v>
      </c>
      <c r="ET42" s="198">
        <f>+Slab!FD79</f>
        <v>0</v>
      </c>
      <c r="EU42" s="198">
        <f>+Slab!FE79</f>
        <v>53</v>
      </c>
      <c r="EV42" s="198">
        <f>+Slab!FF79</f>
        <v>0</v>
      </c>
      <c r="EW42" s="198">
        <f>+Slab!FG79</f>
        <v>0</v>
      </c>
      <c r="EX42" s="198">
        <f>+Slab!FH79</f>
        <v>115</v>
      </c>
      <c r="EY42" s="198">
        <f>+Slab!FI79</f>
        <v>0</v>
      </c>
      <c r="EZ42" s="199">
        <f>+Slab!FJ79</f>
        <v>0</v>
      </c>
      <c r="FA42" s="197">
        <f>+Slab!FK79</f>
        <v>0</v>
      </c>
      <c r="FB42" s="198">
        <f>+Slab!FL79</f>
        <v>287.5</v>
      </c>
      <c r="FC42" s="198">
        <f>+Slab!FM79</f>
        <v>0</v>
      </c>
      <c r="FD42" s="198">
        <f>+Slab!FN79</f>
        <v>0</v>
      </c>
      <c r="FE42" s="198">
        <f>+Slab!FO79</f>
        <v>0</v>
      </c>
      <c r="FF42" s="198">
        <f>+Slab!FP79</f>
        <v>0</v>
      </c>
      <c r="FG42" s="198">
        <f>+Slab!FQ79</f>
        <v>0</v>
      </c>
      <c r="FH42" s="198">
        <f>+Slab!FR79</f>
        <v>0</v>
      </c>
      <c r="FI42" s="198">
        <f>+Slab!FS79</f>
        <v>0</v>
      </c>
      <c r="FJ42" s="198">
        <f>+Slab!FT79</f>
        <v>0</v>
      </c>
      <c r="FK42" s="198">
        <f>+Slab!FU79</f>
        <v>0</v>
      </c>
      <c r="FL42" s="198">
        <f>+Slab!FV79</f>
        <v>0</v>
      </c>
      <c r="FM42" s="198">
        <f>+Slab!FW79</f>
        <v>0</v>
      </c>
      <c r="FN42" s="198">
        <f>+Slab!FX79</f>
        <v>200</v>
      </c>
      <c r="FO42" s="198">
        <f>+Slab!FY79</f>
        <v>140</v>
      </c>
      <c r="FP42" s="198">
        <f>+Slab!FZ79</f>
        <v>150</v>
      </c>
      <c r="FQ42" s="198">
        <f>+Slab!GA79</f>
        <v>0</v>
      </c>
      <c r="FR42" s="198">
        <f>+Slab!GB79</f>
        <v>0</v>
      </c>
      <c r="FS42" s="198">
        <f>+Slab!GC79</f>
        <v>0</v>
      </c>
      <c r="FT42" s="198">
        <f>+Slab!GD79</f>
        <v>75</v>
      </c>
      <c r="FU42" s="198">
        <f>+Slab!GE79</f>
        <v>0</v>
      </c>
      <c r="FV42" s="198">
        <f>+Slab!GF79</f>
        <v>130</v>
      </c>
      <c r="FW42" s="198">
        <f>+Slab!GG79</f>
        <v>0</v>
      </c>
      <c r="FX42" s="198">
        <f>+Slab!GH79</f>
        <v>0</v>
      </c>
      <c r="FY42" s="198">
        <f>+Slab!GI79</f>
        <v>125</v>
      </c>
      <c r="FZ42" s="198">
        <f>+Slab!GJ79</f>
        <v>0</v>
      </c>
      <c r="GA42" s="198">
        <f>+Slab!GK79</f>
        <v>0</v>
      </c>
      <c r="GB42" s="198">
        <f>+Slab!GL79</f>
        <v>670</v>
      </c>
      <c r="GC42" s="198">
        <f>+Slab!GM79</f>
        <v>150</v>
      </c>
      <c r="GD42" s="198">
        <f>+Slab!GN79</f>
        <v>0</v>
      </c>
      <c r="GE42" s="199">
        <f>+Slab!GO79</f>
        <v>0</v>
      </c>
      <c r="GF42" s="197">
        <f>+Slab!GP79</f>
        <v>0</v>
      </c>
      <c r="GG42" s="198">
        <f>+Slab!GQ79</f>
        <v>0</v>
      </c>
      <c r="GH42" s="198">
        <f>+Slab!GR79</f>
        <v>0</v>
      </c>
      <c r="GI42" s="198">
        <f>+Slab!GS79</f>
        <v>23</v>
      </c>
      <c r="GJ42" s="198">
        <f>+Slab!GT79</f>
        <v>60</v>
      </c>
      <c r="GK42" s="198">
        <f>+Slab!GU79</f>
        <v>55</v>
      </c>
      <c r="GL42" s="198">
        <f>+Slab!GV79</f>
        <v>0</v>
      </c>
      <c r="GM42" s="198">
        <f>+Slab!GW79</f>
        <v>0</v>
      </c>
      <c r="GN42" s="198">
        <f>+Slab!GX79</f>
        <v>0</v>
      </c>
      <c r="GO42" s="198">
        <f>+Slab!GY79</f>
        <v>0</v>
      </c>
      <c r="GP42" s="198">
        <f>+Slab!GZ79</f>
        <v>0</v>
      </c>
      <c r="GQ42" s="198">
        <f>+Slab!HA79</f>
        <v>0</v>
      </c>
      <c r="GR42" s="198">
        <f>+Slab!HB79</f>
        <v>0</v>
      </c>
      <c r="GS42" s="198">
        <f>+Slab!HC79</f>
        <v>0</v>
      </c>
      <c r="GT42" s="198">
        <f>+Slab!HD79</f>
        <v>0</v>
      </c>
      <c r="GU42" s="198">
        <f>+Slab!HE79</f>
        <v>29</v>
      </c>
      <c r="GV42" s="198">
        <f>+Slab!HF79</f>
        <v>0</v>
      </c>
      <c r="GW42" s="198">
        <f>+Slab!HG79</f>
        <v>0</v>
      </c>
      <c r="GX42" s="198">
        <f>+Slab!HH79</f>
        <v>0</v>
      </c>
      <c r="GY42" s="199">
        <f>+Slab!HI79</f>
        <v>0</v>
      </c>
      <c r="GZ42" s="452"/>
    </row>
    <row r="43" spans="1:208" ht="21" hidden="1" x14ac:dyDescent="0.35">
      <c r="BM43" s="252"/>
      <c r="CR43" s="21"/>
      <c r="CS43" s="275"/>
      <c r="CT43" s="275"/>
      <c r="CU43" s="275"/>
      <c r="CV43" s="275"/>
      <c r="CW43" s="275"/>
      <c r="CX43" s="275"/>
      <c r="CY43" s="275"/>
      <c r="CZ43" s="275"/>
      <c r="DA43" s="275"/>
      <c r="DB43" s="275"/>
      <c r="DC43" s="275"/>
      <c r="DD43" s="275"/>
      <c r="DE43" s="275"/>
      <c r="DF43" s="275"/>
      <c r="DG43" s="275"/>
      <c r="DH43" s="275"/>
      <c r="DI43" s="275"/>
      <c r="DJ43" s="275"/>
      <c r="DK43" s="275"/>
      <c r="DL43" s="275"/>
      <c r="DM43" s="275"/>
      <c r="DN43" s="275"/>
      <c r="DO43" s="275"/>
      <c r="DP43" s="275"/>
      <c r="DQ43" s="275"/>
      <c r="DR43" s="275"/>
      <c r="DS43" s="275"/>
      <c r="DT43" s="275"/>
      <c r="DU43" s="275"/>
      <c r="DV43" s="357"/>
      <c r="DW43" s="21"/>
      <c r="DX43" s="275"/>
      <c r="DY43" s="275"/>
      <c r="DZ43" s="275"/>
      <c r="EA43" s="275"/>
      <c r="EB43" s="275"/>
      <c r="EC43" s="275"/>
      <c r="ED43" s="275"/>
      <c r="EE43" s="275"/>
      <c r="EF43" s="275"/>
      <c r="EG43" s="275"/>
      <c r="EH43" s="275"/>
      <c r="EI43" s="275"/>
      <c r="EJ43" s="275"/>
      <c r="EK43" s="275"/>
      <c r="EL43" s="275"/>
      <c r="EM43" s="275"/>
      <c r="EN43" s="275"/>
      <c r="EO43" s="275"/>
      <c r="EP43" s="275"/>
      <c r="EQ43" s="275"/>
      <c r="ER43" s="275"/>
      <c r="ES43" s="275"/>
      <c r="ET43" s="275"/>
      <c r="EU43" s="275"/>
      <c r="EV43" s="275"/>
      <c r="EW43" s="275"/>
      <c r="EX43" s="275"/>
      <c r="EY43" s="275"/>
      <c r="EZ43" s="275"/>
      <c r="FA43" s="21"/>
      <c r="FB43" s="275"/>
      <c r="FC43" s="275"/>
      <c r="FD43" s="275"/>
      <c r="FE43" s="275"/>
      <c r="FF43" s="275"/>
      <c r="FG43" s="275"/>
      <c r="FH43" s="275"/>
      <c r="FI43" s="275"/>
      <c r="FJ43" s="275"/>
      <c r="FK43" s="275"/>
      <c r="FL43" s="275"/>
      <c r="FM43" s="275"/>
      <c r="FN43" s="275"/>
      <c r="FO43" s="275"/>
      <c r="FP43" s="275"/>
      <c r="FQ43" s="275"/>
      <c r="FR43" s="275"/>
      <c r="FS43" s="275"/>
      <c r="FT43" s="275"/>
      <c r="FU43" s="275"/>
      <c r="FV43" s="275"/>
      <c r="FW43" s="275"/>
      <c r="FX43" s="275"/>
      <c r="FY43" s="275"/>
      <c r="FZ43" s="275"/>
      <c r="GA43" s="275"/>
      <c r="GB43" s="275"/>
      <c r="GC43" s="275"/>
      <c r="GD43" s="275"/>
      <c r="GE43" s="275"/>
      <c r="GF43" s="21"/>
      <c r="GG43" s="275"/>
      <c r="GH43" s="275"/>
      <c r="GI43" s="275"/>
      <c r="GJ43" s="275"/>
      <c r="GK43" s="275"/>
      <c r="GL43" s="275"/>
      <c r="GM43" s="275"/>
      <c r="GN43" s="275"/>
      <c r="GO43" s="275"/>
      <c r="GP43" s="275"/>
      <c r="GQ43" s="275"/>
      <c r="GR43" s="275"/>
      <c r="GS43" s="275"/>
      <c r="GT43" s="275"/>
      <c r="GU43" s="275"/>
      <c r="GV43" s="275"/>
      <c r="GW43" s="275"/>
      <c r="GX43" s="275"/>
      <c r="GY43" s="275"/>
      <c r="GZ43" s="453"/>
    </row>
    <row r="44" spans="1:208" ht="15" hidden="1" customHeight="1" thickBot="1" x14ac:dyDescent="0.4">
      <c r="A44" s="482"/>
      <c r="B44" s="481" t="s">
        <v>78</v>
      </c>
      <c r="C44" s="25" t="s">
        <v>82</v>
      </c>
      <c r="D44" s="32" t="s">
        <v>86</v>
      </c>
      <c r="E44" s="71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06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249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157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356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389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389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389"/>
      <c r="GZ44" s="450"/>
    </row>
    <row r="45" spans="1:208" ht="15" hidden="1" customHeight="1" thickBot="1" x14ac:dyDescent="0.4">
      <c r="A45" s="479"/>
      <c r="B45" s="474"/>
      <c r="C45" s="23" t="s">
        <v>81</v>
      </c>
      <c r="D45" s="2" t="s">
        <v>87</v>
      </c>
      <c r="E45" s="73">
        <f>+'Internal Wall'!O97</f>
        <v>0</v>
      </c>
      <c r="F45" s="13">
        <f>+'Internal Wall'!P97</f>
        <v>0</v>
      </c>
      <c r="G45" s="13">
        <f>+'Internal Wall'!Q97</f>
        <v>0</v>
      </c>
      <c r="H45" s="13">
        <f>+'Internal Wall'!R97</f>
        <v>0</v>
      </c>
      <c r="I45" s="13">
        <f>+'Internal Wall'!S97</f>
        <v>0</v>
      </c>
      <c r="J45" s="13">
        <f>+'Internal Wall'!T97</f>
        <v>0</v>
      </c>
      <c r="K45" s="13">
        <f>+'Internal Wall'!U97</f>
        <v>0</v>
      </c>
      <c r="L45" s="13">
        <f>+'Internal Wall'!V97</f>
        <v>0</v>
      </c>
      <c r="M45" s="13">
        <f>+'Internal Wall'!W97</f>
        <v>0</v>
      </c>
      <c r="N45" s="13">
        <f>+'Internal Wall'!X97</f>
        <v>0</v>
      </c>
      <c r="O45" s="13">
        <f>+'Internal Wall'!Y97</f>
        <v>0</v>
      </c>
      <c r="P45" s="13">
        <f>+'Internal Wall'!Z97</f>
        <v>0</v>
      </c>
      <c r="Q45" s="13">
        <f>+'Internal Wall'!AA97</f>
        <v>0</v>
      </c>
      <c r="R45" s="13">
        <f>+'Internal Wall'!AB97</f>
        <v>0</v>
      </c>
      <c r="S45" s="13">
        <f>+'Internal Wall'!AC97</f>
        <v>0</v>
      </c>
      <c r="T45" s="13">
        <f>+'Internal Wall'!AD97</f>
        <v>0</v>
      </c>
      <c r="U45" s="13">
        <f>+'Internal Wall'!AE97</f>
        <v>0</v>
      </c>
      <c r="V45" s="13">
        <f>+'Internal Wall'!AF97</f>
        <v>0</v>
      </c>
      <c r="W45" s="13">
        <f>+'Internal Wall'!AG97</f>
        <v>0</v>
      </c>
      <c r="X45" s="13">
        <f>+'Internal Wall'!AH97</f>
        <v>0</v>
      </c>
      <c r="Y45" s="13">
        <f>+'Internal Wall'!AI97</f>
        <v>0</v>
      </c>
      <c r="Z45" s="13">
        <f>+'Internal Wall'!AJ97</f>
        <v>0</v>
      </c>
      <c r="AA45" s="13">
        <f>+'Internal Wall'!AK97</f>
        <v>0</v>
      </c>
      <c r="AB45" s="13">
        <f>+'Internal Wall'!AL97</f>
        <v>0</v>
      </c>
      <c r="AC45" s="13">
        <f>+'Internal Wall'!AM97</f>
        <v>0</v>
      </c>
      <c r="AD45" s="13">
        <f>+'Internal Wall'!AN97</f>
        <v>0</v>
      </c>
      <c r="AE45" s="13">
        <f>+'Internal Wall'!AO97</f>
        <v>0</v>
      </c>
      <c r="AF45" s="13">
        <f>+'Internal Wall'!AP97</f>
        <v>0</v>
      </c>
      <c r="AG45" s="305">
        <f>+'Internal Wall'!BN98</f>
        <v>0</v>
      </c>
      <c r="AH45" s="13">
        <f>+'Internal Wall'!AR97</f>
        <v>0</v>
      </c>
      <c r="AI45" s="13">
        <f>+'Internal Wall'!AS97</f>
        <v>0</v>
      </c>
      <c r="AJ45" s="13">
        <f>+'Internal Wall'!AT97</f>
        <v>0</v>
      </c>
      <c r="AK45" s="13">
        <f>+'Internal Wall'!AU97</f>
        <v>0</v>
      </c>
      <c r="AL45" s="13">
        <f>+'Internal Wall'!AV97</f>
        <v>0</v>
      </c>
      <c r="AM45" s="13">
        <f>+'Internal Wall'!AW97</f>
        <v>0</v>
      </c>
      <c r="AN45" s="13">
        <f>+'Internal Wall'!AX97</f>
        <v>0</v>
      </c>
      <c r="AO45" s="13">
        <f>+'Internal Wall'!AY97</f>
        <v>0</v>
      </c>
      <c r="AP45" s="13">
        <f>+'Internal Wall'!AZ97</f>
        <v>0</v>
      </c>
      <c r="AQ45" s="13">
        <f>+'Internal Wall'!BA97</f>
        <v>0</v>
      </c>
      <c r="AR45" s="13">
        <f>+'Internal Wall'!BB97</f>
        <v>0</v>
      </c>
      <c r="AS45" s="13">
        <f>+'Internal Wall'!BC97</f>
        <v>0</v>
      </c>
      <c r="AT45" s="13">
        <f>+'Internal Wall'!BD97</f>
        <v>0</v>
      </c>
      <c r="AU45" s="13">
        <f>+'Internal Wall'!BE97</f>
        <v>0</v>
      </c>
      <c r="AV45" s="13">
        <f>+'Internal Wall'!BF97</f>
        <v>0</v>
      </c>
      <c r="AW45" s="13">
        <f>+'Internal Wall'!BG97</f>
        <v>0</v>
      </c>
      <c r="AX45" s="13">
        <f>+'Internal Wall'!BH97</f>
        <v>0</v>
      </c>
      <c r="AY45" s="13">
        <f>+'Internal Wall'!BI97</f>
        <v>0</v>
      </c>
      <c r="AZ45" s="13">
        <f>+'Internal Wall'!BJ97</f>
        <v>0</v>
      </c>
      <c r="BA45" s="13">
        <f>+'Internal Wall'!BK97</f>
        <v>0</v>
      </c>
      <c r="BB45" s="13">
        <f>+'Internal Wall'!BL97</f>
        <v>0</v>
      </c>
      <c r="BC45" s="13">
        <f>+'Internal Wall'!BM97</f>
        <v>0</v>
      </c>
      <c r="BD45" s="13">
        <f>+'Internal Wall'!BN97</f>
        <v>0</v>
      </c>
      <c r="BE45" s="13">
        <f>+'Internal Wall'!BO97</f>
        <v>0</v>
      </c>
      <c r="BF45" s="13">
        <f>+'Internal Wall'!BP97</f>
        <v>0</v>
      </c>
      <c r="BG45" s="13">
        <f>+'Internal Wall'!BQ97</f>
        <v>0</v>
      </c>
      <c r="BH45" s="13">
        <f>+'Internal Wall'!BR97</f>
        <v>0</v>
      </c>
      <c r="BI45" s="13">
        <f>+'Internal Wall'!BS97</f>
        <v>0</v>
      </c>
      <c r="BJ45" s="13">
        <f>+'Internal Wall'!BT97</f>
        <v>0</v>
      </c>
      <c r="BK45" s="13">
        <f>+'Internal Wall'!BU97</f>
        <v>0</v>
      </c>
      <c r="BL45" s="13">
        <f>+'Internal Wall'!BV97</f>
        <v>0</v>
      </c>
      <c r="BM45" s="250">
        <f>+'Internal Wall'!IR98</f>
        <v>0</v>
      </c>
      <c r="BN45" s="13">
        <f>+'Internal Wall'!BX97</f>
        <v>0</v>
      </c>
      <c r="BO45" s="13">
        <f>+'Internal Wall'!BY97</f>
        <v>0</v>
      </c>
      <c r="BP45" s="13">
        <f>+'Internal Wall'!BZ97</f>
        <v>0</v>
      </c>
      <c r="BQ45" s="13">
        <f>+'Internal Wall'!CA97</f>
        <v>0</v>
      </c>
      <c r="BR45" s="13">
        <f>+'Internal Wall'!CB97</f>
        <v>11</v>
      </c>
      <c r="BS45" s="13">
        <f>+'Internal Wall'!CC97</f>
        <v>0</v>
      </c>
      <c r="BT45" s="13">
        <f>+'Internal Wall'!CD97</f>
        <v>0</v>
      </c>
      <c r="BU45" s="13">
        <f>+'Internal Wall'!CE97</f>
        <v>0</v>
      </c>
      <c r="BV45" s="13">
        <f>+'Internal Wall'!CF97</f>
        <v>0</v>
      </c>
      <c r="BW45" s="13">
        <f>+'Internal Wall'!CG97</f>
        <v>0</v>
      </c>
      <c r="BX45" s="13">
        <f>+'Internal Wall'!CH97</f>
        <v>0</v>
      </c>
      <c r="BY45" s="13">
        <f>+'Internal Wall'!CI97</f>
        <v>0</v>
      </c>
      <c r="BZ45" s="13">
        <f>+'Internal Wall'!CJ97</f>
        <v>0</v>
      </c>
      <c r="CA45" s="13">
        <f>+'Internal Wall'!CK97</f>
        <v>0</v>
      </c>
      <c r="CB45" s="13">
        <f>+'Internal Wall'!CL97</f>
        <v>0</v>
      </c>
      <c r="CC45" s="13">
        <f>+'Internal Wall'!CM97</f>
        <v>0</v>
      </c>
      <c r="CD45" s="13">
        <f>+'Internal Wall'!CN97</f>
        <v>0</v>
      </c>
      <c r="CE45" s="13">
        <f>+'Internal Wall'!CO97</f>
        <v>0</v>
      </c>
      <c r="CF45" s="13">
        <f>+'Internal Wall'!CP97</f>
        <v>0</v>
      </c>
      <c r="CG45" s="13">
        <f>+'Internal Wall'!CQ97</f>
        <v>0</v>
      </c>
      <c r="CH45" s="13">
        <f>+'Internal Wall'!CR97</f>
        <v>0</v>
      </c>
      <c r="CI45" s="13">
        <f>+'Internal Wall'!CS97</f>
        <v>0</v>
      </c>
      <c r="CJ45" s="13">
        <f>+'Internal Wall'!CT97</f>
        <v>0</v>
      </c>
      <c r="CK45" s="13">
        <f>+'Internal Wall'!CU97</f>
        <v>0</v>
      </c>
      <c r="CL45" s="13">
        <f>+'Internal Wall'!CV97</f>
        <v>0</v>
      </c>
      <c r="CM45" s="13">
        <f>+'Internal Wall'!CW97</f>
        <v>0</v>
      </c>
      <c r="CN45" s="13">
        <f>+'Internal Wall'!CX97</f>
        <v>0</v>
      </c>
      <c r="CO45" s="13">
        <f>+'Internal Wall'!CY97</f>
        <v>0</v>
      </c>
      <c r="CP45" s="13">
        <f>+'Internal Wall'!CZ97</f>
        <v>0</v>
      </c>
      <c r="CQ45" s="101">
        <f>+'Internal Wall'!DA97</f>
        <v>0</v>
      </c>
      <c r="CR45" s="73">
        <f>+'Internal Wall'!DB97</f>
        <v>0</v>
      </c>
      <c r="CS45" s="13">
        <f>+'Internal Wall'!DC97</f>
        <v>0</v>
      </c>
      <c r="CT45" s="13">
        <f>+'Internal Wall'!DD97</f>
        <v>0</v>
      </c>
      <c r="CU45" s="13">
        <f>+'Internal Wall'!DE97</f>
        <v>0</v>
      </c>
      <c r="CV45" s="13">
        <f>+'Internal Wall'!DF97</f>
        <v>0</v>
      </c>
      <c r="CW45" s="13">
        <f>+'Internal Wall'!DG97</f>
        <v>0</v>
      </c>
      <c r="CX45" s="13">
        <f>+'Internal Wall'!DH97</f>
        <v>10.199999999999999</v>
      </c>
      <c r="CY45" s="13">
        <f>+'Internal Wall'!DI97</f>
        <v>0</v>
      </c>
      <c r="CZ45" s="13">
        <f>+'Internal Wall'!DJ97</f>
        <v>0</v>
      </c>
      <c r="DA45" s="13">
        <f>+'Internal Wall'!DK97</f>
        <v>0</v>
      </c>
      <c r="DB45" s="13">
        <f>+'Internal Wall'!DL97</f>
        <v>0</v>
      </c>
      <c r="DC45" s="13">
        <f>+'Internal Wall'!DM97</f>
        <v>11.5</v>
      </c>
      <c r="DD45" s="13">
        <f>+'Internal Wall'!DN97</f>
        <v>0</v>
      </c>
      <c r="DE45" s="13">
        <f>+'Internal Wall'!DO97</f>
        <v>0</v>
      </c>
      <c r="DF45" s="13">
        <f>+'Internal Wall'!DP97</f>
        <v>0</v>
      </c>
      <c r="DG45" s="13">
        <f>+'Internal Wall'!DQ97</f>
        <v>0</v>
      </c>
      <c r="DH45" s="13">
        <f>+'Internal Wall'!DR97</f>
        <v>0</v>
      </c>
      <c r="DI45" s="13">
        <f>+'Internal Wall'!DS97</f>
        <v>0</v>
      </c>
      <c r="DJ45" s="13">
        <f>+'Internal Wall'!DT97</f>
        <v>0</v>
      </c>
      <c r="DK45" s="13">
        <f>+'Internal Wall'!DU97</f>
        <v>15</v>
      </c>
      <c r="DL45" s="13">
        <f>+'Internal Wall'!DV97</f>
        <v>0</v>
      </c>
      <c r="DM45" s="13">
        <f>+'Internal Wall'!DW97</f>
        <v>0</v>
      </c>
      <c r="DN45" s="13">
        <f>+'Internal Wall'!DX97</f>
        <v>0</v>
      </c>
      <c r="DO45" s="13">
        <f>+'Internal Wall'!DY97</f>
        <v>15</v>
      </c>
      <c r="DP45" s="13">
        <f>+'Internal Wall'!DZ97</f>
        <v>0</v>
      </c>
      <c r="DQ45" s="13">
        <f>+'Internal Wall'!EA97</f>
        <v>0</v>
      </c>
      <c r="DR45" s="13">
        <f>+'Internal Wall'!EB97</f>
        <v>0</v>
      </c>
      <c r="DS45" s="13">
        <f>+'Internal Wall'!EC97</f>
        <v>0</v>
      </c>
      <c r="DT45" s="13">
        <f>+'Internal Wall'!ED97</f>
        <v>0</v>
      </c>
      <c r="DU45" s="13">
        <f>+'Internal Wall'!EE97</f>
        <v>0</v>
      </c>
      <c r="DV45" s="274">
        <f>+'Internal Wall'!EF97</f>
        <v>15.2</v>
      </c>
      <c r="DW45" s="73">
        <f>+'Internal Wall'!EG97</f>
        <v>15</v>
      </c>
      <c r="DX45" s="13">
        <f>+'Internal Wall'!EH97</f>
        <v>0</v>
      </c>
      <c r="DY45" s="13">
        <f>+'Internal Wall'!EI97</f>
        <v>0</v>
      </c>
      <c r="DZ45" s="13">
        <f>+'Internal Wall'!EJ97</f>
        <v>0</v>
      </c>
      <c r="EA45" s="13">
        <f>+'Internal Wall'!EK97</f>
        <v>0</v>
      </c>
      <c r="EB45" s="13">
        <f>+'Internal Wall'!EL97</f>
        <v>0</v>
      </c>
      <c r="EC45" s="13">
        <f>+'Internal Wall'!EM97</f>
        <v>41.4</v>
      </c>
      <c r="ED45" s="13">
        <f>+'Internal Wall'!EN97</f>
        <v>0</v>
      </c>
      <c r="EE45" s="13">
        <f>+'Internal Wall'!EO97</f>
        <v>5.5</v>
      </c>
      <c r="EF45" s="13">
        <f>+'Internal Wall'!EP97</f>
        <v>15</v>
      </c>
      <c r="EG45" s="13">
        <f>+'Internal Wall'!EQ97</f>
        <v>17</v>
      </c>
      <c r="EH45" s="13">
        <f>+'Internal Wall'!ER97</f>
        <v>0</v>
      </c>
      <c r="EI45" s="13">
        <f>+'Internal Wall'!ES97</f>
        <v>0</v>
      </c>
      <c r="EJ45" s="13">
        <f>+'Internal Wall'!ET97</f>
        <v>3.5</v>
      </c>
      <c r="EK45" s="13">
        <f>+'Internal Wall'!EU97</f>
        <v>12</v>
      </c>
      <c r="EL45" s="13">
        <f>+'Internal Wall'!EV97</f>
        <v>0</v>
      </c>
      <c r="EM45" s="13">
        <f>+'Internal Wall'!EW97</f>
        <v>19</v>
      </c>
      <c r="EN45" s="13">
        <f>+'Internal Wall'!EX97</f>
        <v>10.5</v>
      </c>
      <c r="EO45" s="13">
        <f>+'Internal Wall'!EY97</f>
        <v>0</v>
      </c>
      <c r="EP45" s="13">
        <f>+'Internal Wall'!EZ97</f>
        <v>15.5</v>
      </c>
      <c r="EQ45" s="13">
        <f>+'Internal Wall'!FA97</f>
        <v>0</v>
      </c>
      <c r="ER45" s="13">
        <f>+'Internal Wall'!FB97</f>
        <v>18.5</v>
      </c>
      <c r="ES45" s="13">
        <f>+'Internal Wall'!FC97</f>
        <v>20</v>
      </c>
      <c r="ET45" s="13">
        <f>+'Internal Wall'!FD97</f>
        <v>11</v>
      </c>
      <c r="EU45" s="13">
        <f>+'Internal Wall'!FE97</f>
        <v>0</v>
      </c>
      <c r="EV45" s="13">
        <f>+'Internal Wall'!FF97</f>
        <v>0</v>
      </c>
      <c r="EW45" s="13">
        <f>+'Internal Wall'!FG97</f>
        <v>0</v>
      </c>
      <c r="EX45" s="13">
        <f>+'Internal Wall'!FH97</f>
        <v>0</v>
      </c>
      <c r="EY45" s="13">
        <f>+'Internal Wall'!FI97</f>
        <v>25.2</v>
      </c>
      <c r="EZ45" s="101">
        <f>+'Internal Wall'!FJ97</f>
        <v>0</v>
      </c>
      <c r="FA45" s="73">
        <f>+'Internal Wall'!FK97</f>
        <v>11.4</v>
      </c>
      <c r="FB45" s="13">
        <f>+'Internal Wall'!FL97</f>
        <v>0</v>
      </c>
      <c r="FC45" s="13">
        <f>+'Internal Wall'!FM97</f>
        <v>0</v>
      </c>
      <c r="FD45" s="13">
        <f>+'Internal Wall'!FN97</f>
        <v>0</v>
      </c>
      <c r="FE45" s="13">
        <f>+'Internal Wall'!FO97</f>
        <v>0</v>
      </c>
      <c r="FF45" s="13">
        <f>+'Internal Wall'!FP97</f>
        <v>0</v>
      </c>
      <c r="FG45" s="13">
        <f>+'Internal Wall'!FQ97</f>
        <v>0</v>
      </c>
      <c r="FH45" s="13">
        <f>+'Internal Wall'!FR97</f>
        <v>0</v>
      </c>
      <c r="FI45" s="13">
        <f>+'Internal Wall'!FS97</f>
        <v>0</v>
      </c>
      <c r="FJ45" s="13">
        <f>+'Internal Wall'!FT97</f>
        <v>0</v>
      </c>
      <c r="FK45" s="13">
        <f>+'Internal Wall'!FU97</f>
        <v>0</v>
      </c>
      <c r="FL45" s="13">
        <f>+'Internal Wall'!FV97</f>
        <v>13.5</v>
      </c>
      <c r="FM45" s="13">
        <f>+'Internal Wall'!FW97</f>
        <v>11.5</v>
      </c>
      <c r="FN45" s="13">
        <f>+'Internal Wall'!FX97</f>
        <v>0</v>
      </c>
      <c r="FO45" s="13">
        <f>+'Internal Wall'!FY97</f>
        <v>0</v>
      </c>
      <c r="FP45" s="13">
        <f>+'Internal Wall'!FZ97</f>
        <v>0</v>
      </c>
      <c r="FQ45" s="13">
        <f>+'Internal Wall'!GA97</f>
        <v>0</v>
      </c>
      <c r="FR45" s="13">
        <f>+'Internal Wall'!GB97</f>
        <v>0</v>
      </c>
      <c r="FS45" s="13">
        <f>+'Internal Wall'!GC97</f>
        <v>0</v>
      </c>
      <c r="FT45" s="13">
        <f>+'Internal Wall'!GD97</f>
        <v>0</v>
      </c>
      <c r="FU45" s="13">
        <f>+'Internal Wall'!GE97</f>
        <v>0</v>
      </c>
      <c r="FV45" s="13">
        <f>+'Internal Wall'!GF97</f>
        <v>2.25</v>
      </c>
      <c r="FW45" s="13">
        <f>+'Internal Wall'!GG97</f>
        <v>0</v>
      </c>
      <c r="FX45" s="13">
        <f>+'Internal Wall'!GH97</f>
        <v>0</v>
      </c>
      <c r="FY45" s="13">
        <f>+'Internal Wall'!GI97</f>
        <v>0</v>
      </c>
      <c r="FZ45" s="13">
        <f>+'Internal Wall'!GJ97</f>
        <v>5</v>
      </c>
      <c r="GA45" s="13">
        <f>+'Internal Wall'!GK97</f>
        <v>0</v>
      </c>
      <c r="GB45" s="13">
        <f>+'Internal Wall'!GL97</f>
        <v>8</v>
      </c>
      <c r="GC45" s="13">
        <f>+'Internal Wall'!GM97</f>
        <v>1.55</v>
      </c>
      <c r="GD45" s="13">
        <f>+'Internal Wall'!GN97</f>
        <v>0</v>
      </c>
      <c r="GE45" s="101">
        <f>+'Internal Wall'!GO97</f>
        <v>0</v>
      </c>
      <c r="GF45" s="73">
        <f>+'Internal Wall'!GP97</f>
        <v>0</v>
      </c>
      <c r="GG45" s="13">
        <f>+'Internal Wall'!GQ97</f>
        <v>0</v>
      </c>
      <c r="GH45" s="13">
        <f>+'Internal Wall'!GR97</f>
        <v>0</v>
      </c>
      <c r="GI45" s="13">
        <f>+'Internal Wall'!GS97</f>
        <v>0</v>
      </c>
      <c r="GJ45" s="13">
        <f>+'Internal Wall'!GT97</f>
        <v>0</v>
      </c>
      <c r="GK45" s="13">
        <f>+'Internal Wall'!GU97</f>
        <v>8</v>
      </c>
      <c r="GL45" s="13">
        <f>+'Internal Wall'!GV97</f>
        <v>0</v>
      </c>
      <c r="GM45" s="13">
        <f>+'Internal Wall'!GW97</f>
        <v>0</v>
      </c>
      <c r="GN45" s="13">
        <f>+'Internal Wall'!GX97</f>
        <v>0</v>
      </c>
      <c r="GO45" s="13">
        <f>+'Internal Wall'!GY97</f>
        <v>0</v>
      </c>
      <c r="GP45" s="13">
        <f>+'Internal Wall'!GZ97</f>
        <v>14.05</v>
      </c>
      <c r="GQ45" s="13">
        <f>+'Internal Wall'!HA97</f>
        <v>0</v>
      </c>
      <c r="GR45" s="13">
        <f>+'Internal Wall'!HB97</f>
        <v>0</v>
      </c>
      <c r="GS45" s="13">
        <f>+'Internal Wall'!HC97</f>
        <v>0</v>
      </c>
      <c r="GT45" s="13">
        <f>+'Internal Wall'!HD97</f>
        <v>0</v>
      </c>
      <c r="GU45" s="13">
        <f>+'Internal Wall'!HE97</f>
        <v>0</v>
      </c>
      <c r="GV45" s="13">
        <f>+'Internal Wall'!HF97</f>
        <v>10.5</v>
      </c>
      <c r="GW45" s="13">
        <f>+'Internal Wall'!HG97</f>
        <v>1</v>
      </c>
      <c r="GX45" s="13">
        <f>+'Internal Wall'!HH97</f>
        <v>7</v>
      </c>
      <c r="GY45" s="101">
        <f>+'Internal Wall'!HI97</f>
        <v>0</v>
      </c>
      <c r="GZ45" s="451"/>
    </row>
    <row r="46" spans="1:208" ht="15" hidden="1" customHeight="1" thickBot="1" x14ac:dyDescent="0.4">
      <c r="A46" s="479"/>
      <c r="B46" s="474"/>
      <c r="C46" s="23" t="s">
        <v>83</v>
      </c>
      <c r="D46" s="2" t="s">
        <v>87</v>
      </c>
      <c r="E46" s="7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305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250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01"/>
      <c r="CR46" s="7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274"/>
      <c r="DW46" s="7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01"/>
      <c r="FA46" s="7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01"/>
      <c r="GF46" s="7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01"/>
      <c r="GZ46" s="451"/>
    </row>
    <row r="47" spans="1:208" ht="15" hidden="1" customHeight="1" thickBot="1" x14ac:dyDescent="0.4">
      <c r="A47" s="480"/>
      <c r="B47" s="475"/>
      <c r="C47" s="196" t="s">
        <v>84</v>
      </c>
      <c r="D47" s="195" t="s">
        <v>88</v>
      </c>
      <c r="E47" s="197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307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251"/>
      <c r="BN47" s="198"/>
      <c r="BO47" s="198"/>
      <c r="BP47" s="198"/>
      <c r="BQ47" s="198"/>
      <c r="BR47" s="198"/>
      <c r="BS47" s="198"/>
      <c r="BT47" s="198"/>
      <c r="BU47" s="198"/>
      <c r="BV47" s="198"/>
      <c r="BW47" s="198"/>
      <c r="BX47" s="198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8"/>
      <c r="CM47" s="198"/>
      <c r="CN47" s="198"/>
      <c r="CO47" s="198"/>
      <c r="CP47" s="198"/>
      <c r="CQ47" s="199"/>
      <c r="CR47" s="197"/>
      <c r="CS47" s="198"/>
      <c r="CT47" s="198"/>
      <c r="CU47" s="198"/>
      <c r="CV47" s="198"/>
      <c r="CW47" s="198"/>
      <c r="CX47" s="198"/>
      <c r="CY47" s="198"/>
      <c r="CZ47" s="198"/>
      <c r="DA47" s="198"/>
      <c r="DB47" s="198"/>
      <c r="DC47" s="198"/>
      <c r="DD47" s="198"/>
      <c r="DE47" s="198"/>
      <c r="DF47" s="198"/>
      <c r="DG47" s="198"/>
      <c r="DH47" s="198"/>
      <c r="DI47" s="198"/>
      <c r="DJ47" s="198"/>
      <c r="DK47" s="198"/>
      <c r="DL47" s="198"/>
      <c r="DM47" s="198"/>
      <c r="DN47" s="198"/>
      <c r="DO47" s="198"/>
      <c r="DP47" s="198"/>
      <c r="DQ47" s="198"/>
      <c r="DR47" s="198"/>
      <c r="DS47" s="198"/>
      <c r="DT47" s="198"/>
      <c r="DU47" s="198"/>
      <c r="DV47" s="287"/>
      <c r="DW47" s="197"/>
      <c r="DX47" s="198"/>
      <c r="DY47" s="198"/>
      <c r="DZ47" s="198"/>
      <c r="EA47" s="198"/>
      <c r="EB47" s="198"/>
      <c r="EC47" s="198"/>
      <c r="ED47" s="198"/>
      <c r="EE47" s="198"/>
      <c r="EF47" s="198"/>
      <c r="EG47" s="198"/>
      <c r="EH47" s="198"/>
      <c r="EI47" s="198"/>
      <c r="EJ47" s="198"/>
      <c r="EK47" s="198"/>
      <c r="EL47" s="198"/>
      <c r="EM47" s="198"/>
      <c r="EN47" s="198"/>
      <c r="EO47" s="198"/>
      <c r="EP47" s="198"/>
      <c r="EQ47" s="198"/>
      <c r="ER47" s="198"/>
      <c r="ES47" s="198"/>
      <c r="ET47" s="198"/>
      <c r="EU47" s="198"/>
      <c r="EV47" s="198"/>
      <c r="EW47" s="198"/>
      <c r="EX47" s="198"/>
      <c r="EY47" s="198"/>
      <c r="EZ47" s="199"/>
      <c r="FA47" s="197"/>
      <c r="FB47" s="198"/>
      <c r="FC47" s="198"/>
      <c r="FD47" s="198"/>
      <c r="FE47" s="198"/>
      <c r="FF47" s="198"/>
      <c r="FG47" s="198"/>
      <c r="FH47" s="198"/>
      <c r="FI47" s="198"/>
      <c r="FJ47" s="198"/>
      <c r="FK47" s="198"/>
      <c r="FL47" s="198"/>
      <c r="FM47" s="198"/>
      <c r="FN47" s="198"/>
      <c r="FO47" s="198"/>
      <c r="FP47" s="198"/>
      <c r="FQ47" s="198"/>
      <c r="FR47" s="198"/>
      <c r="FS47" s="198"/>
      <c r="FT47" s="198"/>
      <c r="FU47" s="198"/>
      <c r="FV47" s="198"/>
      <c r="FW47" s="198"/>
      <c r="FX47" s="198"/>
      <c r="FY47" s="198"/>
      <c r="FZ47" s="198"/>
      <c r="GA47" s="198"/>
      <c r="GB47" s="198"/>
      <c r="GC47" s="198"/>
      <c r="GD47" s="198"/>
      <c r="GE47" s="199"/>
      <c r="GF47" s="197"/>
      <c r="GG47" s="198"/>
      <c r="GH47" s="198"/>
      <c r="GI47" s="198"/>
      <c r="GJ47" s="198"/>
      <c r="GK47" s="198"/>
      <c r="GL47" s="198"/>
      <c r="GM47" s="198"/>
      <c r="GN47" s="198"/>
      <c r="GO47" s="198"/>
      <c r="GP47" s="198"/>
      <c r="GQ47" s="198"/>
      <c r="GR47" s="198"/>
      <c r="GS47" s="198"/>
      <c r="GT47" s="198"/>
      <c r="GU47" s="198"/>
      <c r="GV47" s="198"/>
      <c r="GW47" s="198"/>
      <c r="GX47" s="198"/>
      <c r="GY47" s="199"/>
      <c r="GZ47" s="452"/>
    </row>
    <row r="48" spans="1:208" ht="21" hidden="1" x14ac:dyDescent="0.35">
      <c r="BM48" s="252"/>
      <c r="CR48" s="21"/>
      <c r="CS48" s="275"/>
      <c r="CT48" s="275"/>
      <c r="CU48" s="275"/>
      <c r="CV48" s="275"/>
      <c r="CW48" s="275"/>
      <c r="CX48" s="275"/>
      <c r="CY48" s="275"/>
      <c r="CZ48" s="275"/>
      <c r="DA48" s="275"/>
      <c r="DB48" s="275"/>
      <c r="DC48" s="275"/>
      <c r="DD48" s="275"/>
      <c r="DE48" s="275"/>
      <c r="DF48" s="275"/>
      <c r="DG48" s="275"/>
      <c r="DH48" s="275"/>
      <c r="DI48" s="275"/>
      <c r="DJ48" s="275"/>
      <c r="DK48" s="275"/>
      <c r="DL48" s="275"/>
      <c r="DM48" s="275"/>
      <c r="DN48" s="275"/>
      <c r="DO48" s="275"/>
      <c r="DP48" s="275"/>
      <c r="DQ48" s="275"/>
      <c r="DR48" s="275"/>
      <c r="DS48" s="275"/>
      <c r="DT48" s="275"/>
      <c r="DU48" s="275"/>
      <c r="DV48" s="357"/>
      <c r="DW48" s="21"/>
      <c r="DX48" s="275"/>
      <c r="DY48" s="275"/>
      <c r="DZ48" s="275"/>
      <c r="EA48" s="275"/>
      <c r="EB48" s="275"/>
      <c r="EC48" s="275"/>
      <c r="ED48" s="275"/>
      <c r="EE48" s="275"/>
      <c r="EF48" s="275"/>
      <c r="EG48" s="275"/>
      <c r="EH48" s="275"/>
      <c r="EI48" s="275"/>
      <c r="EJ48" s="275"/>
      <c r="EK48" s="275"/>
      <c r="EL48" s="275"/>
      <c r="EM48" s="275"/>
      <c r="EN48" s="275"/>
      <c r="EO48" s="275"/>
      <c r="EP48" s="275"/>
      <c r="EQ48" s="275"/>
      <c r="ER48" s="275"/>
      <c r="ES48" s="275"/>
      <c r="ET48" s="275"/>
      <c r="EU48" s="275"/>
      <c r="EV48" s="275"/>
      <c r="EW48" s="275"/>
      <c r="EX48" s="275"/>
      <c r="EY48" s="275"/>
      <c r="EZ48" s="275"/>
      <c r="FA48" s="21"/>
      <c r="FB48" s="275"/>
      <c r="FC48" s="275"/>
      <c r="FD48" s="275"/>
      <c r="FE48" s="275"/>
      <c r="FF48" s="275"/>
      <c r="FG48" s="275"/>
      <c r="FH48" s="275"/>
      <c r="FI48" s="275"/>
      <c r="FJ48" s="275"/>
      <c r="FK48" s="275"/>
      <c r="FL48" s="275"/>
      <c r="FM48" s="275"/>
      <c r="FN48" s="275"/>
      <c r="FO48" s="275"/>
      <c r="FP48" s="275"/>
      <c r="FQ48" s="275"/>
      <c r="FR48" s="275"/>
      <c r="FS48" s="275"/>
      <c r="FT48" s="275"/>
      <c r="FU48" s="275"/>
      <c r="FV48" s="275"/>
      <c r="FW48" s="275"/>
      <c r="FX48" s="275"/>
      <c r="FY48" s="275"/>
      <c r="FZ48" s="275"/>
      <c r="GA48" s="275"/>
      <c r="GB48" s="275"/>
      <c r="GC48" s="275"/>
      <c r="GD48" s="275"/>
      <c r="GE48" s="275"/>
      <c r="GF48" s="21"/>
      <c r="GG48" s="275"/>
      <c r="GH48" s="275"/>
      <c r="GI48" s="275"/>
      <c r="GJ48" s="275"/>
      <c r="GK48" s="275"/>
      <c r="GL48" s="275"/>
      <c r="GM48" s="275"/>
      <c r="GN48" s="275"/>
      <c r="GO48" s="275"/>
      <c r="GP48" s="275"/>
      <c r="GQ48" s="275"/>
      <c r="GR48" s="275"/>
      <c r="GS48" s="275"/>
      <c r="GT48" s="275"/>
      <c r="GU48" s="275"/>
      <c r="GV48" s="275"/>
      <c r="GW48" s="275"/>
      <c r="GX48" s="275"/>
      <c r="GY48" s="275"/>
      <c r="GZ48" s="453"/>
    </row>
    <row r="49" spans="1:208" ht="15" hidden="1" customHeight="1" thickBot="1" x14ac:dyDescent="0.4">
      <c r="A49" s="482"/>
      <c r="B49" s="481" t="s">
        <v>115</v>
      </c>
      <c r="C49" s="25" t="s">
        <v>82</v>
      </c>
      <c r="D49" s="32" t="s">
        <v>86</v>
      </c>
      <c r="E49" s="71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06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249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157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356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389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389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389"/>
      <c r="GZ49" s="450"/>
    </row>
    <row r="50" spans="1:208" ht="15" hidden="1" customHeight="1" thickBot="1" x14ac:dyDescent="0.4">
      <c r="A50" s="479"/>
      <c r="B50" s="474"/>
      <c r="C50" s="23" t="s">
        <v>81</v>
      </c>
      <c r="D50" s="2" t="s">
        <v>87</v>
      </c>
      <c r="E50" s="73">
        <f>+'Internal Wall'!O101</f>
        <v>0</v>
      </c>
      <c r="F50" s="73">
        <f>+'Internal Wall'!P101</f>
        <v>0</v>
      </c>
      <c r="G50" s="73">
        <f>+'Internal Wall'!Q101</f>
        <v>0</v>
      </c>
      <c r="H50" s="73">
        <f>+'Internal Wall'!R101</f>
        <v>0</v>
      </c>
      <c r="I50" s="73">
        <f>+'Internal Wall'!S101</f>
        <v>0</v>
      </c>
      <c r="J50" s="73">
        <f>+'Internal Wall'!T101</f>
        <v>0</v>
      </c>
      <c r="K50" s="73">
        <f>+'Internal Wall'!U101</f>
        <v>0</v>
      </c>
      <c r="L50" s="73">
        <f>+'Internal Wall'!V101</f>
        <v>0</v>
      </c>
      <c r="M50" s="73">
        <f>+'Internal Wall'!W101</f>
        <v>0</v>
      </c>
      <c r="N50" s="73">
        <f>+'Internal Wall'!X101</f>
        <v>0</v>
      </c>
      <c r="O50" s="73">
        <f>+'Internal Wall'!Y101</f>
        <v>0</v>
      </c>
      <c r="P50" s="73">
        <f>+'Internal Wall'!Z101</f>
        <v>0</v>
      </c>
      <c r="Q50" s="73">
        <f>+'Internal Wall'!AA101</f>
        <v>0</v>
      </c>
      <c r="R50" s="73">
        <f>+'Internal Wall'!AB101</f>
        <v>0</v>
      </c>
      <c r="S50" s="73">
        <f>+'Internal Wall'!AC101</f>
        <v>0</v>
      </c>
      <c r="T50" s="73">
        <f>+'Internal Wall'!AD101</f>
        <v>0</v>
      </c>
      <c r="U50" s="73">
        <f>+'Internal Wall'!AE101</f>
        <v>0</v>
      </c>
      <c r="V50" s="73">
        <f>+'Internal Wall'!AF101</f>
        <v>0</v>
      </c>
      <c r="W50" s="73">
        <f>+'Internal Wall'!AG101</f>
        <v>0</v>
      </c>
      <c r="X50" s="73">
        <f>+'Internal Wall'!AH101</f>
        <v>0</v>
      </c>
      <c r="Y50" s="73">
        <f>+'Internal Wall'!AI101</f>
        <v>0</v>
      </c>
      <c r="Z50" s="73">
        <f>+'Internal Wall'!AJ101</f>
        <v>0</v>
      </c>
      <c r="AA50" s="73">
        <f>+'Internal Wall'!AK101</f>
        <v>0</v>
      </c>
      <c r="AB50" s="73">
        <f>+'Internal Wall'!AL101</f>
        <v>0</v>
      </c>
      <c r="AC50" s="73">
        <f>+'Internal Wall'!AM101</f>
        <v>0</v>
      </c>
      <c r="AD50" s="73">
        <f>+'Internal Wall'!AN101</f>
        <v>0</v>
      </c>
      <c r="AE50" s="73">
        <f>+'Internal Wall'!AO101</f>
        <v>0</v>
      </c>
      <c r="AF50" s="73">
        <f>+'Internal Wall'!AP101</f>
        <v>0</v>
      </c>
      <c r="AG50" s="305">
        <f>+'Internal Wall'!BN103</f>
        <v>0</v>
      </c>
      <c r="AH50" s="73">
        <f>+'Internal Wall'!AR101</f>
        <v>0</v>
      </c>
      <c r="AI50" s="73">
        <f>+'Internal Wall'!AS101</f>
        <v>0</v>
      </c>
      <c r="AJ50" s="73">
        <f>+'Internal Wall'!AT101</f>
        <v>0</v>
      </c>
      <c r="AK50" s="73">
        <f>+'Internal Wall'!AU101</f>
        <v>0</v>
      </c>
      <c r="AL50" s="73">
        <f>+'Internal Wall'!AV101</f>
        <v>0</v>
      </c>
      <c r="AM50" s="73">
        <f>+'Internal Wall'!AW101</f>
        <v>0</v>
      </c>
      <c r="AN50" s="73">
        <f>+'Internal Wall'!AX101</f>
        <v>0</v>
      </c>
      <c r="AO50" s="73">
        <f>+'Internal Wall'!AY101</f>
        <v>0</v>
      </c>
      <c r="AP50" s="73">
        <f>+'Internal Wall'!AZ101</f>
        <v>0</v>
      </c>
      <c r="AQ50" s="73">
        <f>+'Internal Wall'!BA101</f>
        <v>0</v>
      </c>
      <c r="AR50" s="73">
        <f>+'Internal Wall'!BB101</f>
        <v>0</v>
      </c>
      <c r="AS50" s="73">
        <f>+'Internal Wall'!BC101</f>
        <v>0</v>
      </c>
      <c r="AT50" s="73">
        <f>+'Internal Wall'!BD101</f>
        <v>0</v>
      </c>
      <c r="AU50" s="73">
        <f>+'Internal Wall'!BE101</f>
        <v>0</v>
      </c>
      <c r="AV50" s="73">
        <f>+'Internal Wall'!BF101</f>
        <v>0</v>
      </c>
      <c r="AW50" s="73">
        <f>+'Internal Wall'!BG101</f>
        <v>0</v>
      </c>
      <c r="AX50" s="73">
        <f>+'Internal Wall'!BH101</f>
        <v>0</v>
      </c>
      <c r="AY50" s="73">
        <f>+'Internal Wall'!BI101</f>
        <v>0</v>
      </c>
      <c r="AZ50" s="73">
        <f>+'Internal Wall'!BJ101</f>
        <v>0</v>
      </c>
      <c r="BA50" s="73">
        <f>+'Internal Wall'!BK101</f>
        <v>0</v>
      </c>
      <c r="BB50" s="73">
        <f>+'Internal Wall'!BL101</f>
        <v>0</v>
      </c>
      <c r="BC50" s="73">
        <f>+'Internal Wall'!BM101</f>
        <v>0</v>
      </c>
      <c r="BD50" s="73">
        <f>+'Internal Wall'!BN101</f>
        <v>0</v>
      </c>
      <c r="BE50" s="73">
        <f>+'Internal Wall'!BO101</f>
        <v>0</v>
      </c>
      <c r="BF50" s="73">
        <f>+'Internal Wall'!BP101</f>
        <v>0</v>
      </c>
      <c r="BG50" s="73">
        <f>+'Internal Wall'!BQ101</f>
        <v>0</v>
      </c>
      <c r="BH50" s="73">
        <f>+'Internal Wall'!BR101</f>
        <v>0</v>
      </c>
      <c r="BI50" s="73">
        <f>+'Internal Wall'!BS101</f>
        <v>0</v>
      </c>
      <c r="BJ50" s="73">
        <f>+'Internal Wall'!BT101</f>
        <v>0</v>
      </c>
      <c r="BK50" s="73">
        <f>+'Internal Wall'!BU101</f>
        <v>0</v>
      </c>
      <c r="BL50" s="73">
        <f>+'Internal Wall'!BV101</f>
        <v>0</v>
      </c>
      <c r="BM50" s="250">
        <f>+'Internal Wall'!IR103</f>
        <v>0</v>
      </c>
      <c r="BN50" s="73">
        <f>+'Internal Wall'!BX101</f>
        <v>0</v>
      </c>
      <c r="BO50" s="73">
        <f>+'Internal Wall'!BY101</f>
        <v>0</v>
      </c>
      <c r="BP50" s="73">
        <f>+'Internal Wall'!BZ101</f>
        <v>0</v>
      </c>
      <c r="BQ50" s="73">
        <f>+'Internal Wall'!CA101</f>
        <v>0</v>
      </c>
      <c r="BR50" s="73">
        <f>+'Internal Wall'!CB101</f>
        <v>0</v>
      </c>
      <c r="BS50" s="73">
        <f>+'Internal Wall'!CC101</f>
        <v>0</v>
      </c>
      <c r="BT50" s="73">
        <f>+'Internal Wall'!CD101</f>
        <v>0</v>
      </c>
      <c r="BU50" s="73">
        <f>+'Internal Wall'!CE101</f>
        <v>0</v>
      </c>
      <c r="BV50" s="73">
        <f>+'Internal Wall'!CF101</f>
        <v>0</v>
      </c>
      <c r="BW50" s="73">
        <f>+'Internal Wall'!CG101</f>
        <v>0</v>
      </c>
      <c r="BX50" s="73">
        <f>+'Internal Wall'!CH101</f>
        <v>0</v>
      </c>
      <c r="BY50" s="73">
        <f>+'Internal Wall'!CI101</f>
        <v>0</v>
      </c>
      <c r="BZ50" s="73">
        <f>+'Internal Wall'!CJ101</f>
        <v>0</v>
      </c>
      <c r="CA50" s="73">
        <f>+'Internal Wall'!CK101</f>
        <v>0</v>
      </c>
      <c r="CB50" s="73">
        <f>+'Internal Wall'!CL101</f>
        <v>0</v>
      </c>
      <c r="CC50" s="73">
        <f>+'Internal Wall'!CM101</f>
        <v>0</v>
      </c>
      <c r="CD50" s="73">
        <f>+'Internal Wall'!CN101</f>
        <v>0</v>
      </c>
      <c r="CE50" s="73">
        <f>+'Internal Wall'!CO101</f>
        <v>0</v>
      </c>
      <c r="CF50" s="73">
        <f>+'Internal Wall'!CP101</f>
        <v>0</v>
      </c>
      <c r="CG50" s="73">
        <f>+'Internal Wall'!CQ101</f>
        <v>0</v>
      </c>
      <c r="CH50" s="73">
        <f>+'Internal Wall'!CR101</f>
        <v>0</v>
      </c>
      <c r="CI50" s="73">
        <f>+'Internal Wall'!CS101</f>
        <v>0</v>
      </c>
      <c r="CJ50" s="73">
        <f>+'Internal Wall'!CT101</f>
        <v>0</v>
      </c>
      <c r="CK50" s="73">
        <f>+'Internal Wall'!CU101</f>
        <v>0</v>
      </c>
      <c r="CL50" s="73">
        <f>+'Internal Wall'!CV101</f>
        <v>0</v>
      </c>
      <c r="CM50" s="73">
        <f>+'Internal Wall'!CW101</f>
        <v>0</v>
      </c>
      <c r="CN50" s="73">
        <f>+'Internal Wall'!CX101</f>
        <v>0</v>
      </c>
      <c r="CO50" s="73">
        <f>+'Internal Wall'!CY101</f>
        <v>0</v>
      </c>
      <c r="CP50" s="73">
        <f>+'Internal Wall'!CZ101</f>
        <v>0</v>
      </c>
      <c r="CQ50" s="160">
        <f>+'Internal Wall'!DA101</f>
        <v>0</v>
      </c>
      <c r="CR50" s="73">
        <f>+'Internal Wall'!DB101</f>
        <v>0</v>
      </c>
      <c r="CS50" s="73">
        <f>+'Internal Wall'!DC101</f>
        <v>0</v>
      </c>
      <c r="CT50" s="73">
        <f>+'Internal Wall'!DD101</f>
        <v>0</v>
      </c>
      <c r="CU50" s="73">
        <f>+'Internal Wall'!DE101</f>
        <v>0</v>
      </c>
      <c r="CV50" s="73">
        <f>+'Internal Wall'!DF101</f>
        <v>0</v>
      </c>
      <c r="CW50" s="73">
        <f>+'Internal Wall'!DG101</f>
        <v>0</v>
      </c>
      <c r="CX50" s="73">
        <f>+'Internal Wall'!DH101</f>
        <v>0</v>
      </c>
      <c r="CY50" s="73">
        <f>+'Internal Wall'!DI101</f>
        <v>0</v>
      </c>
      <c r="CZ50" s="73">
        <f>+'Internal Wall'!DJ101</f>
        <v>0</v>
      </c>
      <c r="DA50" s="73">
        <f>+'Internal Wall'!DK101</f>
        <v>0</v>
      </c>
      <c r="DB50" s="73">
        <f>+'Internal Wall'!DL101</f>
        <v>0</v>
      </c>
      <c r="DC50" s="73">
        <f>+'Internal Wall'!DM101</f>
        <v>0</v>
      </c>
      <c r="DD50" s="73">
        <f>+'Internal Wall'!DN101</f>
        <v>0</v>
      </c>
      <c r="DE50" s="73">
        <f>+'Internal Wall'!DO101</f>
        <v>0</v>
      </c>
      <c r="DF50" s="73">
        <f>+'Internal Wall'!DP101</f>
        <v>0</v>
      </c>
      <c r="DG50" s="73">
        <f>+'Internal Wall'!DQ101</f>
        <v>0</v>
      </c>
      <c r="DH50" s="73">
        <f>+'Internal Wall'!DR101</f>
        <v>0</v>
      </c>
      <c r="DI50" s="73">
        <f>+'Internal Wall'!DS101</f>
        <v>0</v>
      </c>
      <c r="DJ50" s="73">
        <f>+'Internal Wall'!DT101</f>
        <v>0</v>
      </c>
      <c r="DK50" s="73">
        <f>+'Internal Wall'!DU101</f>
        <v>0</v>
      </c>
      <c r="DL50" s="73">
        <f>+'Internal Wall'!DV101</f>
        <v>0</v>
      </c>
      <c r="DM50" s="73">
        <f>+'Internal Wall'!DW101</f>
        <v>0</v>
      </c>
      <c r="DN50" s="73">
        <f>+'Internal Wall'!DX101</f>
        <v>0</v>
      </c>
      <c r="DO50" s="73">
        <f>+'Internal Wall'!DY101</f>
        <v>0</v>
      </c>
      <c r="DP50" s="73">
        <f>+'Internal Wall'!DZ101</f>
        <v>0</v>
      </c>
      <c r="DQ50" s="73">
        <f>+'Internal Wall'!EA101</f>
        <v>0</v>
      </c>
      <c r="DR50" s="73">
        <f>+'Internal Wall'!EB101</f>
        <v>0</v>
      </c>
      <c r="DS50" s="73">
        <f>+'Internal Wall'!EC101</f>
        <v>0</v>
      </c>
      <c r="DT50" s="73">
        <f>+'Internal Wall'!ED101</f>
        <v>0</v>
      </c>
      <c r="DU50" s="73">
        <f>+'Internal Wall'!EE101</f>
        <v>0</v>
      </c>
      <c r="DV50" s="353">
        <f>+'Internal Wall'!EF101</f>
        <v>0</v>
      </c>
      <c r="DW50" s="73">
        <f>+'Internal Wall'!EG101</f>
        <v>0</v>
      </c>
      <c r="DX50" s="73">
        <f>+'Internal Wall'!EH101</f>
        <v>0</v>
      </c>
      <c r="DY50" s="73">
        <f>+'Internal Wall'!EI101</f>
        <v>0</v>
      </c>
      <c r="DZ50" s="73">
        <f>+'Internal Wall'!EJ101</f>
        <v>0</v>
      </c>
      <c r="EA50" s="73">
        <f>+'Internal Wall'!EK101</f>
        <v>0</v>
      </c>
      <c r="EB50" s="73">
        <f>+'Internal Wall'!EL101</f>
        <v>0</v>
      </c>
      <c r="EC50" s="73">
        <f>+'Internal Wall'!EM101</f>
        <v>0</v>
      </c>
      <c r="ED50" s="73">
        <f>+'Internal Wall'!EN101</f>
        <v>0</v>
      </c>
      <c r="EE50" s="73">
        <f>+'Internal Wall'!EO101</f>
        <v>0</v>
      </c>
      <c r="EF50" s="73">
        <f>+'Internal Wall'!EP101</f>
        <v>0</v>
      </c>
      <c r="EG50" s="73">
        <f>+'Internal Wall'!EQ101</f>
        <v>0</v>
      </c>
      <c r="EH50" s="73">
        <f>+'Internal Wall'!ER101</f>
        <v>0</v>
      </c>
      <c r="EI50" s="73">
        <f>+'Internal Wall'!ES101</f>
        <v>0</v>
      </c>
      <c r="EJ50" s="73">
        <f>+'Internal Wall'!ET101</f>
        <v>0</v>
      </c>
      <c r="EK50" s="73">
        <f>+'Internal Wall'!EU101</f>
        <v>0</v>
      </c>
      <c r="EL50" s="73">
        <f>+'Internal Wall'!EV101</f>
        <v>0</v>
      </c>
      <c r="EM50" s="73">
        <f>+'Internal Wall'!EW101</f>
        <v>0</v>
      </c>
      <c r="EN50" s="73">
        <f>+'Internal Wall'!EX101</f>
        <v>0</v>
      </c>
      <c r="EO50" s="73">
        <f>+'Internal Wall'!EY101</f>
        <v>0</v>
      </c>
      <c r="EP50" s="73">
        <f>+'Internal Wall'!EZ101</f>
        <v>0</v>
      </c>
      <c r="EQ50" s="73">
        <f>+'Internal Wall'!FA101</f>
        <v>0</v>
      </c>
      <c r="ER50" s="73">
        <f>+'Internal Wall'!FB101</f>
        <v>0</v>
      </c>
      <c r="ES50" s="73">
        <f>+'Internal Wall'!FC101</f>
        <v>0</v>
      </c>
      <c r="ET50" s="73">
        <f>+'Internal Wall'!FD101</f>
        <v>0</v>
      </c>
      <c r="EU50" s="73">
        <f>+'Internal Wall'!FE101</f>
        <v>0</v>
      </c>
      <c r="EV50" s="73">
        <f>+'Internal Wall'!FF101</f>
        <v>0</v>
      </c>
      <c r="EW50" s="73">
        <f>+'Internal Wall'!FG101</f>
        <v>0</v>
      </c>
      <c r="EX50" s="73">
        <f>+'Internal Wall'!FH101</f>
        <v>0</v>
      </c>
      <c r="EY50" s="73">
        <f>+'Internal Wall'!FI101</f>
        <v>0</v>
      </c>
      <c r="EZ50" s="160">
        <f>+'Internal Wall'!FJ101</f>
        <v>0</v>
      </c>
      <c r="FA50" s="73">
        <f>+'Internal Wall'!FK101</f>
        <v>0</v>
      </c>
      <c r="FB50" s="73">
        <f>+'Internal Wall'!FL101</f>
        <v>6.5</v>
      </c>
      <c r="FC50" s="73">
        <f>+'Internal Wall'!FM101</f>
        <v>0</v>
      </c>
      <c r="FD50" s="73">
        <f>+'Internal Wall'!FN101</f>
        <v>0</v>
      </c>
      <c r="FE50" s="73">
        <f>+'Internal Wall'!FO101</f>
        <v>0</v>
      </c>
      <c r="FF50" s="73">
        <f>+'Internal Wall'!FP101</f>
        <v>0</v>
      </c>
      <c r="FG50" s="73">
        <f>+'Internal Wall'!FQ101</f>
        <v>0</v>
      </c>
      <c r="FH50" s="73">
        <f>+'Internal Wall'!FR101</f>
        <v>0</v>
      </c>
      <c r="FI50" s="73">
        <f>+'Internal Wall'!FS101</f>
        <v>5.75</v>
      </c>
      <c r="FJ50" s="73">
        <f>+'Internal Wall'!FT101</f>
        <v>0</v>
      </c>
      <c r="FK50" s="73">
        <f>+'Internal Wall'!FU101</f>
        <v>0</v>
      </c>
      <c r="FL50" s="73">
        <f>+'Internal Wall'!FV101</f>
        <v>0</v>
      </c>
      <c r="FM50" s="73">
        <f>+'Internal Wall'!FW101</f>
        <v>0</v>
      </c>
      <c r="FN50" s="73">
        <f>+'Internal Wall'!FX101</f>
        <v>37</v>
      </c>
      <c r="FO50" s="73">
        <f>+'Internal Wall'!FY101</f>
        <v>0</v>
      </c>
      <c r="FP50" s="73">
        <f>+'Internal Wall'!FZ101</f>
        <v>0</v>
      </c>
      <c r="FQ50" s="73">
        <f>+'Internal Wall'!GA101</f>
        <v>0</v>
      </c>
      <c r="FR50" s="73">
        <f>+'Internal Wall'!GB101</f>
        <v>15</v>
      </c>
      <c r="FS50" s="73">
        <f>+'Internal Wall'!GC101</f>
        <v>0</v>
      </c>
      <c r="FT50" s="73">
        <f>+'Internal Wall'!GD101</f>
        <v>0</v>
      </c>
      <c r="FU50" s="73">
        <f>+'Internal Wall'!GE101</f>
        <v>0</v>
      </c>
      <c r="FV50" s="73">
        <f>+'Internal Wall'!GF101</f>
        <v>15</v>
      </c>
      <c r="FW50" s="73">
        <f>+'Internal Wall'!GG101</f>
        <v>0</v>
      </c>
      <c r="FX50" s="73">
        <f>+'Internal Wall'!GH101</f>
        <v>0</v>
      </c>
      <c r="FY50" s="73">
        <f>+'Internal Wall'!GI101</f>
        <v>0</v>
      </c>
      <c r="FZ50" s="73">
        <f>+'Internal Wall'!GJ101</f>
        <v>3.25</v>
      </c>
      <c r="GA50" s="73">
        <f>+'Internal Wall'!GK101</f>
        <v>18</v>
      </c>
      <c r="GB50" s="73">
        <f>+'Internal Wall'!GL101</f>
        <v>0</v>
      </c>
      <c r="GC50" s="73">
        <f>+'Internal Wall'!GM101</f>
        <v>0</v>
      </c>
      <c r="GD50" s="73">
        <f>+'Internal Wall'!GN101</f>
        <v>0</v>
      </c>
      <c r="GE50" s="160">
        <f>+'Internal Wall'!GO101</f>
        <v>0</v>
      </c>
      <c r="GF50" s="73">
        <f>+'Internal Wall'!GP101</f>
        <v>0</v>
      </c>
      <c r="GG50" s="73">
        <f>+'Internal Wall'!GQ101</f>
        <v>0</v>
      </c>
      <c r="GH50" s="73">
        <f>+'Internal Wall'!GR101</f>
        <v>0</v>
      </c>
      <c r="GI50" s="73">
        <f>+'Internal Wall'!GS101</f>
        <v>0</v>
      </c>
      <c r="GJ50" s="73">
        <f>+'Internal Wall'!GT101</f>
        <v>0</v>
      </c>
      <c r="GK50" s="73">
        <f>+'Internal Wall'!GU101</f>
        <v>13</v>
      </c>
      <c r="GL50" s="73">
        <f>+'Internal Wall'!GV101</f>
        <v>0</v>
      </c>
      <c r="GM50" s="73">
        <f>+'Internal Wall'!GW101</f>
        <v>0</v>
      </c>
      <c r="GN50" s="73">
        <f>+'Internal Wall'!GX101</f>
        <v>0</v>
      </c>
      <c r="GO50" s="73">
        <f>+'Internal Wall'!GY101</f>
        <v>0</v>
      </c>
      <c r="GP50" s="73">
        <f>+'Internal Wall'!GZ101</f>
        <v>0</v>
      </c>
      <c r="GQ50" s="73">
        <f>+'Internal Wall'!HA101</f>
        <v>0</v>
      </c>
      <c r="GR50" s="73">
        <f>+'Internal Wall'!HB101</f>
        <v>0</v>
      </c>
      <c r="GS50" s="73">
        <f>+'Internal Wall'!HC101</f>
        <v>0</v>
      </c>
      <c r="GT50" s="73">
        <f>+'Internal Wall'!HD101</f>
        <v>5</v>
      </c>
      <c r="GU50" s="73">
        <f>+'Internal Wall'!HE101</f>
        <v>0</v>
      </c>
      <c r="GV50" s="73">
        <f>+'Internal Wall'!HF101</f>
        <v>23</v>
      </c>
      <c r="GW50" s="73">
        <f>+'Internal Wall'!HG101</f>
        <v>0</v>
      </c>
      <c r="GX50" s="73">
        <f>+'Internal Wall'!HH101</f>
        <v>0</v>
      </c>
      <c r="GY50" s="160">
        <f>+'Internal Wall'!HI101</f>
        <v>0</v>
      </c>
      <c r="GZ50" s="451"/>
    </row>
    <row r="51" spans="1:208" ht="15" hidden="1" customHeight="1" thickBot="1" x14ac:dyDescent="0.4">
      <c r="A51" s="479"/>
      <c r="B51" s="474"/>
      <c r="C51" s="23" t="s">
        <v>83</v>
      </c>
      <c r="D51" s="2" t="s">
        <v>87</v>
      </c>
      <c r="E51" s="7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305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250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01"/>
      <c r="CR51" s="7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274"/>
      <c r="DW51" s="7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01"/>
      <c r="FA51" s="7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01"/>
      <c r="GF51" s="7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01"/>
      <c r="GZ51" s="451"/>
    </row>
    <row r="52" spans="1:208" ht="15" hidden="1" customHeight="1" thickBot="1" x14ac:dyDescent="0.4">
      <c r="A52" s="480"/>
      <c r="B52" s="475"/>
      <c r="C52" s="196" t="s">
        <v>84</v>
      </c>
      <c r="D52" s="195" t="s">
        <v>88</v>
      </c>
      <c r="E52" s="197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307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8"/>
      <c r="AV52" s="198"/>
      <c r="AW52" s="198"/>
      <c r="AX52" s="198"/>
      <c r="AY52" s="198"/>
      <c r="AZ52" s="198"/>
      <c r="BA52" s="198"/>
      <c r="BB52" s="198"/>
      <c r="BC52" s="198"/>
      <c r="BD52" s="198"/>
      <c r="BE52" s="198"/>
      <c r="BF52" s="198"/>
      <c r="BG52" s="198"/>
      <c r="BH52" s="198"/>
      <c r="BI52" s="198"/>
      <c r="BJ52" s="198"/>
      <c r="BK52" s="198"/>
      <c r="BL52" s="198"/>
      <c r="BM52" s="251"/>
      <c r="BN52" s="198"/>
      <c r="BO52" s="198"/>
      <c r="BP52" s="198"/>
      <c r="BQ52" s="198"/>
      <c r="BR52" s="198"/>
      <c r="BS52" s="198"/>
      <c r="BT52" s="198"/>
      <c r="BU52" s="198"/>
      <c r="BV52" s="198"/>
      <c r="BW52" s="198"/>
      <c r="BX52" s="198"/>
      <c r="BY52" s="198"/>
      <c r="BZ52" s="198"/>
      <c r="CA52" s="198"/>
      <c r="CB52" s="198"/>
      <c r="CC52" s="198"/>
      <c r="CD52" s="198"/>
      <c r="CE52" s="198"/>
      <c r="CF52" s="198"/>
      <c r="CG52" s="198"/>
      <c r="CH52" s="198"/>
      <c r="CI52" s="198"/>
      <c r="CJ52" s="198"/>
      <c r="CK52" s="198"/>
      <c r="CL52" s="198"/>
      <c r="CM52" s="198"/>
      <c r="CN52" s="198"/>
      <c r="CO52" s="198"/>
      <c r="CP52" s="198"/>
      <c r="CQ52" s="199"/>
      <c r="CR52" s="197"/>
      <c r="CS52" s="198"/>
      <c r="CT52" s="198"/>
      <c r="CU52" s="198"/>
      <c r="CV52" s="198"/>
      <c r="CW52" s="198"/>
      <c r="CX52" s="198"/>
      <c r="CY52" s="198"/>
      <c r="CZ52" s="198"/>
      <c r="DA52" s="198"/>
      <c r="DB52" s="198"/>
      <c r="DC52" s="198"/>
      <c r="DD52" s="198"/>
      <c r="DE52" s="198"/>
      <c r="DF52" s="198"/>
      <c r="DG52" s="198"/>
      <c r="DH52" s="198"/>
      <c r="DI52" s="198"/>
      <c r="DJ52" s="198"/>
      <c r="DK52" s="198"/>
      <c r="DL52" s="198"/>
      <c r="DM52" s="198"/>
      <c r="DN52" s="198"/>
      <c r="DO52" s="198"/>
      <c r="DP52" s="198"/>
      <c r="DQ52" s="198"/>
      <c r="DR52" s="198"/>
      <c r="DS52" s="198"/>
      <c r="DT52" s="198"/>
      <c r="DU52" s="198"/>
      <c r="DV52" s="287"/>
      <c r="DW52" s="197"/>
      <c r="DX52" s="198"/>
      <c r="DY52" s="198"/>
      <c r="DZ52" s="198"/>
      <c r="EA52" s="198"/>
      <c r="EB52" s="198"/>
      <c r="EC52" s="198"/>
      <c r="ED52" s="198"/>
      <c r="EE52" s="198"/>
      <c r="EF52" s="198"/>
      <c r="EG52" s="198"/>
      <c r="EH52" s="198"/>
      <c r="EI52" s="198"/>
      <c r="EJ52" s="198"/>
      <c r="EK52" s="198"/>
      <c r="EL52" s="198"/>
      <c r="EM52" s="198"/>
      <c r="EN52" s="198"/>
      <c r="EO52" s="198"/>
      <c r="EP52" s="198"/>
      <c r="EQ52" s="198"/>
      <c r="ER52" s="198"/>
      <c r="ES52" s="198"/>
      <c r="ET52" s="198"/>
      <c r="EU52" s="198"/>
      <c r="EV52" s="198"/>
      <c r="EW52" s="198"/>
      <c r="EX52" s="198"/>
      <c r="EY52" s="198"/>
      <c r="EZ52" s="199"/>
      <c r="FA52" s="197"/>
      <c r="FB52" s="198"/>
      <c r="FC52" s="198"/>
      <c r="FD52" s="198"/>
      <c r="FE52" s="198"/>
      <c r="FF52" s="198"/>
      <c r="FG52" s="198"/>
      <c r="FH52" s="198"/>
      <c r="FI52" s="198"/>
      <c r="FJ52" s="198"/>
      <c r="FK52" s="198"/>
      <c r="FL52" s="198"/>
      <c r="FM52" s="198"/>
      <c r="FN52" s="198"/>
      <c r="FO52" s="198"/>
      <c r="FP52" s="198"/>
      <c r="FQ52" s="198"/>
      <c r="FR52" s="198"/>
      <c r="FS52" s="198"/>
      <c r="FT52" s="198"/>
      <c r="FU52" s="198"/>
      <c r="FV52" s="198"/>
      <c r="FW52" s="198"/>
      <c r="FX52" s="198"/>
      <c r="FY52" s="198"/>
      <c r="FZ52" s="198"/>
      <c r="GA52" s="198"/>
      <c r="GB52" s="198"/>
      <c r="GC52" s="198"/>
      <c r="GD52" s="198"/>
      <c r="GE52" s="199"/>
      <c r="GF52" s="197"/>
      <c r="GG52" s="198"/>
      <c r="GH52" s="198"/>
      <c r="GI52" s="198"/>
      <c r="GJ52" s="198"/>
      <c r="GK52" s="198"/>
      <c r="GL52" s="198"/>
      <c r="GM52" s="198"/>
      <c r="GN52" s="198"/>
      <c r="GO52" s="198"/>
      <c r="GP52" s="198"/>
      <c r="GQ52" s="198"/>
      <c r="GR52" s="198"/>
      <c r="GS52" s="198"/>
      <c r="GT52" s="198"/>
      <c r="GU52" s="198"/>
      <c r="GV52" s="198"/>
      <c r="GW52" s="198"/>
      <c r="GX52" s="198"/>
      <c r="GY52" s="199"/>
      <c r="GZ52" s="452"/>
    </row>
    <row r="53" spans="1:208" ht="15" customHeight="1" thickBot="1" x14ac:dyDescent="0.4">
      <c r="A53" s="285"/>
      <c r="B53" s="286"/>
      <c r="C53" s="297"/>
      <c r="D53" s="204"/>
      <c r="E53" s="298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99"/>
      <c r="AG53" s="300"/>
      <c r="AH53" s="301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57"/>
      <c r="AW53" s="257"/>
      <c r="AX53" s="257"/>
      <c r="AY53" s="257"/>
      <c r="AZ53" s="257"/>
      <c r="BA53" s="257"/>
      <c r="BB53" s="257"/>
      <c r="BC53" s="257"/>
      <c r="BD53" s="257"/>
      <c r="BE53" s="257"/>
      <c r="BF53" s="257"/>
      <c r="BG53" s="257"/>
      <c r="BH53" s="257"/>
      <c r="BI53" s="257"/>
      <c r="BJ53" s="257"/>
      <c r="BK53" s="257"/>
      <c r="BL53" s="299"/>
      <c r="BM53" s="302"/>
      <c r="BN53" s="301"/>
      <c r="BO53" s="257"/>
      <c r="BP53" s="257"/>
      <c r="BQ53" s="257"/>
      <c r="BR53" s="257"/>
      <c r="BS53" s="257"/>
      <c r="BT53" s="257"/>
      <c r="BU53" s="257"/>
      <c r="BV53" s="257"/>
      <c r="BW53" s="257"/>
      <c r="BX53" s="257"/>
      <c r="BY53" s="257"/>
      <c r="BZ53" s="257"/>
      <c r="CA53" s="257"/>
      <c r="CB53" s="257"/>
      <c r="CC53" s="257"/>
      <c r="CD53" s="257"/>
      <c r="CE53" s="257"/>
      <c r="CF53" s="257"/>
      <c r="CG53" s="257"/>
      <c r="CH53" s="257"/>
      <c r="CI53" s="257"/>
      <c r="CJ53" s="257"/>
      <c r="CK53" s="257"/>
      <c r="CL53" s="257"/>
      <c r="CM53" s="257"/>
      <c r="CN53" s="257"/>
      <c r="CO53" s="257"/>
      <c r="CP53" s="257"/>
      <c r="CQ53" s="299"/>
      <c r="CR53" s="298"/>
      <c r="CS53" s="257"/>
      <c r="CT53" s="257"/>
      <c r="CU53" s="257"/>
      <c r="CV53" s="257"/>
      <c r="CW53" s="257"/>
      <c r="CX53" s="257"/>
      <c r="CY53" s="257"/>
      <c r="CZ53" s="257"/>
      <c r="DA53" s="299"/>
      <c r="DB53" s="289"/>
      <c r="DC53" s="289"/>
      <c r="DD53" s="289"/>
      <c r="DE53" s="289"/>
      <c r="DF53" s="289"/>
      <c r="DG53" s="289"/>
      <c r="DH53" s="289"/>
      <c r="DI53" s="289"/>
      <c r="DJ53" s="289"/>
      <c r="DK53" s="289"/>
      <c r="DL53" s="289"/>
      <c r="DM53" s="289"/>
      <c r="DN53" s="289"/>
      <c r="DO53" s="289"/>
      <c r="DP53" s="289"/>
      <c r="DQ53" s="289"/>
      <c r="DR53" s="289"/>
      <c r="DS53" s="289"/>
      <c r="DT53" s="289"/>
      <c r="DU53" s="289"/>
      <c r="DV53" s="352"/>
      <c r="DW53" s="288"/>
      <c r="DX53" s="289"/>
      <c r="DY53" s="289"/>
      <c r="DZ53" s="289"/>
      <c r="EA53" s="289"/>
      <c r="EB53" s="289"/>
      <c r="EC53" s="289"/>
      <c r="ED53" s="289"/>
      <c r="EE53" s="289"/>
      <c r="EF53" s="289"/>
      <c r="EG53" s="289"/>
      <c r="EH53" s="289"/>
      <c r="EI53" s="289"/>
      <c r="EJ53" s="289"/>
      <c r="EK53" s="289"/>
      <c r="EL53" s="289"/>
      <c r="EM53" s="289"/>
      <c r="EN53" s="289"/>
      <c r="EO53" s="289"/>
      <c r="EP53" s="289"/>
      <c r="EQ53" s="289"/>
      <c r="ER53" s="289"/>
      <c r="ES53" s="289"/>
      <c r="ET53" s="289"/>
      <c r="EU53" s="289"/>
      <c r="EV53" s="289"/>
      <c r="EW53" s="289"/>
      <c r="EX53" s="289"/>
      <c r="EY53" s="289"/>
      <c r="EZ53" s="289"/>
      <c r="FA53" s="288"/>
      <c r="FB53" s="289"/>
      <c r="FC53" s="289"/>
      <c r="FD53" s="289"/>
      <c r="FE53" s="289"/>
      <c r="FF53" s="289"/>
      <c r="FG53" s="289"/>
      <c r="FH53" s="289"/>
      <c r="FI53" s="289"/>
      <c r="FJ53" s="289"/>
      <c r="FK53" s="289"/>
      <c r="FL53" s="289"/>
      <c r="FM53" s="289"/>
      <c r="FN53" s="289"/>
      <c r="FO53" s="289"/>
      <c r="FP53" s="289"/>
      <c r="FQ53" s="289"/>
      <c r="FR53" s="289"/>
      <c r="FS53" s="289"/>
      <c r="FT53" s="289"/>
      <c r="FU53" s="289"/>
      <c r="FV53" s="289"/>
      <c r="FW53" s="289"/>
      <c r="FX53" s="289"/>
      <c r="FY53" s="289"/>
      <c r="FZ53" s="289"/>
      <c r="GA53" s="289"/>
      <c r="GB53" s="289"/>
      <c r="GC53" s="289"/>
      <c r="GD53" s="289"/>
      <c r="GE53" s="289"/>
      <c r="GF53" s="288"/>
      <c r="GG53" s="289"/>
      <c r="GH53" s="289"/>
      <c r="GI53" s="289"/>
      <c r="GJ53" s="289"/>
      <c r="GK53" s="289"/>
      <c r="GL53" s="289"/>
      <c r="GM53" s="289"/>
      <c r="GN53" s="289"/>
      <c r="GO53" s="289"/>
      <c r="GP53" s="289"/>
      <c r="GQ53" s="289"/>
      <c r="GR53" s="289"/>
      <c r="GS53" s="289"/>
      <c r="GT53" s="289"/>
      <c r="GU53" s="289"/>
      <c r="GV53" s="289"/>
      <c r="GW53" s="289"/>
      <c r="GX53" s="289"/>
      <c r="GY53" s="289"/>
      <c r="GZ53" s="448"/>
    </row>
    <row r="54" spans="1:208" s="225" customFormat="1" ht="20.25" customHeight="1" x14ac:dyDescent="0.25">
      <c r="A54" s="468"/>
      <c r="B54" s="471" t="s">
        <v>109</v>
      </c>
      <c r="C54" s="220" t="s">
        <v>82</v>
      </c>
      <c r="D54" s="221" t="s">
        <v>86</v>
      </c>
      <c r="E54" s="222">
        <f>+E34+E39+E44</f>
        <v>1</v>
      </c>
      <c r="F54" s="223">
        <f t="shared" ref="F54:AF54" si="38">+F34+F39+F44</f>
        <v>0</v>
      </c>
      <c r="G54" s="223">
        <f t="shared" si="38"/>
        <v>0</v>
      </c>
      <c r="H54" s="223">
        <f t="shared" si="38"/>
        <v>0</v>
      </c>
      <c r="I54" s="223">
        <f t="shared" si="38"/>
        <v>0</v>
      </c>
      <c r="J54" s="223">
        <f t="shared" si="38"/>
        <v>0</v>
      </c>
      <c r="K54" s="223">
        <f t="shared" si="38"/>
        <v>0</v>
      </c>
      <c r="L54" s="223">
        <f t="shared" si="38"/>
        <v>0</v>
      </c>
      <c r="M54" s="223">
        <f t="shared" si="38"/>
        <v>0.5</v>
      </c>
      <c r="N54" s="223">
        <f t="shared" si="38"/>
        <v>0</v>
      </c>
      <c r="O54" s="223">
        <f t="shared" si="38"/>
        <v>0</v>
      </c>
      <c r="P54" s="223">
        <f t="shared" si="38"/>
        <v>2</v>
      </c>
      <c r="Q54" s="223">
        <f t="shared" si="38"/>
        <v>0</v>
      </c>
      <c r="R54" s="223">
        <f t="shared" si="38"/>
        <v>0.5</v>
      </c>
      <c r="S54" s="223">
        <f t="shared" si="38"/>
        <v>0</v>
      </c>
      <c r="T54" s="223">
        <f t="shared" si="38"/>
        <v>0</v>
      </c>
      <c r="U54" s="223">
        <f t="shared" si="38"/>
        <v>1</v>
      </c>
      <c r="V54" s="223">
        <f t="shared" si="38"/>
        <v>6</v>
      </c>
      <c r="W54" s="223">
        <f t="shared" si="38"/>
        <v>0</v>
      </c>
      <c r="X54" s="223">
        <f t="shared" si="38"/>
        <v>0</v>
      </c>
      <c r="Y54" s="223">
        <f t="shared" si="38"/>
        <v>0</v>
      </c>
      <c r="Z54" s="223">
        <f t="shared" si="38"/>
        <v>0</v>
      </c>
      <c r="AA54" s="223">
        <f t="shared" si="38"/>
        <v>0</v>
      </c>
      <c r="AB54" s="223">
        <f t="shared" si="38"/>
        <v>0</v>
      </c>
      <c r="AC54" s="223">
        <f t="shared" si="38"/>
        <v>0</v>
      </c>
      <c r="AD54" s="223">
        <f t="shared" si="38"/>
        <v>0</v>
      </c>
      <c r="AE54" s="223">
        <f t="shared" si="38"/>
        <v>0</v>
      </c>
      <c r="AF54" s="290">
        <f t="shared" si="38"/>
        <v>0</v>
      </c>
      <c r="AG54" s="230">
        <f t="shared" ref="AG54" si="39">+AG34+AG39</f>
        <v>0</v>
      </c>
      <c r="AH54" s="222">
        <f t="shared" ref="AH54:BL54" si="40">+AH34+AH39+AH44</f>
        <v>0</v>
      </c>
      <c r="AI54" s="223">
        <f t="shared" si="40"/>
        <v>0</v>
      </c>
      <c r="AJ54" s="223">
        <f t="shared" si="40"/>
        <v>0</v>
      </c>
      <c r="AK54" s="223">
        <f t="shared" si="40"/>
        <v>2</v>
      </c>
      <c r="AL54" s="223">
        <f t="shared" si="40"/>
        <v>0.5</v>
      </c>
      <c r="AM54" s="223">
        <f t="shared" si="40"/>
        <v>0</v>
      </c>
      <c r="AN54" s="223">
        <f t="shared" si="40"/>
        <v>0</v>
      </c>
      <c r="AO54" s="223">
        <f t="shared" si="40"/>
        <v>0</v>
      </c>
      <c r="AP54" s="223">
        <f t="shared" si="40"/>
        <v>0</v>
      </c>
      <c r="AQ54" s="223">
        <f t="shared" si="40"/>
        <v>4</v>
      </c>
      <c r="AR54" s="223">
        <f t="shared" si="40"/>
        <v>0</v>
      </c>
      <c r="AS54" s="223">
        <f t="shared" si="40"/>
        <v>0</v>
      </c>
      <c r="AT54" s="223">
        <f t="shared" si="40"/>
        <v>0</v>
      </c>
      <c r="AU54" s="223">
        <f t="shared" si="40"/>
        <v>0</v>
      </c>
      <c r="AV54" s="223">
        <f t="shared" si="40"/>
        <v>0</v>
      </c>
      <c r="AW54" s="223">
        <f t="shared" si="40"/>
        <v>0</v>
      </c>
      <c r="AX54" s="223">
        <f t="shared" si="40"/>
        <v>0</v>
      </c>
      <c r="AY54" s="223">
        <f t="shared" si="40"/>
        <v>0</v>
      </c>
      <c r="AZ54" s="223">
        <f t="shared" si="40"/>
        <v>0</v>
      </c>
      <c r="BA54" s="223">
        <f t="shared" si="40"/>
        <v>0</v>
      </c>
      <c r="BB54" s="223">
        <f t="shared" si="40"/>
        <v>0</v>
      </c>
      <c r="BC54" s="223">
        <f t="shared" si="40"/>
        <v>0</v>
      </c>
      <c r="BD54" s="223">
        <f t="shared" si="40"/>
        <v>0</v>
      </c>
      <c r="BE54" s="223">
        <f t="shared" si="40"/>
        <v>2</v>
      </c>
      <c r="BF54" s="223">
        <f t="shared" si="40"/>
        <v>0</v>
      </c>
      <c r="BG54" s="223">
        <f t="shared" si="40"/>
        <v>0</v>
      </c>
      <c r="BH54" s="223">
        <f t="shared" si="40"/>
        <v>0</v>
      </c>
      <c r="BI54" s="223">
        <f t="shared" si="40"/>
        <v>3.5</v>
      </c>
      <c r="BJ54" s="223">
        <f t="shared" si="40"/>
        <v>0</v>
      </c>
      <c r="BK54" s="223">
        <f t="shared" si="40"/>
        <v>0</v>
      </c>
      <c r="BL54" s="290">
        <f t="shared" si="40"/>
        <v>0</v>
      </c>
      <c r="BM54" s="304">
        <f>+BM34+BM39</f>
        <v>0</v>
      </c>
      <c r="BN54" s="222">
        <f t="shared" ref="BN54:CS54" si="41">+BN34+BN39+BN44</f>
        <v>0</v>
      </c>
      <c r="BO54" s="223">
        <f t="shared" si="41"/>
        <v>0</v>
      </c>
      <c r="BP54" s="223">
        <f t="shared" si="41"/>
        <v>0</v>
      </c>
      <c r="BQ54" s="223">
        <f t="shared" si="41"/>
        <v>0</v>
      </c>
      <c r="BR54" s="223">
        <f t="shared" si="41"/>
        <v>0</v>
      </c>
      <c r="BS54" s="223">
        <f t="shared" si="41"/>
        <v>0</v>
      </c>
      <c r="BT54" s="223">
        <f t="shared" si="41"/>
        <v>2.5</v>
      </c>
      <c r="BU54" s="223">
        <f t="shared" si="41"/>
        <v>0</v>
      </c>
      <c r="BV54" s="223">
        <f t="shared" si="41"/>
        <v>0</v>
      </c>
      <c r="BW54" s="223">
        <f t="shared" si="41"/>
        <v>0</v>
      </c>
      <c r="BX54" s="223">
        <f t="shared" si="41"/>
        <v>0</v>
      </c>
      <c r="BY54" s="223">
        <f t="shared" si="41"/>
        <v>0</v>
      </c>
      <c r="BZ54" s="223">
        <f t="shared" si="41"/>
        <v>0</v>
      </c>
      <c r="CA54" s="223">
        <f t="shared" si="41"/>
        <v>0</v>
      </c>
      <c r="CB54" s="223">
        <f t="shared" si="41"/>
        <v>1.5</v>
      </c>
      <c r="CC54" s="223">
        <f t="shared" si="41"/>
        <v>0</v>
      </c>
      <c r="CD54" s="223">
        <f t="shared" si="41"/>
        <v>0</v>
      </c>
      <c r="CE54" s="223">
        <f t="shared" si="41"/>
        <v>2.5</v>
      </c>
      <c r="CF54" s="223">
        <f t="shared" si="41"/>
        <v>0</v>
      </c>
      <c r="CG54" s="223">
        <f t="shared" si="41"/>
        <v>0</v>
      </c>
      <c r="CH54" s="223">
        <f t="shared" si="41"/>
        <v>0</v>
      </c>
      <c r="CI54" s="223">
        <f t="shared" si="41"/>
        <v>0</v>
      </c>
      <c r="CJ54" s="223">
        <f t="shared" si="41"/>
        <v>0</v>
      </c>
      <c r="CK54" s="223">
        <f t="shared" si="41"/>
        <v>0</v>
      </c>
      <c r="CL54" s="223">
        <f t="shared" si="41"/>
        <v>0.5</v>
      </c>
      <c r="CM54" s="223">
        <f t="shared" si="41"/>
        <v>2</v>
      </c>
      <c r="CN54" s="223">
        <f t="shared" si="41"/>
        <v>1.5</v>
      </c>
      <c r="CO54" s="223">
        <f t="shared" si="41"/>
        <v>0</v>
      </c>
      <c r="CP54" s="223">
        <f t="shared" si="41"/>
        <v>0</v>
      </c>
      <c r="CQ54" s="224">
        <f t="shared" si="41"/>
        <v>1.5</v>
      </c>
      <c r="CR54" s="228">
        <f t="shared" si="41"/>
        <v>0</v>
      </c>
      <c r="CS54" s="229">
        <f t="shared" si="41"/>
        <v>0</v>
      </c>
      <c r="CT54" s="229">
        <f t="shared" ref="CT54:CX54" si="42">+CT34+CT39+CT44</f>
        <v>1.5</v>
      </c>
      <c r="CU54" s="229">
        <f t="shared" si="42"/>
        <v>0</v>
      </c>
      <c r="CV54" s="229">
        <f t="shared" si="42"/>
        <v>0</v>
      </c>
      <c r="CW54" s="229">
        <f t="shared" si="42"/>
        <v>3.5</v>
      </c>
      <c r="CX54" s="229">
        <f t="shared" si="42"/>
        <v>0.5</v>
      </c>
      <c r="CY54" s="229">
        <f t="shared" ref="CY54:DH54" si="43">+CY34+CY39+CY44</f>
        <v>0</v>
      </c>
      <c r="CZ54" s="229">
        <f t="shared" si="43"/>
        <v>0</v>
      </c>
      <c r="DA54" s="229">
        <f t="shared" si="43"/>
        <v>0</v>
      </c>
      <c r="DB54" s="229">
        <f t="shared" si="43"/>
        <v>4</v>
      </c>
      <c r="DC54" s="229">
        <f t="shared" si="43"/>
        <v>0</v>
      </c>
      <c r="DD54" s="229">
        <f t="shared" si="43"/>
        <v>0.5</v>
      </c>
      <c r="DE54" s="229">
        <f t="shared" si="43"/>
        <v>0</v>
      </c>
      <c r="DF54" s="229">
        <f t="shared" si="43"/>
        <v>0</v>
      </c>
      <c r="DG54" s="229">
        <f t="shared" si="43"/>
        <v>0</v>
      </c>
      <c r="DH54" s="229">
        <f t="shared" si="43"/>
        <v>0.5</v>
      </c>
      <c r="DI54" s="229">
        <f t="shared" ref="DI54" si="44">+DI34+DI39+DI44</f>
        <v>0</v>
      </c>
      <c r="DJ54" s="229">
        <f t="shared" ref="DJ54:DM54" si="45">+DJ34+DJ39+DJ44</f>
        <v>0</v>
      </c>
      <c r="DK54" s="229">
        <f t="shared" si="45"/>
        <v>0</v>
      </c>
      <c r="DL54" s="229">
        <f t="shared" si="45"/>
        <v>0</v>
      </c>
      <c r="DM54" s="229">
        <f t="shared" si="45"/>
        <v>0</v>
      </c>
      <c r="DN54" s="229">
        <f t="shared" ref="DN54:DZ54" si="46">+DN34+DN39+DN44</f>
        <v>0</v>
      </c>
      <c r="DO54" s="229">
        <f t="shared" si="46"/>
        <v>0</v>
      </c>
      <c r="DP54" s="229">
        <f t="shared" si="46"/>
        <v>0</v>
      </c>
      <c r="DQ54" s="229">
        <f t="shared" si="46"/>
        <v>0</v>
      </c>
      <c r="DR54" s="229">
        <f t="shared" si="46"/>
        <v>0</v>
      </c>
      <c r="DS54" s="229">
        <f t="shared" si="46"/>
        <v>0</v>
      </c>
      <c r="DT54" s="229">
        <f t="shared" si="46"/>
        <v>0</v>
      </c>
      <c r="DU54" s="229">
        <f t="shared" si="46"/>
        <v>0</v>
      </c>
      <c r="DV54" s="354">
        <f t="shared" si="46"/>
        <v>0</v>
      </c>
      <c r="DW54" s="228">
        <f t="shared" si="46"/>
        <v>0</v>
      </c>
      <c r="DX54" s="229">
        <f t="shared" si="46"/>
        <v>0</v>
      </c>
      <c r="DY54" s="229">
        <f t="shared" si="46"/>
        <v>0</v>
      </c>
      <c r="DZ54" s="229">
        <f t="shared" si="46"/>
        <v>0</v>
      </c>
      <c r="EA54" s="229">
        <f t="shared" ref="EA54:EB54" si="47">+EA34+EA39+EA44</f>
        <v>0</v>
      </c>
      <c r="EB54" s="229">
        <f t="shared" si="47"/>
        <v>0</v>
      </c>
      <c r="EC54" s="229">
        <f t="shared" ref="EC54:EN54" si="48">+EC34+EC39+EC44</f>
        <v>0</v>
      </c>
      <c r="ED54" s="229">
        <f t="shared" si="48"/>
        <v>1</v>
      </c>
      <c r="EE54" s="229">
        <f t="shared" si="48"/>
        <v>0</v>
      </c>
      <c r="EF54" s="229">
        <f t="shared" si="48"/>
        <v>0</v>
      </c>
      <c r="EG54" s="229">
        <f t="shared" si="48"/>
        <v>0</v>
      </c>
      <c r="EH54" s="229">
        <f t="shared" si="48"/>
        <v>0</v>
      </c>
      <c r="EI54" s="229">
        <f t="shared" si="48"/>
        <v>0</v>
      </c>
      <c r="EJ54" s="229">
        <f t="shared" si="48"/>
        <v>0</v>
      </c>
      <c r="EK54" s="229">
        <f t="shared" si="48"/>
        <v>0</v>
      </c>
      <c r="EL54" s="229">
        <f t="shared" si="48"/>
        <v>0</v>
      </c>
      <c r="EM54" s="229">
        <f t="shared" si="48"/>
        <v>0</v>
      </c>
      <c r="EN54" s="229">
        <f t="shared" si="48"/>
        <v>0</v>
      </c>
      <c r="EO54" s="229">
        <f t="shared" ref="EO54:EZ54" si="49">+EO34+EO39+EO44</f>
        <v>0</v>
      </c>
      <c r="EP54" s="229">
        <f t="shared" si="49"/>
        <v>0</v>
      </c>
      <c r="EQ54" s="229">
        <f t="shared" si="49"/>
        <v>0</v>
      </c>
      <c r="ER54" s="229">
        <f t="shared" si="49"/>
        <v>0</v>
      </c>
      <c r="ES54" s="229">
        <f t="shared" si="49"/>
        <v>0</v>
      </c>
      <c r="ET54" s="229">
        <f t="shared" si="49"/>
        <v>0</v>
      </c>
      <c r="EU54" s="229">
        <f t="shared" si="49"/>
        <v>0</v>
      </c>
      <c r="EV54" s="229">
        <f t="shared" si="49"/>
        <v>0</v>
      </c>
      <c r="EW54" s="229">
        <f t="shared" si="49"/>
        <v>0</v>
      </c>
      <c r="EX54" s="229">
        <f t="shared" si="49"/>
        <v>0</v>
      </c>
      <c r="EY54" s="229">
        <f t="shared" si="49"/>
        <v>0</v>
      </c>
      <c r="EZ54" s="390">
        <f t="shared" si="49"/>
        <v>0</v>
      </c>
      <c r="FA54" s="228">
        <f t="shared" ref="FA54:FL54" si="50">+FA34+FA39+FA44</f>
        <v>0</v>
      </c>
      <c r="FB54" s="229">
        <f t="shared" si="50"/>
        <v>0</v>
      </c>
      <c r="FC54" s="229">
        <f t="shared" si="50"/>
        <v>0</v>
      </c>
      <c r="FD54" s="229">
        <f t="shared" si="50"/>
        <v>0</v>
      </c>
      <c r="FE54" s="229">
        <f t="shared" si="50"/>
        <v>0</v>
      </c>
      <c r="FF54" s="229">
        <f t="shared" si="50"/>
        <v>0</v>
      </c>
      <c r="FG54" s="229">
        <f t="shared" si="50"/>
        <v>0</v>
      </c>
      <c r="FH54" s="229">
        <f t="shared" si="50"/>
        <v>0</v>
      </c>
      <c r="FI54" s="229">
        <f t="shared" si="50"/>
        <v>0</v>
      </c>
      <c r="FJ54" s="229">
        <f t="shared" si="50"/>
        <v>0</v>
      </c>
      <c r="FK54" s="229">
        <f t="shared" si="50"/>
        <v>0</v>
      </c>
      <c r="FL54" s="229">
        <f t="shared" si="50"/>
        <v>0</v>
      </c>
      <c r="FM54" s="229">
        <f t="shared" ref="FM54:GC54" si="51">+FM34+FM39+FM44</f>
        <v>0</v>
      </c>
      <c r="FN54" s="229">
        <f t="shared" si="51"/>
        <v>0</v>
      </c>
      <c r="FO54" s="229">
        <f t="shared" si="51"/>
        <v>0</v>
      </c>
      <c r="FP54" s="229">
        <f t="shared" si="51"/>
        <v>0</v>
      </c>
      <c r="FQ54" s="229">
        <f t="shared" si="51"/>
        <v>0</v>
      </c>
      <c r="FR54" s="229">
        <f t="shared" si="51"/>
        <v>0</v>
      </c>
      <c r="FS54" s="229">
        <f t="shared" si="51"/>
        <v>0</v>
      </c>
      <c r="FT54" s="229">
        <f t="shared" si="51"/>
        <v>0</v>
      </c>
      <c r="FU54" s="229">
        <f t="shared" si="51"/>
        <v>0</v>
      </c>
      <c r="FV54" s="229">
        <f t="shared" si="51"/>
        <v>0</v>
      </c>
      <c r="FW54" s="229">
        <f t="shared" si="51"/>
        <v>0</v>
      </c>
      <c r="FX54" s="229">
        <f t="shared" si="51"/>
        <v>0</v>
      </c>
      <c r="FY54" s="229">
        <f t="shared" si="51"/>
        <v>5</v>
      </c>
      <c r="FZ54" s="229">
        <f t="shared" si="51"/>
        <v>0</v>
      </c>
      <c r="GA54" s="229">
        <f t="shared" si="51"/>
        <v>0</v>
      </c>
      <c r="GB54" s="229">
        <f t="shared" si="51"/>
        <v>0</v>
      </c>
      <c r="GC54" s="229">
        <f t="shared" si="51"/>
        <v>3</v>
      </c>
      <c r="GD54" s="229">
        <f t="shared" ref="GD54:GT54" si="52">+GD34+GD39+GD44</f>
        <v>0</v>
      </c>
      <c r="GE54" s="390">
        <f t="shared" si="52"/>
        <v>0</v>
      </c>
      <c r="GF54" s="228">
        <f t="shared" si="52"/>
        <v>0</v>
      </c>
      <c r="GG54" s="229">
        <f t="shared" si="52"/>
        <v>0</v>
      </c>
      <c r="GH54" s="229">
        <f t="shared" si="52"/>
        <v>0</v>
      </c>
      <c r="GI54" s="229">
        <f t="shared" si="52"/>
        <v>0</v>
      </c>
      <c r="GJ54" s="229">
        <f t="shared" si="52"/>
        <v>0</v>
      </c>
      <c r="GK54" s="229">
        <f t="shared" si="52"/>
        <v>0</v>
      </c>
      <c r="GL54" s="229">
        <f t="shared" si="52"/>
        <v>0</v>
      </c>
      <c r="GM54" s="229">
        <f t="shared" si="52"/>
        <v>0</v>
      </c>
      <c r="GN54" s="229">
        <f t="shared" si="52"/>
        <v>0</v>
      </c>
      <c r="GO54" s="229">
        <f t="shared" si="52"/>
        <v>0</v>
      </c>
      <c r="GP54" s="229">
        <f t="shared" si="52"/>
        <v>0</v>
      </c>
      <c r="GQ54" s="229">
        <f t="shared" si="52"/>
        <v>0</v>
      </c>
      <c r="GR54" s="229">
        <f t="shared" si="52"/>
        <v>0</v>
      </c>
      <c r="GS54" s="229">
        <f t="shared" si="52"/>
        <v>0</v>
      </c>
      <c r="GT54" s="229">
        <f t="shared" si="52"/>
        <v>0</v>
      </c>
      <c r="GU54" s="229">
        <f t="shared" ref="GU54:GY54" si="53">+GU34+GU39+GU44</f>
        <v>0</v>
      </c>
      <c r="GV54" s="229">
        <f t="shared" si="53"/>
        <v>0</v>
      </c>
      <c r="GW54" s="229">
        <f t="shared" si="53"/>
        <v>0</v>
      </c>
      <c r="GX54" s="229">
        <f t="shared" si="53"/>
        <v>0</v>
      </c>
      <c r="GY54" s="390">
        <f t="shared" si="53"/>
        <v>0</v>
      </c>
      <c r="GZ54" s="446">
        <f>SUM(E54:CZ54)</f>
        <v>40.5</v>
      </c>
    </row>
    <row r="55" spans="1:208" s="225" customFormat="1" ht="20.25" customHeight="1" x14ac:dyDescent="0.25">
      <c r="A55" s="469"/>
      <c r="B55" s="472"/>
      <c r="C55" s="226" t="s">
        <v>102</v>
      </c>
      <c r="D55" s="227" t="s">
        <v>87</v>
      </c>
      <c r="E55" s="228">
        <f>E35+E36+E40+E41+E45+E46+E50</f>
        <v>33.299999999999997</v>
      </c>
      <c r="F55" s="228">
        <f t="shared" ref="F55:BQ55" si="54">F35+F36+F40+F41+F45+F46+F50</f>
        <v>9</v>
      </c>
      <c r="G55" s="228">
        <f t="shared" si="54"/>
        <v>0</v>
      </c>
      <c r="H55" s="228">
        <f t="shared" si="54"/>
        <v>37.5</v>
      </c>
      <c r="I55" s="228">
        <f t="shared" si="54"/>
        <v>0</v>
      </c>
      <c r="J55" s="228">
        <f t="shared" si="54"/>
        <v>0</v>
      </c>
      <c r="K55" s="228">
        <f t="shared" si="54"/>
        <v>40.9</v>
      </c>
      <c r="L55" s="228">
        <f t="shared" si="54"/>
        <v>14</v>
      </c>
      <c r="M55" s="228">
        <f t="shared" si="54"/>
        <v>24.55</v>
      </c>
      <c r="N55" s="228">
        <f t="shared" si="54"/>
        <v>13.25</v>
      </c>
      <c r="O55" s="228">
        <f t="shared" si="54"/>
        <v>17.66</v>
      </c>
      <c r="P55" s="228">
        <f t="shared" si="54"/>
        <v>0</v>
      </c>
      <c r="Q55" s="228">
        <f t="shared" si="54"/>
        <v>0</v>
      </c>
      <c r="R55" s="228">
        <f t="shared" si="54"/>
        <v>16.399999999999999</v>
      </c>
      <c r="S55" s="228">
        <f t="shared" si="54"/>
        <v>7.25</v>
      </c>
      <c r="T55" s="228">
        <f t="shared" si="54"/>
        <v>0</v>
      </c>
      <c r="U55" s="228">
        <f t="shared" si="54"/>
        <v>22.1</v>
      </c>
      <c r="V55" s="228">
        <f t="shared" si="54"/>
        <v>0</v>
      </c>
      <c r="W55" s="228">
        <f t="shared" si="54"/>
        <v>0</v>
      </c>
      <c r="X55" s="228">
        <f t="shared" si="54"/>
        <v>0</v>
      </c>
      <c r="Y55" s="228">
        <f t="shared" si="54"/>
        <v>7.5</v>
      </c>
      <c r="Z55" s="228">
        <f t="shared" si="54"/>
        <v>0</v>
      </c>
      <c r="AA55" s="228">
        <f t="shared" si="54"/>
        <v>5</v>
      </c>
      <c r="AB55" s="228">
        <f t="shared" si="54"/>
        <v>0</v>
      </c>
      <c r="AC55" s="228">
        <f t="shared" si="54"/>
        <v>10</v>
      </c>
      <c r="AD55" s="228">
        <f t="shared" si="54"/>
        <v>10</v>
      </c>
      <c r="AE55" s="228">
        <f t="shared" si="54"/>
        <v>0</v>
      </c>
      <c r="AF55" s="228">
        <f t="shared" si="54"/>
        <v>3</v>
      </c>
      <c r="AG55" s="230">
        <f t="shared" ref="AG55" si="55">AG35+AG36+AG40+AG41</f>
        <v>0</v>
      </c>
      <c r="AH55" s="228">
        <f t="shared" si="54"/>
        <v>0</v>
      </c>
      <c r="AI55" s="228">
        <f t="shared" si="54"/>
        <v>7.85</v>
      </c>
      <c r="AJ55" s="228">
        <f t="shared" si="54"/>
        <v>29</v>
      </c>
      <c r="AK55" s="228">
        <f t="shared" si="54"/>
        <v>0</v>
      </c>
      <c r="AL55" s="228">
        <f t="shared" si="54"/>
        <v>4</v>
      </c>
      <c r="AM55" s="228">
        <f t="shared" si="54"/>
        <v>0</v>
      </c>
      <c r="AN55" s="228">
        <f t="shared" si="54"/>
        <v>0</v>
      </c>
      <c r="AO55" s="228">
        <f t="shared" si="54"/>
        <v>46.25</v>
      </c>
      <c r="AP55" s="228">
        <f t="shared" si="54"/>
        <v>21.4</v>
      </c>
      <c r="AQ55" s="228">
        <f t="shared" si="54"/>
        <v>0</v>
      </c>
      <c r="AR55" s="228">
        <f t="shared" si="54"/>
        <v>10.5</v>
      </c>
      <c r="AS55" s="228">
        <f t="shared" si="54"/>
        <v>0</v>
      </c>
      <c r="AT55" s="228">
        <f t="shared" si="54"/>
        <v>0</v>
      </c>
      <c r="AU55" s="228">
        <f t="shared" si="54"/>
        <v>0</v>
      </c>
      <c r="AV55" s="228">
        <f t="shared" si="54"/>
        <v>32.5</v>
      </c>
      <c r="AW55" s="228">
        <f t="shared" si="54"/>
        <v>0</v>
      </c>
      <c r="AX55" s="228">
        <f t="shared" si="54"/>
        <v>0</v>
      </c>
      <c r="AY55" s="228">
        <f t="shared" si="54"/>
        <v>13.1</v>
      </c>
      <c r="AZ55" s="228">
        <f t="shared" si="54"/>
        <v>0</v>
      </c>
      <c r="BA55" s="228">
        <f t="shared" si="54"/>
        <v>0</v>
      </c>
      <c r="BB55" s="228">
        <f t="shared" si="54"/>
        <v>0</v>
      </c>
      <c r="BC55" s="228">
        <f t="shared" si="54"/>
        <v>0</v>
      </c>
      <c r="BD55" s="228">
        <f t="shared" si="54"/>
        <v>0</v>
      </c>
      <c r="BE55" s="228">
        <f t="shared" si="54"/>
        <v>39.6</v>
      </c>
      <c r="BF55" s="228">
        <f t="shared" si="54"/>
        <v>0</v>
      </c>
      <c r="BG55" s="228">
        <f t="shared" si="54"/>
        <v>5.5</v>
      </c>
      <c r="BH55" s="228">
        <f t="shared" si="54"/>
        <v>0</v>
      </c>
      <c r="BI55" s="228">
        <f t="shared" si="54"/>
        <v>25.049999999999997</v>
      </c>
      <c r="BJ55" s="228">
        <f t="shared" si="54"/>
        <v>0</v>
      </c>
      <c r="BK55" s="228">
        <f t="shared" si="54"/>
        <v>3.9</v>
      </c>
      <c r="BL55" s="228">
        <f t="shared" si="54"/>
        <v>25.25</v>
      </c>
      <c r="BM55" s="304">
        <f>BM35+BM36+BM40+BM41</f>
        <v>0</v>
      </c>
      <c r="BN55" s="228">
        <f t="shared" si="54"/>
        <v>21.4</v>
      </c>
      <c r="BO55" s="228">
        <f t="shared" si="54"/>
        <v>19.05</v>
      </c>
      <c r="BP55" s="228">
        <f t="shared" si="54"/>
        <v>0</v>
      </c>
      <c r="BQ55" s="228">
        <f t="shared" si="54"/>
        <v>11.5</v>
      </c>
      <c r="BR55" s="228">
        <f t="shared" ref="BR55:DI55" si="56">BR35+BR36+BR40+BR41+BR45+BR46+BR50</f>
        <v>44</v>
      </c>
      <c r="BS55" s="228">
        <f t="shared" si="56"/>
        <v>11.7</v>
      </c>
      <c r="BT55" s="228">
        <f t="shared" si="56"/>
        <v>7</v>
      </c>
      <c r="BU55" s="228">
        <f t="shared" si="56"/>
        <v>6.65</v>
      </c>
      <c r="BV55" s="228">
        <f t="shared" si="56"/>
        <v>16.5</v>
      </c>
      <c r="BW55" s="228">
        <f t="shared" si="56"/>
        <v>0</v>
      </c>
      <c r="BX55" s="228">
        <f t="shared" si="56"/>
        <v>0</v>
      </c>
      <c r="BY55" s="228">
        <f t="shared" si="56"/>
        <v>0</v>
      </c>
      <c r="BZ55" s="228">
        <f t="shared" si="56"/>
        <v>30.55</v>
      </c>
      <c r="CA55" s="228">
        <f t="shared" si="56"/>
        <v>0</v>
      </c>
      <c r="CB55" s="228">
        <f t="shared" si="56"/>
        <v>45.1</v>
      </c>
      <c r="CC55" s="228">
        <f t="shared" si="56"/>
        <v>13.2</v>
      </c>
      <c r="CD55" s="228">
        <f t="shared" si="56"/>
        <v>0</v>
      </c>
      <c r="CE55" s="228">
        <f t="shared" si="56"/>
        <v>14</v>
      </c>
      <c r="CF55" s="228">
        <f t="shared" si="56"/>
        <v>51.1</v>
      </c>
      <c r="CG55" s="228">
        <f t="shared" si="56"/>
        <v>7.5</v>
      </c>
      <c r="CH55" s="228">
        <f t="shared" si="56"/>
        <v>19.5</v>
      </c>
      <c r="CI55" s="228">
        <f t="shared" si="56"/>
        <v>33.35</v>
      </c>
      <c r="CJ55" s="228">
        <f t="shared" si="56"/>
        <v>16.45</v>
      </c>
      <c r="CK55" s="228">
        <f t="shared" si="56"/>
        <v>0</v>
      </c>
      <c r="CL55" s="228">
        <f t="shared" si="56"/>
        <v>29</v>
      </c>
      <c r="CM55" s="228">
        <f t="shared" si="56"/>
        <v>8.5</v>
      </c>
      <c r="CN55" s="228">
        <f t="shared" si="56"/>
        <v>0</v>
      </c>
      <c r="CO55" s="228">
        <f t="shared" si="56"/>
        <v>0</v>
      </c>
      <c r="CP55" s="228">
        <f t="shared" si="56"/>
        <v>0</v>
      </c>
      <c r="CQ55" s="341">
        <f t="shared" si="56"/>
        <v>23.5</v>
      </c>
      <c r="CR55" s="228">
        <f t="shared" si="56"/>
        <v>0</v>
      </c>
      <c r="CS55" s="229">
        <f t="shared" si="56"/>
        <v>17.899999999999999</v>
      </c>
      <c r="CT55" s="229">
        <f t="shared" si="56"/>
        <v>2.5</v>
      </c>
      <c r="CU55" s="229">
        <f t="shared" si="56"/>
        <v>25.5</v>
      </c>
      <c r="CV55" s="229">
        <f t="shared" si="56"/>
        <v>3.5</v>
      </c>
      <c r="CW55" s="229">
        <f t="shared" si="56"/>
        <v>26.85</v>
      </c>
      <c r="CX55" s="229">
        <f t="shared" si="56"/>
        <v>10.199999999999999</v>
      </c>
      <c r="CY55" s="229">
        <f t="shared" si="56"/>
        <v>0</v>
      </c>
      <c r="CZ55" s="229">
        <f t="shared" si="56"/>
        <v>21</v>
      </c>
      <c r="DA55" s="229">
        <f t="shared" si="56"/>
        <v>0</v>
      </c>
      <c r="DB55" s="229">
        <f t="shared" si="56"/>
        <v>10.5</v>
      </c>
      <c r="DC55" s="229">
        <f t="shared" si="56"/>
        <v>17.5</v>
      </c>
      <c r="DD55" s="229">
        <f t="shared" si="56"/>
        <v>6.05</v>
      </c>
      <c r="DE55" s="229">
        <f t="shared" si="56"/>
        <v>13.75</v>
      </c>
      <c r="DF55" s="229">
        <f t="shared" si="56"/>
        <v>0</v>
      </c>
      <c r="DG55" s="229">
        <f t="shared" si="56"/>
        <v>50.1</v>
      </c>
      <c r="DH55" s="229">
        <f t="shared" si="56"/>
        <v>9.3000000000000007</v>
      </c>
      <c r="DI55" s="229">
        <f t="shared" si="56"/>
        <v>12.5</v>
      </c>
      <c r="DJ55" s="229">
        <f t="shared" ref="DJ55:DM55" si="57">DJ35+DJ36+DJ40+DJ41+DJ45+DJ46+DJ50</f>
        <v>14</v>
      </c>
      <c r="DK55" s="229">
        <f t="shared" si="57"/>
        <v>21.6</v>
      </c>
      <c r="DL55" s="229">
        <f t="shared" si="57"/>
        <v>3</v>
      </c>
      <c r="DM55" s="229">
        <f t="shared" si="57"/>
        <v>0</v>
      </c>
      <c r="DN55" s="229">
        <f t="shared" ref="DN55:DZ55" si="58">DN35+DN36+DN40+DN41+DN45+DN46+DN50</f>
        <v>33.6</v>
      </c>
      <c r="DO55" s="229">
        <f t="shared" si="58"/>
        <v>18</v>
      </c>
      <c r="DP55" s="229">
        <f t="shared" si="58"/>
        <v>0</v>
      </c>
      <c r="DQ55" s="229">
        <f t="shared" si="58"/>
        <v>0</v>
      </c>
      <c r="DR55" s="229">
        <f t="shared" si="58"/>
        <v>0</v>
      </c>
      <c r="DS55" s="229">
        <f t="shared" si="58"/>
        <v>0</v>
      </c>
      <c r="DT55" s="229">
        <f t="shared" si="58"/>
        <v>0</v>
      </c>
      <c r="DU55" s="229">
        <f t="shared" si="58"/>
        <v>0</v>
      </c>
      <c r="DV55" s="354">
        <f t="shared" si="58"/>
        <v>29.5</v>
      </c>
      <c r="DW55" s="228">
        <f t="shared" si="58"/>
        <v>21</v>
      </c>
      <c r="DX55" s="229">
        <f t="shared" si="58"/>
        <v>12.25</v>
      </c>
      <c r="DY55" s="229">
        <f t="shared" si="58"/>
        <v>0</v>
      </c>
      <c r="DZ55" s="229">
        <f t="shared" si="58"/>
        <v>11.05</v>
      </c>
      <c r="EA55" s="229">
        <f t="shared" ref="EA55:EB55" si="59">EA35+EA36+EA40+EA41+EA45+EA46+EA50</f>
        <v>0</v>
      </c>
      <c r="EB55" s="229">
        <f t="shared" si="59"/>
        <v>9.5</v>
      </c>
      <c r="EC55" s="229">
        <f t="shared" ref="EC55:EN55" si="60">EC35+EC36+EC40+EC41+EC45+EC46+EC50</f>
        <v>51.25</v>
      </c>
      <c r="ED55" s="229">
        <f t="shared" si="60"/>
        <v>14</v>
      </c>
      <c r="EE55" s="229">
        <f t="shared" si="60"/>
        <v>8.5</v>
      </c>
      <c r="EF55" s="229">
        <f t="shared" si="60"/>
        <v>15</v>
      </c>
      <c r="EG55" s="229">
        <f t="shared" si="60"/>
        <v>31</v>
      </c>
      <c r="EH55" s="229">
        <f t="shared" si="60"/>
        <v>0</v>
      </c>
      <c r="EI55" s="229">
        <f t="shared" si="60"/>
        <v>0</v>
      </c>
      <c r="EJ55" s="229">
        <f t="shared" si="60"/>
        <v>3.5</v>
      </c>
      <c r="EK55" s="229">
        <f t="shared" si="60"/>
        <v>12</v>
      </c>
      <c r="EL55" s="229">
        <f t="shared" si="60"/>
        <v>24.55</v>
      </c>
      <c r="EM55" s="229">
        <f t="shared" si="60"/>
        <v>30.4</v>
      </c>
      <c r="EN55" s="229">
        <f t="shared" si="60"/>
        <v>24</v>
      </c>
      <c r="EO55" s="229">
        <f t="shared" ref="EO55:EZ55" si="61">EO35+EO36+EO40+EO41+EO45+EO46+EO50</f>
        <v>0</v>
      </c>
      <c r="EP55" s="229">
        <f t="shared" si="61"/>
        <v>23</v>
      </c>
      <c r="EQ55" s="229">
        <f t="shared" si="61"/>
        <v>0</v>
      </c>
      <c r="ER55" s="229">
        <f t="shared" si="61"/>
        <v>24.5</v>
      </c>
      <c r="ES55" s="229">
        <f t="shared" si="61"/>
        <v>21</v>
      </c>
      <c r="ET55" s="229">
        <f t="shared" si="61"/>
        <v>19.75</v>
      </c>
      <c r="EU55" s="229">
        <f t="shared" si="61"/>
        <v>7.3</v>
      </c>
      <c r="EV55" s="229">
        <f t="shared" si="61"/>
        <v>0</v>
      </c>
      <c r="EW55" s="229">
        <f t="shared" si="61"/>
        <v>10.5</v>
      </c>
      <c r="EX55" s="229">
        <f t="shared" si="61"/>
        <v>0</v>
      </c>
      <c r="EY55" s="229">
        <f t="shared" si="61"/>
        <v>25.2</v>
      </c>
      <c r="EZ55" s="390">
        <f t="shared" si="61"/>
        <v>10.4</v>
      </c>
      <c r="FA55" s="228">
        <f t="shared" ref="FA55:FL55" si="62">FA35+FA36+FA40+FA41+FA45+FA46+FA50</f>
        <v>11.4</v>
      </c>
      <c r="FB55" s="229">
        <f t="shared" si="62"/>
        <v>14</v>
      </c>
      <c r="FC55" s="229">
        <f t="shared" si="62"/>
        <v>0</v>
      </c>
      <c r="FD55" s="229">
        <f t="shared" si="62"/>
        <v>0</v>
      </c>
      <c r="FE55" s="229">
        <f t="shared" si="62"/>
        <v>0</v>
      </c>
      <c r="FF55" s="229">
        <f t="shared" si="62"/>
        <v>0</v>
      </c>
      <c r="FG55" s="229">
        <f t="shared" si="62"/>
        <v>0</v>
      </c>
      <c r="FH55" s="229">
        <f t="shared" si="62"/>
        <v>10</v>
      </c>
      <c r="FI55" s="229">
        <f t="shared" si="62"/>
        <v>5.75</v>
      </c>
      <c r="FJ55" s="229">
        <f t="shared" si="62"/>
        <v>0</v>
      </c>
      <c r="FK55" s="229">
        <f t="shared" si="62"/>
        <v>0</v>
      </c>
      <c r="FL55" s="229">
        <f t="shared" si="62"/>
        <v>13.5</v>
      </c>
      <c r="FM55" s="229">
        <f t="shared" ref="FM55:GC55" si="63">FM35+FM36+FM40+FM41+FM45+FM46+FM50</f>
        <v>11.5</v>
      </c>
      <c r="FN55" s="229">
        <f t="shared" si="63"/>
        <v>45.75</v>
      </c>
      <c r="FO55" s="229">
        <f t="shared" si="63"/>
        <v>0</v>
      </c>
      <c r="FP55" s="229">
        <f t="shared" si="63"/>
        <v>0</v>
      </c>
      <c r="FQ55" s="229">
        <f t="shared" si="63"/>
        <v>4.75</v>
      </c>
      <c r="FR55" s="229">
        <f t="shared" si="63"/>
        <v>30</v>
      </c>
      <c r="FS55" s="229">
        <f t="shared" si="63"/>
        <v>0</v>
      </c>
      <c r="FT55" s="229">
        <f t="shared" si="63"/>
        <v>0</v>
      </c>
      <c r="FU55" s="229">
        <f t="shared" si="63"/>
        <v>9.5</v>
      </c>
      <c r="FV55" s="229">
        <f t="shared" si="63"/>
        <v>25</v>
      </c>
      <c r="FW55" s="229">
        <f t="shared" si="63"/>
        <v>5.5</v>
      </c>
      <c r="FX55" s="229">
        <f t="shared" si="63"/>
        <v>0</v>
      </c>
      <c r="FY55" s="229">
        <f t="shared" si="63"/>
        <v>0</v>
      </c>
      <c r="FZ55" s="229">
        <f t="shared" si="63"/>
        <v>8.25</v>
      </c>
      <c r="GA55" s="229">
        <f t="shared" si="63"/>
        <v>18</v>
      </c>
      <c r="GB55" s="229">
        <f t="shared" si="63"/>
        <v>8</v>
      </c>
      <c r="GC55" s="229">
        <f t="shared" si="63"/>
        <v>29.55</v>
      </c>
      <c r="GD55" s="229">
        <f t="shared" ref="GD55:GT55" si="64">GD35+GD36+GD40+GD41+GD45+GD46+GD50</f>
        <v>0</v>
      </c>
      <c r="GE55" s="390">
        <f t="shared" si="64"/>
        <v>0</v>
      </c>
      <c r="GF55" s="228">
        <f t="shared" si="64"/>
        <v>0</v>
      </c>
      <c r="GG55" s="229">
        <f t="shared" si="64"/>
        <v>10.199999999999999</v>
      </c>
      <c r="GH55" s="229">
        <f t="shared" si="64"/>
        <v>0</v>
      </c>
      <c r="GI55" s="229">
        <f t="shared" si="64"/>
        <v>0</v>
      </c>
      <c r="GJ55" s="229">
        <f t="shared" si="64"/>
        <v>0</v>
      </c>
      <c r="GK55" s="229">
        <f t="shared" si="64"/>
        <v>22.4</v>
      </c>
      <c r="GL55" s="229">
        <f t="shared" si="64"/>
        <v>0</v>
      </c>
      <c r="GM55" s="229">
        <f t="shared" si="64"/>
        <v>23.2</v>
      </c>
      <c r="GN55" s="229">
        <f t="shared" si="64"/>
        <v>26</v>
      </c>
      <c r="GO55" s="229">
        <f t="shared" si="64"/>
        <v>0</v>
      </c>
      <c r="GP55" s="229">
        <f t="shared" si="64"/>
        <v>53.150000000000006</v>
      </c>
      <c r="GQ55" s="229">
        <f t="shared" si="64"/>
        <v>0</v>
      </c>
      <c r="GR55" s="229">
        <f t="shared" si="64"/>
        <v>36</v>
      </c>
      <c r="GS55" s="229">
        <f t="shared" si="64"/>
        <v>0</v>
      </c>
      <c r="GT55" s="229">
        <f t="shared" si="64"/>
        <v>5</v>
      </c>
      <c r="GU55" s="229">
        <f t="shared" ref="GU55:GY55" si="65">GU35+GU36+GU40+GU41+GU45+GU46+GU50</f>
        <v>0</v>
      </c>
      <c r="GV55" s="229">
        <f t="shared" si="65"/>
        <v>33.5</v>
      </c>
      <c r="GW55" s="229">
        <f t="shared" si="65"/>
        <v>1</v>
      </c>
      <c r="GX55" s="229">
        <f t="shared" si="65"/>
        <v>7</v>
      </c>
      <c r="GY55" s="390">
        <f t="shared" si="65"/>
        <v>0</v>
      </c>
      <c r="GZ55" s="446">
        <f>SUM(E55:CZ55)</f>
        <v>1072.31</v>
      </c>
    </row>
    <row r="56" spans="1:208" s="225" customFormat="1" ht="20.25" customHeight="1" thickBot="1" x14ac:dyDescent="0.3">
      <c r="A56" s="470"/>
      <c r="B56" s="473"/>
      <c r="C56" s="231" t="s">
        <v>84</v>
      </c>
      <c r="D56" s="232" t="s">
        <v>88</v>
      </c>
      <c r="E56" s="233">
        <f>+E37+E42+E47</f>
        <v>68</v>
      </c>
      <c r="F56" s="234">
        <f t="shared" ref="F56:AF56" si="66">+F37+F42+F47</f>
        <v>0</v>
      </c>
      <c r="G56" s="234">
        <f t="shared" si="66"/>
        <v>0</v>
      </c>
      <c r="H56" s="234">
        <f t="shared" si="66"/>
        <v>0</v>
      </c>
      <c r="I56" s="234">
        <f t="shared" si="66"/>
        <v>0</v>
      </c>
      <c r="J56" s="234">
        <f t="shared" si="66"/>
        <v>0</v>
      </c>
      <c r="K56" s="234">
        <f t="shared" si="66"/>
        <v>0</v>
      </c>
      <c r="L56" s="234">
        <f t="shared" si="66"/>
        <v>0</v>
      </c>
      <c r="M56" s="234">
        <f t="shared" si="66"/>
        <v>0</v>
      </c>
      <c r="N56" s="234">
        <f t="shared" si="66"/>
        <v>0</v>
      </c>
      <c r="O56" s="234">
        <f t="shared" si="66"/>
        <v>0</v>
      </c>
      <c r="P56" s="234">
        <f t="shared" si="66"/>
        <v>0</v>
      </c>
      <c r="Q56" s="234">
        <f t="shared" si="66"/>
        <v>0</v>
      </c>
      <c r="R56" s="234">
        <f t="shared" si="66"/>
        <v>0</v>
      </c>
      <c r="S56" s="234">
        <f t="shared" si="66"/>
        <v>0</v>
      </c>
      <c r="T56" s="234">
        <f t="shared" si="66"/>
        <v>0</v>
      </c>
      <c r="U56" s="234">
        <f t="shared" si="66"/>
        <v>0</v>
      </c>
      <c r="V56" s="234">
        <f t="shared" si="66"/>
        <v>0</v>
      </c>
      <c r="W56" s="234">
        <f t="shared" si="66"/>
        <v>0</v>
      </c>
      <c r="X56" s="234">
        <f t="shared" si="66"/>
        <v>0</v>
      </c>
      <c r="Y56" s="234">
        <f t="shared" si="66"/>
        <v>0</v>
      </c>
      <c r="Z56" s="234">
        <f t="shared" si="66"/>
        <v>0</v>
      </c>
      <c r="AA56" s="234">
        <f t="shared" si="66"/>
        <v>1260</v>
      </c>
      <c r="AB56" s="234">
        <f t="shared" si="66"/>
        <v>0</v>
      </c>
      <c r="AC56" s="234">
        <f t="shared" si="66"/>
        <v>0</v>
      </c>
      <c r="AD56" s="234">
        <f t="shared" si="66"/>
        <v>0</v>
      </c>
      <c r="AE56" s="234">
        <f t="shared" si="66"/>
        <v>0</v>
      </c>
      <c r="AF56" s="291">
        <f t="shared" si="66"/>
        <v>0</v>
      </c>
      <c r="AG56" s="230">
        <f t="shared" ref="AG56" si="67">+AG37+AG42</f>
        <v>0</v>
      </c>
      <c r="AH56" s="233">
        <f t="shared" ref="AH56:BL56" si="68">+AH37+AH42+AH47</f>
        <v>0</v>
      </c>
      <c r="AI56" s="234">
        <f t="shared" si="68"/>
        <v>0</v>
      </c>
      <c r="AJ56" s="234">
        <f t="shared" si="68"/>
        <v>0</v>
      </c>
      <c r="AK56" s="234">
        <f t="shared" si="68"/>
        <v>0</v>
      </c>
      <c r="AL56" s="234">
        <f t="shared" si="68"/>
        <v>0</v>
      </c>
      <c r="AM56" s="234">
        <f t="shared" si="68"/>
        <v>0</v>
      </c>
      <c r="AN56" s="234">
        <f t="shared" si="68"/>
        <v>0</v>
      </c>
      <c r="AO56" s="234">
        <f t="shared" si="68"/>
        <v>0</v>
      </c>
      <c r="AP56" s="234">
        <f t="shared" si="68"/>
        <v>0</v>
      </c>
      <c r="AQ56" s="234">
        <f t="shared" si="68"/>
        <v>73</v>
      </c>
      <c r="AR56" s="234">
        <f t="shared" si="68"/>
        <v>0</v>
      </c>
      <c r="AS56" s="234">
        <f t="shared" si="68"/>
        <v>0</v>
      </c>
      <c r="AT56" s="234">
        <f t="shared" si="68"/>
        <v>0</v>
      </c>
      <c r="AU56" s="234">
        <f t="shared" si="68"/>
        <v>710</v>
      </c>
      <c r="AV56" s="234">
        <f t="shared" si="68"/>
        <v>0</v>
      </c>
      <c r="AW56" s="234">
        <f t="shared" si="68"/>
        <v>0</v>
      </c>
      <c r="AX56" s="234">
        <f t="shared" si="68"/>
        <v>0</v>
      </c>
      <c r="AY56" s="234">
        <f t="shared" si="68"/>
        <v>0</v>
      </c>
      <c r="AZ56" s="234">
        <f t="shared" si="68"/>
        <v>0</v>
      </c>
      <c r="BA56" s="234">
        <f t="shared" si="68"/>
        <v>0</v>
      </c>
      <c r="BB56" s="234">
        <f t="shared" si="68"/>
        <v>0</v>
      </c>
      <c r="BC56" s="234">
        <f t="shared" si="68"/>
        <v>0</v>
      </c>
      <c r="BD56" s="234">
        <f t="shared" si="68"/>
        <v>0</v>
      </c>
      <c r="BE56" s="234">
        <f t="shared" si="68"/>
        <v>0</v>
      </c>
      <c r="BF56" s="234">
        <f t="shared" si="68"/>
        <v>0</v>
      </c>
      <c r="BG56" s="234">
        <f t="shared" si="68"/>
        <v>0</v>
      </c>
      <c r="BH56" s="234">
        <f t="shared" si="68"/>
        <v>0</v>
      </c>
      <c r="BI56" s="234">
        <f t="shared" si="68"/>
        <v>0</v>
      </c>
      <c r="BJ56" s="234">
        <f t="shared" si="68"/>
        <v>850</v>
      </c>
      <c r="BK56" s="234">
        <f t="shared" si="68"/>
        <v>0</v>
      </c>
      <c r="BL56" s="291">
        <f t="shared" si="68"/>
        <v>0</v>
      </c>
      <c r="BM56" s="304">
        <f>+BM37+BM42</f>
        <v>0</v>
      </c>
      <c r="BN56" s="233">
        <f t="shared" ref="BN56:CS56" si="69">+BN37+BN42+BN47</f>
        <v>0</v>
      </c>
      <c r="BO56" s="234">
        <f t="shared" si="69"/>
        <v>0</v>
      </c>
      <c r="BP56" s="234">
        <f t="shared" si="69"/>
        <v>0</v>
      </c>
      <c r="BQ56" s="234">
        <f t="shared" si="69"/>
        <v>58</v>
      </c>
      <c r="BR56" s="234">
        <f t="shared" si="69"/>
        <v>0</v>
      </c>
      <c r="BS56" s="234">
        <f t="shared" si="69"/>
        <v>48</v>
      </c>
      <c r="BT56" s="234">
        <f t="shared" si="69"/>
        <v>50</v>
      </c>
      <c r="BU56" s="234">
        <f t="shared" si="69"/>
        <v>350</v>
      </c>
      <c r="BV56" s="234">
        <f t="shared" si="69"/>
        <v>62.5</v>
      </c>
      <c r="BW56" s="234">
        <f t="shared" si="69"/>
        <v>0</v>
      </c>
      <c r="BX56" s="234">
        <f t="shared" si="69"/>
        <v>0</v>
      </c>
      <c r="BY56" s="234">
        <f t="shared" si="69"/>
        <v>0</v>
      </c>
      <c r="BZ56" s="234">
        <f t="shared" si="69"/>
        <v>0</v>
      </c>
      <c r="CA56" s="234">
        <f t="shared" si="69"/>
        <v>0</v>
      </c>
      <c r="CB56" s="234">
        <f t="shared" si="69"/>
        <v>0</v>
      </c>
      <c r="CC56" s="234">
        <f t="shared" si="69"/>
        <v>0</v>
      </c>
      <c r="CD56" s="234">
        <f t="shared" si="69"/>
        <v>0</v>
      </c>
      <c r="CE56" s="234">
        <f t="shared" si="69"/>
        <v>0</v>
      </c>
      <c r="CF56" s="234">
        <f t="shared" si="69"/>
        <v>80</v>
      </c>
      <c r="CG56" s="234">
        <f t="shared" si="69"/>
        <v>0</v>
      </c>
      <c r="CH56" s="234">
        <f t="shared" si="69"/>
        <v>0</v>
      </c>
      <c r="CI56" s="234">
        <f t="shared" si="69"/>
        <v>0</v>
      </c>
      <c r="CJ56" s="234">
        <f t="shared" si="69"/>
        <v>0</v>
      </c>
      <c r="CK56" s="234">
        <f t="shared" si="69"/>
        <v>0</v>
      </c>
      <c r="CL56" s="234">
        <f t="shared" si="69"/>
        <v>0</v>
      </c>
      <c r="CM56" s="234">
        <f t="shared" si="69"/>
        <v>0</v>
      </c>
      <c r="CN56" s="234">
        <f t="shared" si="69"/>
        <v>165</v>
      </c>
      <c r="CO56" s="234">
        <f t="shared" si="69"/>
        <v>0</v>
      </c>
      <c r="CP56" s="234">
        <f t="shared" si="69"/>
        <v>745</v>
      </c>
      <c r="CQ56" s="235">
        <f t="shared" si="69"/>
        <v>0</v>
      </c>
      <c r="CR56" s="228">
        <f t="shared" si="69"/>
        <v>0</v>
      </c>
      <c r="CS56" s="229">
        <f t="shared" si="69"/>
        <v>0</v>
      </c>
      <c r="CT56" s="229">
        <f t="shared" ref="CT56:CX56" si="70">+CT37+CT42+CT47</f>
        <v>90</v>
      </c>
      <c r="CU56" s="229">
        <f t="shared" si="70"/>
        <v>0</v>
      </c>
      <c r="CV56" s="229">
        <f t="shared" si="70"/>
        <v>0</v>
      </c>
      <c r="CW56" s="229">
        <f t="shared" si="70"/>
        <v>0</v>
      </c>
      <c r="CX56" s="229">
        <f t="shared" si="70"/>
        <v>90</v>
      </c>
      <c r="CY56" s="229">
        <f t="shared" ref="CY56:DH56" si="71">+CY37+CY42+CY47</f>
        <v>0</v>
      </c>
      <c r="CZ56" s="229">
        <f t="shared" si="71"/>
        <v>0</v>
      </c>
      <c r="DA56" s="229">
        <f t="shared" si="71"/>
        <v>0</v>
      </c>
      <c r="DB56" s="229">
        <f t="shared" si="71"/>
        <v>0</v>
      </c>
      <c r="DC56" s="229">
        <f t="shared" si="71"/>
        <v>0</v>
      </c>
      <c r="DD56" s="229">
        <f t="shared" si="71"/>
        <v>160</v>
      </c>
      <c r="DE56" s="229">
        <f t="shared" si="71"/>
        <v>0</v>
      </c>
      <c r="DF56" s="229">
        <f t="shared" si="71"/>
        <v>0</v>
      </c>
      <c r="DG56" s="229">
        <f t="shared" si="71"/>
        <v>0</v>
      </c>
      <c r="DH56" s="229">
        <f t="shared" si="71"/>
        <v>0</v>
      </c>
      <c r="DI56" s="229">
        <f t="shared" ref="DI56" si="72">+DI37+DI42+DI47</f>
        <v>0</v>
      </c>
      <c r="DJ56" s="229">
        <f t="shared" ref="DJ56:DM56" si="73">+DJ37+DJ42+DJ47</f>
        <v>0</v>
      </c>
      <c r="DK56" s="229">
        <f t="shared" si="73"/>
        <v>0</v>
      </c>
      <c r="DL56" s="229">
        <f t="shared" si="73"/>
        <v>205</v>
      </c>
      <c r="DM56" s="229">
        <f t="shared" si="73"/>
        <v>0</v>
      </c>
      <c r="DN56" s="229">
        <f t="shared" ref="DN56:DZ56" si="74">+DN37+DN42+DN47</f>
        <v>0</v>
      </c>
      <c r="DO56" s="229">
        <f t="shared" si="74"/>
        <v>0</v>
      </c>
      <c r="DP56" s="229">
        <f t="shared" si="74"/>
        <v>0</v>
      </c>
      <c r="DQ56" s="229">
        <f t="shared" si="74"/>
        <v>0</v>
      </c>
      <c r="DR56" s="229">
        <f t="shared" si="74"/>
        <v>0</v>
      </c>
      <c r="DS56" s="229">
        <f t="shared" si="74"/>
        <v>0</v>
      </c>
      <c r="DT56" s="229">
        <f t="shared" si="74"/>
        <v>0</v>
      </c>
      <c r="DU56" s="229">
        <f t="shared" si="74"/>
        <v>0</v>
      </c>
      <c r="DV56" s="354">
        <f t="shared" si="74"/>
        <v>0</v>
      </c>
      <c r="DW56" s="228">
        <f t="shared" si="74"/>
        <v>0</v>
      </c>
      <c r="DX56" s="229">
        <f t="shared" si="74"/>
        <v>0</v>
      </c>
      <c r="DY56" s="229">
        <f t="shared" si="74"/>
        <v>0</v>
      </c>
      <c r="DZ56" s="229">
        <f t="shared" si="74"/>
        <v>155</v>
      </c>
      <c r="EA56" s="229">
        <f t="shared" ref="EA56:EB56" si="75">+EA37+EA42+EA47</f>
        <v>0</v>
      </c>
      <c r="EB56" s="229">
        <f t="shared" si="75"/>
        <v>107.5</v>
      </c>
      <c r="EC56" s="229">
        <f t="shared" ref="EC56:EN56" si="76">+EC37+EC42+EC47</f>
        <v>0</v>
      </c>
      <c r="ED56" s="229">
        <f t="shared" si="76"/>
        <v>0</v>
      </c>
      <c r="EE56" s="229">
        <f t="shared" si="76"/>
        <v>0</v>
      </c>
      <c r="EF56" s="229">
        <f t="shared" si="76"/>
        <v>0</v>
      </c>
      <c r="EG56" s="229">
        <f t="shared" si="76"/>
        <v>0</v>
      </c>
      <c r="EH56" s="229">
        <f t="shared" si="76"/>
        <v>0</v>
      </c>
      <c r="EI56" s="229">
        <f t="shared" si="76"/>
        <v>0</v>
      </c>
      <c r="EJ56" s="229">
        <f t="shared" si="76"/>
        <v>0</v>
      </c>
      <c r="EK56" s="229">
        <f t="shared" si="76"/>
        <v>0</v>
      </c>
      <c r="EL56" s="229">
        <f t="shared" si="76"/>
        <v>0</v>
      </c>
      <c r="EM56" s="229">
        <f t="shared" si="76"/>
        <v>0</v>
      </c>
      <c r="EN56" s="229">
        <f t="shared" si="76"/>
        <v>0</v>
      </c>
      <c r="EO56" s="229">
        <f t="shared" ref="EO56:EZ56" si="77">+EO37+EO42+EO47</f>
        <v>0</v>
      </c>
      <c r="EP56" s="229">
        <f t="shared" si="77"/>
        <v>0</v>
      </c>
      <c r="EQ56" s="229">
        <f t="shared" si="77"/>
        <v>0</v>
      </c>
      <c r="ER56" s="229">
        <f t="shared" si="77"/>
        <v>0</v>
      </c>
      <c r="ES56" s="229">
        <f t="shared" si="77"/>
        <v>0</v>
      </c>
      <c r="ET56" s="229">
        <f t="shared" si="77"/>
        <v>0</v>
      </c>
      <c r="EU56" s="229">
        <f t="shared" si="77"/>
        <v>53</v>
      </c>
      <c r="EV56" s="229">
        <f t="shared" si="77"/>
        <v>0</v>
      </c>
      <c r="EW56" s="229">
        <f t="shared" si="77"/>
        <v>0</v>
      </c>
      <c r="EX56" s="229">
        <f t="shared" si="77"/>
        <v>115</v>
      </c>
      <c r="EY56" s="229">
        <f t="shared" si="77"/>
        <v>195</v>
      </c>
      <c r="EZ56" s="390">
        <f t="shared" si="77"/>
        <v>14.5</v>
      </c>
      <c r="FA56" s="228">
        <f t="shared" ref="FA56:FL56" si="78">+FA37+FA42+FA47</f>
        <v>12.5</v>
      </c>
      <c r="FB56" s="229">
        <f t="shared" si="78"/>
        <v>287.5</v>
      </c>
      <c r="FC56" s="229">
        <f t="shared" si="78"/>
        <v>0</v>
      </c>
      <c r="FD56" s="229">
        <f t="shared" si="78"/>
        <v>0</v>
      </c>
      <c r="FE56" s="229">
        <f t="shared" si="78"/>
        <v>0</v>
      </c>
      <c r="FF56" s="229">
        <f t="shared" si="78"/>
        <v>0</v>
      </c>
      <c r="FG56" s="229">
        <f t="shared" si="78"/>
        <v>0</v>
      </c>
      <c r="FH56" s="229">
        <f t="shared" si="78"/>
        <v>0</v>
      </c>
      <c r="FI56" s="229">
        <f t="shared" si="78"/>
        <v>0</v>
      </c>
      <c r="FJ56" s="229">
        <f t="shared" si="78"/>
        <v>0</v>
      </c>
      <c r="FK56" s="229">
        <f t="shared" si="78"/>
        <v>0</v>
      </c>
      <c r="FL56" s="229">
        <f t="shared" si="78"/>
        <v>0</v>
      </c>
      <c r="FM56" s="229">
        <f t="shared" ref="FM56:GC56" si="79">+FM37+FM42+FM47</f>
        <v>0</v>
      </c>
      <c r="FN56" s="229">
        <f t="shared" si="79"/>
        <v>200</v>
      </c>
      <c r="FO56" s="229">
        <f t="shared" si="79"/>
        <v>140</v>
      </c>
      <c r="FP56" s="229">
        <f t="shared" si="79"/>
        <v>150</v>
      </c>
      <c r="FQ56" s="229">
        <f t="shared" si="79"/>
        <v>0</v>
      </c>
      <c r="FR56" s="229">
        <f t="shared" si="79"/>
        <v>0</v>
      </c>
      <c r="FS56" s="229">
        <f t="shared" si="79"/>
        <v>0</v>
      </c>
      <c r="FT56" s="229">
        <f t="shared" si="79"/>
        <v>75</v>
      </c>
      <c r="FU56" s="229">
        <f t="shared" si="79"/>
        <v>0</v>
      </c>
      <c r="FV56" s="229">
        <f t="shared" si="79"/>
        <v>130</v>
      </c>
      <c r="FW56" s="229">
        <f t="shared" si="79"/>
        <v>0</v>
      </c>
      <c r="FX56" s="229">
        <f t="shared" si="79"/>
        <v>0</v>
      </c>
      <c r="FY56" s="229">
        <f t="shared" si="79"/>
        <v>125</v>
      </c>
      <c r="FZ56" s="229">
        <f t="shared" si="79"/>
        <v>0</v>
      </c>
      <c r="GA56" s="229">
        <f t="shared" si="79"/>
        <v>0</v>
      </c>
      <c r="GB56" s="229">
        <f t="shared" si="79"/>
        <v>670</v>
      </c>
      <c r="GC56" s="229">
        <f t="shared" si="79"/>
        <v>150</v>
      </c>
      <c r="GD56" s="229">
        <f t="shared" ref="GD56:GT56" si="80">+GD37+GD42+GD47</f>
        <v>0</v>
      </c>
      <c r="GE56" s="390">
        <f t="shared" si="80"/>
        <v>0</v>
      </c>
      <c r="GF56" s="228">
        <f t="shared" si="80"/>
        <v>0</v>
      </c>
      <c r="GG56" s="229">
        <f t="shared" si="80"/>
        <v>0</v>
      </c>
      <c r="GH56" s="229">
        <f t="shared" si="80"/>
        <v>0</v>
      </c>
      <c r="GI56" s="229">
        <f t="shared" si="80"/>
        <v>23</v>
      </c>
      <c r="GJ56" s="229">
        <f t="shared" si="80"/>
        <v>60</v>
      </c>
      <c r="GK56" s="229">
        <f t="shared" si="80"/>
        <v>55</v>
      </c>
      <c r="GL56" s="229">
        <f t="shared" si="80"/>
        <v>0</v>
      </c>
      <c r="GM56" s="229">
        <f t="shared" si="80"/>
        <v>0</v>
      </c>
      <c r="GN56" s="229">
        <f t="shared" si="80"/>
        <v>0</v>
      </c>
      <c r="GO56" s="229">
        <f t="shared" si="80"/>
        <v>0</v>
      </c>
      <c r="GP56" s="229">
        <f t="shared" si="80"/>
        <v>0</v>
      </c>
      <c r="GQ56" s="229">
        <f t="shared" si="80"/>
        <v>0</v>
      </c>
      <c r="GR56" s="229">
        <f t="shared" si="80"/>
        <v>0</v>
      </c>
      <c r="GS56" s="229">
        <f t="shared" si="80"/>
        <v>0</v>
      </c>
      <c r="GT56" s="229">
        <f t="shared" si="80"/>
        <v>0</v>
      </c>
      <c r="GU56" s="229">
        <f t="shared" ref="GU56:GY56" si="81">+GU37+GU42+GU47</f>
        <v>29</v>
      </c>
      <c r="GV56" s="229">
        <f t="shared" si="81"/>
        <v>0</v>
      </c>
      <c r="GW56" s="229">
        <f t="shared" si="81"/>
        <v>0</v>
      </c>
      <c r="GX56" s="229">
        <f t="shared" si="81"/>
        <v>0</v>
      </c>
      <c r="GY56" s="390">
        <f t="shared" si="81"/>
        <v>0</v>
      </c>
      <c r="GZ56" s="446">
        <f>SUM(E56:CZ56)</f>
        <v>4699.5</v>
      </c>
    </row>
    <row r="57" spans="1:208" ht="22.5" customHeight="1" thickBot="1" x14ac:dyDescent="0.4">
      <c r="BM57" s="252"/>
      <c r="CR57" s="21"/>
      <c r="CS57" s="275"/>
      <c r="CT57" s="275"/>
      <c r="CU57" s="275"/>
      <c r="CV57" s="275"/>
      <c r="CW57" s="275"/>
      <c r="CX57" s="275"/>
      <c r="CY57" s="275"/>
      <c r="CZ57" s="275"/>
      <c r="DA57" s="275"/>
      <c r="DB57" s="275"/>
      <c r="DC57" s="275"/>
      <c r="DD57" s="275"/>
      <c r="DE57" s="275"/>
      <c r="DF57" s="275"/>
      <c r="DG57" s="275"/>
      <c r="DH57" s="275"/>
      <c r="DI57" s="275"/>
      <c r="DJ57" s="275"/>
      <c r="DK57" s="275"/>
      <c r="DL57" s="275"/>
      <c r="DM57" s="275"/>
      <c r="DN57" s="275"/>
      <c r="DO57" s="275"/>
      <c r="DP57" s="275"/>
      <c r="DQ57" s="275"/>
      <c r="DR57" s="275"/>
      <c r="DS57" s="275"/>
      <c r="DT57" s="275"/>
      <c r="DU57" s="275"/>
      <c r="DV57" s="357"/>
      <c r="DW57" s="21"/>
      <c r="DX57" s="275"/>
      <c r="DY57" s="275"/>
      <c r="DZ57" s="275"/>
      <c r="EA57" s="275"/>
      <c r="EB57" s="275"/>
      <c r="EC57" s="275"/>
      <c r="ED57" s="275"/>
      <c r="EE57" s="275"/>
      <c r="EF57" s="275"/>
      <c r="EG57" s="275"/>
      <c r="EH57" s="275"/>
      <c r="EI57" s="275"/>
      <c r="EJ57" s="275"/>
      <c r="EK57" s="275"/>
      <c r="EL57" s="275"/>
      <c r="EM57" s="275"/>
      <c r="EN57" s="275"/>
      <c r="EO57" s="275"/>
      <c r="EP57" s="275"/>
      <c r="EQ57" s="275"/>
      <c r="ER57" s="275"/>
      <c r="ES57" s="275"/>
      <c r="ET57" s="275"/>
      <c r="EU57" s="275"/>
      <c r="EV57" s="275"/>
      <c r="EW57" s="275"/>
      <c r="EX57" s="275"/>
      <c r="EY57" s="275"/>
      <c r="EZ57" s="275"/>
      <c r="FA57" s="21"/>
      <c r="FB57" s="275"/>
      <c r="FC57" s="275"/>
      <c r="FD57" s="275"/>
      <c r="FE57" s="275"/>
      <c r="FF57" s="275"/>
      <c r="FG57" s="275"/>
      <c r="FH57" s="275"/>
      <c r="FI57" s="275"/>
      <c r="FJ57" s="275"/>
      <c r="FK57" s="275"/>
      <c r="FL57" s="275"/>
      <c r="FM57" s="275"/>
      <c r="FN57" s="275"/>
      <c r="FO57" s="275"/>
      <c r="FP57" s="275"/>
      <c r="FQ57" s="275"/>
      <c r="FR57" s="275"/>
      <c r="FS57" s="275"/>
      <c r="FT57" s="275"/>
      <c r="FU57" s="275"/>
      <c r="FV57" s="275"/>
      <c r="FW57" s="275"/>
      <c r="FX57" s="275"/>
      <c r="FY57" s="275"/>
      <c r="FZ57" s="275"/>
      <c r="GA57" s="275"/>
      <c r="GB57" s="275"/>
      <c r="GC57" s="275"/>
      <c r="GD57" s="275"/>
      <c r="GE57" s="275"/>
      <c r="GF57" s="21"/>
      <c r="GG57" s="275"/>
      <c r="GH57" s="275"/>
      <c r="GI57" s="275"/>
      <c r="GJ57" s="275"/>
      <c r="GK57" s="275"/>
      <c r="GL57" s="275"/>
      <c r="GM57" s="275"/>
      <c r="GN57" s="275"/>
      <c r="GO57" s="275"/>
      <c r="GP57" s="275"/>
      <c r="GQ57" s="275"/>
      <c r="GR57" s="275"/>
      <c r="GS57" s="275"/>
      <c r="GT57" s="275"/>
      <c r="GU57" s="275"/>
      <c r="GV57" s="275"/>
      <c r="GW57" s="275"/>
      <c r="GX57" s="275"/>
      <c r="GY57" s="275"/>
      <c r="GZ57" s="453"/>
    </row>
    <row r="58" spans="1:208" ht="29.25" customHeight="1" thickBot="1" x14ac:dyDescent="0.4">
      <c r="A58" s="476" t="s">
        <v>108</v>
      </c>
      <c r="B58" s="477"/>
      <c r="C58" s="477"/>
      <c r="D58" s="478"/>
      <c r="E58" s="209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1"/>
      <c r="AG58" s="212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0"/>
      <c r="AU58" s="210"/>
      <c r="AV58" s="210"/>
      <c r="AW58" s="210"/>
      <c r="AX58" s="210"/>
      <c r="AY58" s="210"/>
      <c r="AZ58" s="210"/>
      <c r="BA58" s="210"/>
      <c r="BB58" s="210"/>
      <c r="BC58" s="210"/>
      <c r="BD58" s="210"/>
      <c r="BE58" s="210"/>
      <c r="BF58" s="210"/>
      <c r="BG58" s="210"/>
      <c r="BH58" s="210"/>
      <c r="BI58" s="210"/>
      <c r="BJ58" s="210"/>
      <c r="BK58" s="210"/>
      <c r="BL58" s="210"/>
      <c r="BM58" s="248"/>
      <c r="BN58" s="210"/>
      <c r="BO58" s="210"/>
      <c r="BP58" s="210"/>
      <c r="BQ58" s="210"/>
      <c r="BR58" s="210"/>
      <c r="BS58" s="210"/>
      <c r="BT58" s="210"/>
      <c r="BU58" s="210"/>
      <c r="BV58" s="210"/>
      <c r="BW58" s="210"/>
      <c r="BX58" s="210"/>
      <c r="BY58" s="210"/>
      <c r="BZ58" s="210"/>
      <c r="CA58" s="210"/>
      <c r="CB58" s="210"/>
      <c r="CC58" s="210"/>
      <c r="CD58" s="210"/>
      <c r="CE58" s="210"/>
      <c r="CF58" s="210"/>
      <c r="CG58" s="210"/>
      <c r="CH58" s="210"/>
      <c r="CI58" s="210"/>
      <c r="CJ58" s="210"/>
      <c r="CK58" s="210"/>
      <c r="CL58" s="210"/>
      <c r="CM58" s="210"/>
      <c r="CN58" s="210"/>
      <c r="CO58" s="210"/>
      <c r="CP58" s="210"/>
      <c r="CQ58" s="211"/>
      <c r="CR58" s="323"/>
      <c r="CS58" s="324"/>
      <c r="CT58" s="324"/>
      <c r="CU58" s="324"/>
      <c r="CV58" s="324"/>
      <c r="CW58" s="324"/>
      <c r="CX58" s="324"/>
      <c r="CY58" s="324"/>
      <c r="CZ58" s="324"/>
      <c r="DA58" s="324"/>
      <c r="DB58" s="324"/>
      <c r="DC58" s="324"/>
      <c r="DD58" s="324"/>
      <c r="DE58" s="324"/>
      <c r="DF58" s="324"/>
      <c r="DG58" s="324"/>
      <c r="DH58" s="324"/>
      <c r="DI58" s="387"/>
      <c r="DJ58" s="209"/>
      <c r="DK58" s="210"/>
      <c r="DL58" s="210"/>
      <c r="DM58" s="210"/>
      <c r="DN58" s="210"/>
      <c r="DO58" s="210"/>
      <c r="DP58" s="210"/>
      <c r="DQ58" s="210"/>
      <c r="DR58" s="210"/>
      <c r="DS58" s="210"/>
      <c r="DT58" s="210"/>
      <c r="DU58" s="210"/>
      <c r="DV58" s="355"/>
      <c r="DW58" s="209"/>
      <c r="DX58" s="210"/>
      <c r="DY58" s="210"/>
      <c r="DZ58" s="210"/>
      <c r="EA58" s="210"/>
      <c r="EB58" s="210"/>
      <c r="EC58" s="210"/>
      <c r="ED58" s="210"/>
      <c r="EE58" s="210"/>
      <c r="EF58" s="210"/>
      <c r="EG58" s="210"/>
      <c r="EH58" s="210"/>
      <c r="EI58" s="210"/>
      <c r="EJ58" s="210"/>
      <c r="EK58" s="210"/>
      <c r="EL58" s="210"/>
      <c r="EM58" s="210"/>
      <c r="EN58" s="210"/>
      <c r="EO58" s="210"/>
      <c r="EP58" s="210"/>
      <c r="EQ58" s="210"/>
      <c r="ER58" s="210"/>
      <c r="ES58" s="210"/>
      <c r="ET58" s="210"/>
      <c r="EU58" s="210"/>
      <c r="EV58" s="210"/>
      <c r="EW58" s="210"/>
      <c r="EX58" s="210"/>
      <c r="EY58" s="210"/>
      <c r="EZ58" s="211"/>
      <c r="FA58" s="391"/>
      <c r="FB58" s="355"/>
      <c r="FC58" s="355"/>
      <c r="FD58" s="355"/>
      <c r="FE58" s="355"/>
      <c r="FF58" s="355"/>
      <c r="FG58" s="355"/>
      <c r="FH58" s="355"/>
      <c r="FI58" s="355"/>
      <c r="FJ58" s="355"/>
      <c r="FK58" s="355"/>
      <c r="FL58" s="355"/>
      <c r="FM58" s="355"/>
      <c r="FN58" s="355"/>
      <c r="FO58" s="355"/>
      <c r="FP58" s="355"/>
      <c r="FQ58" s="355"/>
      <c r="FR58" s="355"/>
      <c r="FS58" s="355"/>
      <c r="FT58" s="355"/>
      <c r="FU58" s="355"/>
      <c r="FV58" s="355"/>
      <c r="FW58" s="355"/>
      <c r="FX58" s="355"/>
      <c r="FY58" s="355"/>
      <c r="FZ58" s="355"/>
      <c r="GA58" s="355"/>
      <c r="GB58" s="355"/>
      <c r="GC58" s="355"/>
      <c r="GD58" s="355"/>
      <c r="GE58" s="211"/>
      <c r="GF58" s="391"/>
      <c r="GG58" s="355"/>
      <c r="GH58" s="355"/>
      <c r="GI58" s="355"/>
      <c r="GJ58" s="355"/>
      <c r="GK58" s="355"/>
      <c r="GL58" s="355"/>
      <c r="GM58" s="355"/>
      <c r="GN58" s="355"/>
      <c r="GO58" s="355"/>
      <c r="GP58" s="355"/>
      <c r="GQ58" s="355"/>
      <c r="GR58" s="355"/>
      <c r="GS58" s="355"/>
      <c r="GT58" s="355"/>
      <c r="GU58" s="355"/>
      <c r="GV58" s="355"/>
      <c r="GW58" s="355"/>
      <c r="GX58" s="355"/>
      <c r="GY58" s="211"/>
      <c r="GZ58" s="449"/>
    </row>
    <row r="59" spans="1:208" ht="15" hidden="1" customHeight="1" thickBot="1" x14ac:dyDescent="0.4">
      <c r="A59" s="482"/>
      <c r="B59" s="481" t="s">
        <v>23</v>
      </c>
      <c r="C59" s="25" t="s">
        <v>82</v>
      </c>
      <c r="D59" s="32" t="s">
        <v>86</v>
      </c>
      <c r="E59" s="71">
        <f>+Columns!O77</f>
        <v>0</v>
      </c>
      <c r="F59" s="37">
        <f>+Columns!P77</f>
        <v>0</v>
      </c>
      <c r="G59" s="37">
        <f>+Columns!Q77</f>
        <v>0</v>
      </c>
      <c r="H59" s="37">
        <f>+Columns!R77</f>
        <v>0</v>
      </c>
      <c r="I59" s="37">
        <f>+Columns!S77</f>
        <v>0</v>
      </c>
      <c r="J59" s="37">
        <f>+Columns!T77</f>
        <v>0</v>
      </c>
      <c r="K59" s="37">
        <f>+Columns!U77</f>
        <v>0</v>
      </c>
      <c r="L59" s="37">
        <f>+Columns!V77</f>
        <v>0</v>
      </c>
      <c r="M59" s="37">
        <f>+Columns!W77</f>
        <v>0.5</v>
      </c>
      <c r="N59" s="37">
        <f>+Columns!X77</f>
        <v>0</v>
      </c>
      <c r="O59" s="37">
        <f>+Columns!Y77</f>
        <v>0</v>
      </c>
      <c r="P59" s="37">
        <f>+Columns!Z77</f>
        <v>2</v>
      </c>
      <c r="Q59" s="37">
        <f>+Columns!AA77</f>
        <v>0</v>
      </c>
      <c r="R59" s="37">
        <f>+Columns!AB77</f>
        <v>0.5</v>
      </c>
      <c r="S59" s="37">
        <f>+Columns!AC77</f>
        <v>0</v>
      </c>
      <c r="T59" s="37">
        <f>+Columns!AD77</f>
        <v>0</v>
      </c>
      <c r="U59" s="37">
        <f>+Columns!AE77</f>
        <v>0.5</v>
      </c>
      <c r="V59" s="37">
        <f>+Columns!AF77</f>
        <v>0</v>
      </c>
      <c r="W59" s="37">
        <f>+Columns!AG77</f>
        <v>0</v>
      </c>
      <c r="X59" s="37">
        <f>+Columns!AH77</f>
        <v>0</v>
      </c>
      <c r="Y59" s="37">
        <f>+Columns!AI77</f>
        <v>0</v>
      </c>
      <c r="Z59" s="37">
        <f>+Columns!AJ77</f>
        <v>0</v>
      </c>
      <c r="AA59" s="37">
        <f>+Columns!AK77</f>
        <v>0</v>
      </c>
      <c r="AB59" s="37">
        <f>+Columns!AL77</f>
        <v>0</v>
      </c>
      <c r="AC59" s="37">
        <f>+Columns!AM77</f>
        <v>0</v>
      </c>
      <c r="AD59" s="37">
        <f>+Columns!AN77</f>
        <v>0</v>
      </c>
      <c r="AE59" s="37">
        <f>+Columns!AO77</f>
        <v>0</v>
      </c>
      <c r="AF59" s="276">
        <f>+Columns!AP77</f>
        <v>0</v>
      </c>
      <c r="AG59" s="165">
        <f>+Columns!AQ77</f>
        <v>0</v>
      </c>
      <c r="AH59" s="37">
        <f>+Columns!AR77</f>
        <v>0</v>
      </c>
      <c r="AI59" s="37">
        <f>+Columns!AS77</f>
        <v>0</v>
      </c>
      <c r="AJ59" s="37">
        <f>+Columns!AT77</f>
        <v>0</v>
      </c>
      <c r="AK59" s="37">
        <f>+Columns!AU77</f>
        <v>0</v>
      </c>
      <c r="AL59" s="37">
        <f>+Columns!AV77</f>
        <v>0.5</v>
      </c>
      <c r="AM59" s="37">
        <f>+Columns!AW77</f>
        <v>0</v>
      </c>
      <c r="AN59" s="37">
        <f>+Columns!AX77</f>
        <v>0</v>
      </c>
      <c r="AO59" s="37">
        <f>+Columns!AY77</f>
        <v>0</v>
      </c>
      <c r="AP59" s="37">
        <f>+Columns!AZ77</f>
        <v>0</v>
      </c>
      <c r="AQ59" s="37">
        <f>+Columns!BA77</f>
        <v>0</v>
      </c>
      <c r="AR59" s="37">
        <f>+Columns!BB77</f>
        <v>0</v>
      </c>
      <c r="AS59" s="37">
        <f>+Columns!BC77</f>
        <v>0</v>
      </c>
      <c r="AT59" s="37">
        <f>+Columns!BD77</f>
        <v>0</v>
      </c>
      <c r="AU59" s="37">
        <f>+Columns!BE77</f>
        <v>0</v>
      </c>
      <c r="AV59" s="37">
        <f>+Columns!BF77</f>
        <v>0</v>
      </c>
      <c r="AW59" s="37">
        <f>+Columns!BG77</f>
        <v>0</v>
      </c>
      <c r="AX59" s="37">
        <f>+Columns!BH77</f>
        <v>0</v>
      </c>
      <c r="AY59" s="37">
        <f>+Columns!BI77</f>
        <v>0</v>
      </c>
      <c r="AZ59" s="37">
        <f>+Columns!BJ77</f>
        <v>0</v>
      </c>
      <c r="BA59" s="37">
        <f>+Columns!BK77</f>
        <v>0</v>
      </c>
      <c r="BB59" s="37">
        <f>+Columns!BL77</f>
        <v>0</v>
      </c>
      <c r="BC59" s="37">
        <f>+Columns!BM77</f>
        <v>0</v>
      </c>
      <c r="BD59" s="37">
        <f>+Columns!BN77</f>
        <v>0</v>
      </c>
      <c r="BE59" s="37">
        <f>+Columns!BO77</f>
        <v>0</v>
      </c>
      <c r="BF59" s="37">
        <f>+Columns!BP77</f>
        <v>0</v>
      </c>
      <c r="BG59" s="37">
        <f>+Columns!BQ77</f>
        <v>0</v>
      </c>
      <c r="BH59" s="37">
        <f>+Columns!BR77</f>
        <v>0</v>
      </c>
      <c r="BI59" s="37">
        <f>+Columns!BS77</f>
        <v>1.5</v>
      </c>
      <c r="BJ59" s="37">
        <f>+Columns!BT77</f>
        <v>0</v>
      </c>
      <c r="BK59" s="37">
        <f>+Columns!BU77</f>
        <v>0</v>
      </c>
      <c r="BL59" s="37">
        <f>+Columns!BV77</f>
        <v>0</v>
      </c>
      <c r="BM59" s="249">
        <f>+Columns!BW77</f>
        <v>0</v>
      </c>
      <c r="BN59" s="37">
        <f>+Columns!BX77</f>
        <v>0</v>
      </c>
      <c r="BO59" s="37">
        <f>+Columns!BY77</f>
        <v>0</v>
      </c>
      <c r="BP59" s="37">
        <f>+Columns!BZ77</f>
        <v>0</v>
      </c>
      <c r="BQ59" s="37">
        <f>+Columns!CA77</f>
        <v>0</v>
      </c>
      <c r="BR59" s="37">
        <f>+Columns!CB77</f>
        <v>0</v>
      </c>
      <c r="BS59" s="37">
        <f>+Columns!CC77</f>
        <v>0</v>
      </c>
      <c r="BT59" s="37">
        <f>+Columns!CD77</f>
        <v>0</v>
      </c>
      <c r="BU59" s="37">
        <f>+Columns!CE77</f>
        <v>0</v>
      </c>
      <c r="BV59" s="37">
        <f>+Columns!CF77</f>
        <v>0</v>
      </c>
      <c r="BW59" s="37">
        <f>+Columns!CG77</f>
        <v>0</v>
      </c>
      <c r="BX59" s="37">
        <f>+Columns!CH77</f>
        <v>0</v>
      </c>
      <c r="BY59" s="37">
        <f>+Columns!CI77</f>
        <v>0</v>
      </c>
      <c r="BZ59" s="37">
        <f>+Columns!CJ77</f>
        <v>0</v>
      </c>
      <c r="CA59" s="37">
        <f>+Columns!CK77</f>
        <v>0</v>
      </c>
      <c r="CB59" s="37">
        <f>+Columns!CL77</f>
        <v>0</v>
      </c>
      <c r="CC59" s="37">
        <f>+Columns!CM77</f>
        <v>0</v>
      </c>
      <c r="CD59" s="37">
        <f>+Columns!CN77</f>
        <v>0</v>
      </c>
      <c r="CE59" s="37">
        <f>+Columns!CO77</f>
        <v>0</v>
      </c>
      <c r="CF59" s="37">
        <f>+Columns!CP77</f>
        <v>0</v>
      </c>
      <c r="CG59" s="37">
        <f>+Columns!CQ77</f>
        <v>0</v>
      </c>
      <c r="CH59" s="37">
        <f>+Columns!CR77</f>
        <v>0</v>
      </c>
      <c r="CI59" s="37">
        <f>+Columns!CS77</f>
        <v>0</v>
      </c>
      <c r="CJ59" s="37">
        <f>+Columns!CT77</f>
        <v>0</v>
      </c>
      <c r="CK59" s="37">
        <f>+Columns!CU77</f>
        <v>0</v>
      </c>
      <c r="CL59" s="37">
        <f>+Columns!CV77</f>
        <v>0.5</v>
      </c>
      <c r="CM59" s="37">
        <f>+Columns!CW77</f>
        <v>0</v>
      </c>
      <c r="CN59" s="37">
        <f>+Columns!CX77</f>
        <v>0</v>
      </c>
      <c r="CO59" s="37">
        <f>+Columns!CY77</f>
        <v>0</v>
      </c>
      <c r="CP59" s="37">
        <f>+Columns!CZ77</f>
        <v>0</v>
      </c>
      <c r="CQ59" s="157">
        <f>+Columns!DA77</f>
        <v>0</v>
      </c>
      <c r="CR59" s="71">
        <f>+Columns!DB77</f>
        <v>0</v>
      </c>
      <c r="CS59" s="37">
        <f>+Columns!DC77</f>
        <v>0</v>
      </c>
      <c r="CT59" s="37">
        <f>+Columns!DD77</f>
        <v>0</v>
      </c>
      <c r="CU59" s="37">
        <f>+Columns!DE77</f>
        <v>0</v>
      </c>
      <c r="CV59" s="37">
        <f>+Columns!DF77</f>
        <v>0</v>
      </c>
      <c r="CW59" s="37">
        <f>+Columns!DG77</f>
        <v>0</v>
      </c>
      <c r="CX59" s="37">
        <f>+Columns!DH77</f>
        <v>0</v>
      </c>
      <c r="CY59" s="37">
        <f>+Columns!DI77</f>
        <v>0</v>
      </c>
      <c r="CZ59" s="37">
        <f>+Columns!DJ77</f>
        <v>0</v>
      </c>
      <c r="DA59" s="37">
        <f>+Columns!DK77</f>
        <v>0</v>
      </c>
      <c r="DB59" s="37">
        <f>+Columns!DL77</f>
        <v>1</v>
      </c>
      <c r="DC59" s="37">
        <f>+Columns!DM77</f>
        <v>0</v>
      </c>
      <c r="DD59" s="37">
        <f>+Columns!DN77</f>
        <v>0</v>
      </c>
      <c r="DE59" s="37">
        <f>+Columns!DO77</f>
        <v>0</v>
      </c>
      <c r="DF59" s="37">
        <f>+Columns!DP77</f>
        <v>0</v>
      </c>
      <c r="DG59" s="37">
        <f>+Columns!DQ77</f>
        <v>0</v>
      </c>
      <c r="DH59" s="37">
        <f>+Columns!DR77</f>
        <v>0</v>
      </c>
      <c r="DI59" s="37">
        <f>+Columns!DS77</f>
        <v>0</v>
      </c>
      <c r="DJ59" s="37">
        <f>+Columns!DT77</f>
        <v>0</v>
      </c>
      <c r="DK59" s="37">
        <f>+Columns!DU77</f>
        <v>0</v>
      </c>
      <c r="DL59" s="37">
        <f>+Columns!DV77</f>
        <v>0</v>
      </c>
      <c r="DM59" s="37">
        <f>+Columns!DW77</f>
        <v>0</v>
      </c>
      <c r="DN59" s="37">
        <f>+Columns!DX77</f>
        <v>0</v>
      </c>
      <c r="DO59" s="37">
        <f>+Columns!DY77</f>
        <v>0</v>
      </c>
      <c r="DP59" s="37">
        <f>+Columns!DZ77</f>
        <v>0</v>
      </c>
      <c r="DQ59" s="37">
        <f>+Columns!EA77</f>
        <v>0</v>
      </c>
      <c r="DR59" s="37">
        <f>+Columns!EB77</f>
        <v>0</v>
      </c>
      <c r="DS59" s="37">
        <f>+Columns!EC77</f>
        <v>0</v>
      </c>
      <c r="DT59" s="37">
        <f>+Columns!ED77</f>
        <v>0</v>
      </c>
      <c r="DU59" s="37">
        <f>+Columns!EE77</f>
        <v>0</v>
      </c>
      <c r="DV59" s="276">
        <f>+Columns!EF77</f>
        <v>0</v>
      </c>
      <c r="DW59" s="71">
        <f>+Columns!EG77</f>
        <v>0</v>
      </c>
      <c r="DX59" s="37">
        <f>+Columns!EH77</f>
        <v>0</v>
      </c>
      <c r="DY59" s="37">
        <f>+Columns!EI77</f>
        <v>0</v>
      </c>
      <c r="DZ59" s="37">
        <f>+Columns!EJ77</f>
        <v>0</v>
      </c>
      <c r="EA59" s="37">
        <f>+Columns!EK77</f>
        <v>0</v>
      </c>
      <c r="EB59" s="37">
        <f>+Columns!EL77</f>
        <v>0</v>
      </c>
      <c r="EC59" s="37">
        <f>+Columns!EM77</f>
        <v>0</v>
      </c>
      <c r="ED59" s="37">
        <f>+Columns!EN77</f>
        <v>0</v>
      </c>
      <c r="EE59" s="37">
        <f>+Columns!EO77</f>
        <v>0</v>
      </c>
      <c r="EF59" s="37">
        <f>+Columns!EP77</f>
        <v>0</v>
      </c>
      <c r="EG59" s="37">
        <f>+Columns!EQ77</f>
        <v>0</v>
      </c>
      <c r="EH59" s="37">
        <f>+Columns!ER77</f>
        <v>0</v>
      </c>
      <c r="EI59" s="37">
        <f>+Columns!ES77</f>
        <v>0</v>
      </c>
      <c r="EJ59" s="37">
        <f>+Columns!ET77</f>
        <v>0</v>
      </c>
      <c r="EK59" s="37">
        <f>+Columns!EU77</f>
        <v>0</v>
      </c>
      <c r="EL59" s="37">
        <f>+Columns!EV77</f>
        <v>0</v>
      </c>
      <c r="EM59" s="37">
        <f>+Columns!EW77</f>
        <v>0</v>
      </c>
      <c r="EN59" s="37">
        <f>+Columns!EX77</f>
        <v>0</v>
      </c>
      <c r="EO59" s="37">
        <f>+Columns!EY77</f>
        <v>0</v>
      </c>
      <c r="EP59" s="37">
        <f>+Columns!EZ77</f>
        <v>0</v>
      </c>
      <c r="EQ59" s="37">
        <f>+Columns!FA77</f>
        <v>0</v>
      </c>
      <c r="ER59" s="37">
        <f>+Columns!FB77</f>
        <v>0</v>
      </c>
      <c r="ES59" s="37">
        <f>+Columns!FC77</f>
        <v>0</v>
      </c>
      <c r="ET59" s="37">
        <f>+Columns!FD77</f>
        <v>0</v>
      </c>
      <c r="EU59" s="37">
        <f>+Columns!FE77</f>
        <v>0</v>
      </c>
      <c r="EV59" s="37">
        <f>+Columns!FF77</f>
        <v>0</v>
      </c>
      <c r="EW59" s="37">
        <f>+Columns!FG77</f>
        <v>0</v>
      </c>
      <c r="EX59" s="37">
        <f>+Columns!FH77</f>
        <v>0</v>
      </c>
      <c r="EY59" s="37">
        <f>+Columns!FI77</f>
        <v>0</v>
      </c>
      <c r="EZ59" s="157">
        <f>+Columns!FJ77</f>
        <v>0</v>
      </c>
      <c r="FA59" s="71">
        <f>+Columns!FK77</f>
        <v>0</v>
      </c>
      <c r="FB59" s="37">
        <f>+Columns!FL77</f>
        <v>0</v>
      </c>
      <c r="FC59" s="37">
        <f>+Columns!FM77</f>
        <v>0</v>
      </c>
      <c r="FD59" s="37">
        <f>+Columns!FN77</f>
        <v>0</v>
      </c>
      <c r="FE59" s="37">
        <f>+Columns!FO77</f>
        <v>0</v>
      </c>
      <c r="FF59" s="37">
        <f>+Columns!FP77</f>
        <v>0</v>
      </c>
      <c r="FG59" s="37">
        <f>+Columns!FQ77</f>
        <v>0</v>
      </c>
      <c r="FH59" s="37">
        <f>+Columns!FR77</f>
        <v>0</v>
      </c>
      <c r="FI59" s="37">
        <f>+Columns!FS77</f>
        <v>0</v>
      </c>
      <c r="FJ59" s="37">
        <f>+Columns!FT77</f>
        <v>0</v>
      </c>
      <c r="FK59" s="37">
        <f>+Columns!FU77</f>
        <v>0</v>
      </c>
      <c r="FL59" s="37">
        <f>+Columns!FV77</f>
        <v>0</v>
      </c>
      <c r="FM59" s="37">
        <f>+Columns!FW77</f>
        <v>0</v>
      </c>
      <c r="FN59" s="37">
        <f>+Columns!FX77</f>
        <v>0</v>
      </c>
      <c r="FO59" s="37">
        <f>+Columns!FY77</f>
        <v>0</v>
      </c>
      <c r="FP59" s="37">
        <f>+Columns!FZ77</f>
        <v>0</v>
      </c>
      <c r="FQ59" s="37">
        <f>+Columns!GA77</f>
        <v>0</v>
      </c>
      <c r="FR59" s="37">
        <f>+Columns!GB77</f>
        <v>0</v>
      </c>
      <c r="FS59" s="37">
        <f>+Columns!GC77</f>
        <v>0</v>
      </c>
      <c r="FT59" s="37">
        <f>+Columns!GD77</f>
        <v>0</v>
      </c>
      <c r="FU59" s="37">
        <f>+Columns!GE77</f>
        <v>0</v>
      </c>
      <c r="FV59" s="37">
        <f>+Columns!GF77</f>
        <v>0</v>
      </c>
      <c r="FW59" s="37">
        <f>+Columns!GG77</f>
        <v>0</v>
      </c>
      <c r="FX59" s="37">
        <f>+Columns!GH77</f>
        <v>0</v>
      </c>
      <c r="FY59" s="37">
        <f>+Columns!GI77</f>
        <v>0</v>
      </c>
      <c r="FZ59" s="37">
        <f>+Columns!GJ77</f>
        <v>0</v>
      </c>
      <c r="GA59" s="37">
        <f>+Columns!GK77</f>
        <v>0</v>
      </c>
      <c r="GB59" s="37">
        <f>+Columns!GL77</f>
        <v>0</v>
      </c>
      <c r="GC59" s="37">
        <f>+Columns!GM77</f>
        <v>0</v>
      </c>
      <c r="GD59" s="37">
        <f>+Columns!GN77</f>
        <v>0</v>
      </c>
      <c r="GE59" s="157">
        <f>+Columns!GO77</f>
        <v>0</v>
      </c>
      <c r="GF59" s="71">
        <f>+Columns!GP77</f>
        <v>0</v>
      </c>
      <c r="GG59" s="37">
        <f>+Columns!GQ77</f>
        <v>0</v>
      </c>
      <c r="GH59" s="37">
        <f>+Columns!GR77</f>
        <v>0</v>
      </c>
      <c r="GI59" s="37">
        <f>+Columns!GS77</f>
        <v>0</v>
      </c>
      <c r="GJ59" s="37">
        <f>+Columns!GT77</f>
        <v>0</v>
      </c>
      <c r="GK59" s="37">
        <f>+Columns!GU77</f>
        <v>0</v>
      </c>
      <c r="GL59" s="37">
        <f>+Columns!GV77</f>
        <v>0</v>
      </c>
      <c r="GM59" s="37">
        <f>+Columns!GW77</f>
        <v>0</v>
      </c>
      <c r="GN59" s="37">
        <f>+Columns!GX77</f>
        <v>0</v>
      </c>
      <c r="GO59" s="37">
        <f>+Columns!GY77</f>
        <v>0</v>
      </c>
      <c r="GP59" s="37">
        <f>+Columns!GZ77</f>
        <v>0</v>
      </c>
      <c r="GQ59" s="37">
        <f>+Columns!HA77</f>
        <v>0</v>
      </c>
      <c r="GR59" s="37">
        <f>+Columns!HB77</f>
        <v>0</v>
      </c>
      <c r="GS59" s="37">
        <f>+Columns!HC77</f>
        <v>0</v>
      </c>
      <c r="GT59" s="37">
        <f>+Columns!HD77</f>
        <v>0</v>
      </c>
      <c r="GU59" s="37">
        <f>+Columns!HE77</f>
        <v>0</v>
      </c>
      <c r="GV59" s="37">
        <f>+Columns!HF77</f>
        <v>0</v>
      </c>
      <c r="GW59" s="37">
        <f>+Columns!HG77</f>
        <v>0</v>
      </c>
      <c r="GX59" s="37">
        <f>+Columns!HH77</f>
        <v>0</v>
      </c>
      <c r="GY59" s="157">
        <f>+Columns!HI77</f>
        <v>0</v>
      </c>
      <c r="GZ59" s="450"/>
    </row>
    <row r="60" spans="1:208" ht="15" hidden="1" customHeight="1" thickBot="1" x14ac:dyDescent="0.4">
      <c r="A60" s="479"/>
      <c r="B60" s="474"/>
      <c r="C60" s="23" t="s">
        <v>81</v>
      </c>
      <c r="D60" s="2" t="s">
        <v>87</v>
      </c>
      <c r="E60" s="73">
        <f>+'Internal Wall'!O90</f>
        <v>0</v>
      </c>
      <c r="F60" s="13">
        <f>+'Internal Wall'!P90</f>
        <v>0</v>
      </c>
      <c r="G60" s="13">
        <f>+'Internal Wall'!Q90</f>
        <v>0</v>
      </c>
      <c r="H60" s="13">
        <f>+'Internal Wall'!R90</f>
        <v>0</v>
      </c>
      <c r="I60" s="13">
        <f>+'Internal Wall'!S90</f>
        <v>0</v>
      </c>
      <c r="J60" s="13">
        <f>+'Internal Wall'!T90</f>
        <v>0</v>
      </c>
      <c r="K60" s="13">
        <f>+'Internal Wall'!U90</f>
        <v>0</v>
      </c>
      <c r="L60" s="13">
        <f>+'Internal Wall'!V90</f>
        <v>24</v>
      </c>
      <c r="M60" s="13">
        <f>+'Internal Wall'!W90</f>
        <v>8.5500000000000007</v>
      </c>
      <c r="N60" s="13">
        <f>+'Internal Wall'!X90</f>
        <v>0</v>
      </c>
      <c r="O60" s="13">
        <f>+'Internal Wall'!Y90</f>
        <v>0</v>
      </c>
      <c r="P60" s="13">
        <f>+'Internal Wall'!Z90</f>
        <v>0</v>
      </c>
      <c r="Q60" s="13">
        <f>+'Internal Wall'!AA90</f>
        <v>0</v>
      </c>
      <c r="R60" s="13">
        <f>+'Internal Wall'!AB90</f>
        <v>11.399999999999999</v>
      </c>
      <c r="S60" s="13">
        <f>+'Internal Wall'!AC90</f>
        <v>2.75</v>
      </c>
      <c r="T60" s="13">
        <f>+'Internal Wall'!AD90</f>
        <v>0</v>
      </c>
      <c r="U60" s="13">
        <f>+'Internal Wall'!AE90</f>
        <v>0</v>
      </c>
      <c r="V60" s="13">
        <f>+'Internal Wall'!AF90</f>
        <v>0</v>
      </c>
      <c r="W60" s="13">
        <f>+'Internal Wall'!AG90</f>
        <v>88</v>
      </c>
      <c r="X60" s="13">
        <f>+'Internal Wall'!AH90</f>
        <v>0</v>
      </c>
      <c r="Y60" s="13">
        <f>+'Internal Wall'!AI90</f>
        <v>7.5</v>
      </c>
      <c r="Z60" s="13">
        <f>+'Internal Wall'!AJ90</f>
        <v>0</v>
      </c>
      <c r="AA60" s="13">
        <f>+'Internal Wall'!AK90</f>
        <v>5</v>
      </c>
      <c r="AB60" s="13">
        <f>+'Internal Wall'!AL90</f>
        <v>0</v>
      </c>
      <c r="AC60" s="13">
        <f>+'Internal Wall'!AM90</f>
        <v>0</v>
      </c>
      <c r="AD60" s="13">
        <f>+'Internal Wall'!AN90</f>
        <v>0</v>
      </c>
      <c r="AE60" s="13">
        <f>+'Internal Wall'!AO90</f>
        <v>0</v>
      </c>
      <c r="AF60" s="274">
        <f>+'Internal Wall'!AP90</f>
        <v>3</v>
      </c>
      <c r="AG60" s="162">
        <f>+'Internal Wall'!AQ90</f>
        <v>0</v>
      </c>
      <c r="AH60" s="13">
        <f>+'Internal Wall'!AR90</f>
        <v>0</v>
      </c>
      <c r="AI60" s="13">
        <f>+'Internal Wall'!AS90</f>
        <v>7.85</v>
      </c>
      <c r="AJ60" s="13">
        <f>+'Internal Wall'!AT90</f>
        <v>0</v>
      </c>
      <c r="AK60" s="13">
        <f>+'Internal Wall'!AU90</f>
        <v>0</v>
      </c>
      <c r="AL60" s="13">
        <f>+'Internal Wall'!AV90</f>
        <v>0</v>
      </c>
      <c r="AM60" s="13">
        <f>+'Internal Wall'!AW90</f>
        <v>0</v>
      </c>
      <c r="AN60" s="13">
        <f>+'Internal Wall'!AX90</f>
        <v>0</v>
      </c>
      <c r="AO60" s="13">
        <f>+'Internal Wall'!AY90</f>
        <v>32.549999999999997</v>
      </c>
      <c r="AP60" s="13">
        <f>+'Internal Wall'!AZ90</f>
        <v>0</v>
      </c>
      <c r="AQ60" s="13">
        <f>+'Internal Wall'!BA90</f>
        <v>0</v>
      </c>
      <c r="AR60" s="13">
        <f>+'Internal Wall'!BB90</f>
        <v>10.5</v>
      </c>
      <c r="AS60" s="13">
        <f>+'Internal Wall'!BC90</f>
        <v>7.2</v>
      </c>
      <c r="AT60" s="13">
        <f>+'Internal Wall'!BD90</f>
        <v>0</v>
      </c>
      <c r="AU60" s="13">
        <f>+'Internal Wall'!BE90</f>
        <v>0</v>
      </c>
      <c r="AV60" s="13">
        <f>+'Internal Wall'!BF90</f>
        <v>8.1</v>
      </c>
      <c r="AW60" s="13">
        <f>+'Internal Wall'!BG90</f>
        <v>0</v>
      </c>
      <c r="AX60" s="13">
        <f>+'Internal Wall'!BH90</f>
        <v>9.8000000000000007</v>
      </c>
      <c r="AY60" s="13">
        <f>+'Internal Wall'!BI90</f>
        <v>13.1</v>
      </c>
      <c r="AZ60" s="13">
        <f>+'Internal Wall'!BJ90</f>
        <v>0</v>
      </c>
      <c r="BA60" s="13">
        <f>+'Internal Wall'!BK90</f>
        <v>0</v>
      </c>
      <c r="BB60" s="13">
        <f>+'Internal Wall'!BL90</f>
        <v>0</v>
      </c>
      <c r="BC60" s="13">
        <f>+'Internal Wall'!BM90</f>
        <v>0</v>
      </c>
      <c r="BD60" s="13">
        <f>+'Internal Wall'!BN90</f>
        <v>0</v>
      </c>
      <c r="BE60" s="13">
        <f>+'Internal Wall'!BO90</f>
        <v>8.1999999999999993</v>
      </c>
      <c r="BF60" s="13">
        <f>+'Internal Wall'!BP90</f>
        <v>11</v>
      </c>
      <c r="BG60" s="13">
        <f>+'Internal Wall'!BQ90</f>
        <v>5.5</v>
      </c>
      <c r="BH60" s="13">
        <f>+'Internal Wall'!BR90</f>
        <v>0</v>
      </c>
      <c r="BI60" s="13">
        <f>+'Internal Wall'!BS90</f>
        <v>15.65</v>
      </c>
      <c r="BJ60" s="13">
        <f>+'Internal Wall'!BT90</f>
        <v>0</v>
      </c>
      <c r="BK60" s="13">
        <f>+'Internal Wall'!BU90</f>
        <v>0</v>
      </c>
      <c r="BL60" s="13">
        <f>+'Internal Wall'!BV90</f>
        <v>9.25</v>
      </c>
      <c r="BM60" s="250">
        <f>+'Internal Wall'!BW90</f>
        <v>0</v>
      </c>
      <c r="BN60" s="13">
        <f>+'Internal Wall'!BX90</f>
        <v>23.5</v>
      </c>
      <c r="BO60" s="13">
        <f>+'Internal Wall'!BY90</f>
        <v>5.05</v>
      </c>
      <c r="BP60" s="13">
        <f>+'Internal Wall'!BZ90</f>
        <v>0</v>
      </c>
      <c r="BQ60" s="13">
        <f>+'Internal Wall'!CA90</f>
        <v>11.5</v>
      </c>
      <c r="BR60" s="13">
        <f>+'Internal Wall'!CB90</f>
        <v>5</v>
      </c>
      <c r="BS60" s="13">
        <f>+'Internal Wall'!CC90</f>
        <v>11.7</v>
      </c>
      <c r="BT60" s="13">
        <f>+'Internal Wall'!CD90</f>
        <v>7</v>
      </c>
      <c r="BU60" s="13">
        <f>+'Internal Wall'!CE90</f>
        <v>6.65</v>
      </c>
      <c r="BV60" s="13">
        <f>+'Internal Wall'!CF90</f>
        <v>0</v>
      </c>
      <c r="BW60" s="13">
        <f>+'Internal Wall'!CG90</f>
        <v>0</v>
      </c>
      <c r="BX60" s="13">
        <f>+'Internal Wall'!CH90</f>
        <v>0</v>
      </c>
      <c r="BY60" s="13">
        <f>+'Internal Wall'!CI90</f>
        <v>0</v>
      </c>
      <c r="BZ60" s="13">
        <f>+'Internal Wall'!CJ90</f>
        <v>6.45</v>
      </c>
      <c r="CA60" s="13">
        <f>+'Internal Wall'!CK90</f>
        <v>0</v>
      </c>
      <c r="CB60" s="13">
        <f>+'Internal Wall'!CL90</f>
        <v>35.1</v>
      </c>
      <c r="CC60" s="13">
        <f>+'Internal Wall'!CM90</f>
        <v>10</v>
      </c>
      <c r="CD60" s="13">
        <f>+'Internal Wall'!CN90</f>
        <v>0</v>
      </c>
      <c r="CE60" s="13">
        <f>+'Internal Wall'!CO90</f>
        <v>8</v>
      </c>
      <c r="CF60" s="13">
        <f>+'Internal Wall'!CP90</f>
        <v>7.9</v>
      </c>
      <c r="CG60" s="13">
        <f>+'Internal Wall'!CQ90</f>
        <v>7.5</v>
      </c>
      <c r="CH60" s="13">
        <f>+'Internal Wall'!CR90</f>
        <v>0</v>
      </c>
      <c r="CI60" s="13">
        <f>+'Internal Wall'!CS90</f>
        <v>7.55</v>
      </c>
      <c r="CJ60" s="13">
        <f>+'Internal Wall'!CT90</f>
        <v>16.45</v>
      </c>
      <c r="CK60" s="13">
        <f>+'Internal Wall'!CU90</f>
        <v>0</v>
      </c>
      <c r="CL60" s="13">
        <f>+'Internal Wall'!CV90</f>
        <v>5</v>
      </c>
      <c r="CM60" s="13">
        <f>+'Internal Wall'!CW90</f>
        <v>2.5</v>
      </c>
      <c r="CN60" s="13">
        <f>+'Internal Wall'!CX90</f>
        <v>0</v>
      </c>
      <c r="CO60" s="13">
        <f>+'Internal Wall'!CY90</f>
        <v>4</v>
      </c>
      <c r="CP60" s="13">
        <f>+'Internal Wall'!CZ90</f>
        <v>0</v>
      </c>
      <c r="CQ60" s="101">
        <f>+'Internal Wall'!DA90</f>
        <v>23.5</v>
      </c>
      <c r="CR60" s="73">
        <f>+'Internal Wall'!DB90</f>
        <v>0</v>
      </c>
      <c r="CS60" s="13">
        <f>+'Internal Wall'!DC90</f>
        <v>0</v>
      </c>
      <c r="CT60" s="13">
        <f>+'Internal Wall'!DD90</f>
        <v>2.5</v>
      </c>
      <c r="CU60" s="13">
        <f>+'Internal Wall'!DE90</f>
        <v>4</v>
      </c>
      <c r="CV60" s="13">
        <f>+'Internal Wall'!DF90</f>
        <v>3.5</v>
      </c>
      <c r="CW60" s="13">
        <f>+'Internal Wall'!DG90</f>
        <v>10.85</v>
      </c>
      <c r="CX60" s="13">
        <f>+'Internal Wall'!DH90</f>
        <v>0</v>
      </c>
      <c r="CY60" s="13">
        <f>+'Internal Wall'!DI90</f>
        <v>0</v>
      </c>
      <c r="CZ60" s="13">
        <f>+'Internal Wall'!DJ90</f>
        <v>8</v>
      </c>
      <c r="DA60" s="13">
        <f>+'Internal Wall'!DK90</f>
        <v>0</v>
      </c>
      <c r="DB60" s="13">
        <f>+'Internal Wall'!DL90</f>
        <v>0</v>
      </c>
      <c r="DC60" s="13">
        <f>+'Internal Wall'!DM90</f>
        <v>6</v>
      </c>
      <c r="DD60" s="13">
        <f>+'Internal Wall'!DN90</f>
        <v>0</v>
      </c>
      <c r="DE60" s="13">
        <f>+'Internal Wall'!DO90</f>
        <v>0</v>
      </c>
      <c r="DF60" s="13">
        <f>+'Internal Wall'!DP90</f>
        <v>0</v>
      </c>
      <c r="DG60" s="13">
        <f>+'Internal Wall'!DQ90</f>
        <v>6</v>
      </c>
      <c r="DH60" s="13">
        <f>+'Internal Wall'!DR90</f>
        <v>0</v>
      </c>
      <c r="DI60" s="13">
        <f>+'Internal Wall'!DS90</f>
        <v>3.5</v>
      </c>
      <c r="DJ60" s="13">
        <f>+'Internal Wall'!DT90</f>
        <v>0</v>
      </c>
      <c r="DK60" s="13">
        <f>+'Internal Wall'!DU90</f>
        <v>0</v>
      </c>
      <c r="DL60" s="13">
        <f>+'Internal Wall'!DV90</f>
        <v>3</v>
      </c>
      <c r="DM60" s="13">
        <f>+'Internal Wall'!DW90</f>
        <v>0</v>
      </c>
      <c r="DN60" s="13">
        <f>+'Internal Wall'!DX90</f>
        <v>0</v>
      </c>
      <c r="DO60" s="13">
        <f>+'Internal Wall'!DY90</f>
        <v>9</v>
      </c>
      <c r="DP60" s="13">
        <f>+'Internal Wall'!DZ90</f>
        <v>0</v>
      </c>
      <c r="DQ60" s="13">
        <f>+'Internal Wall'!EA90</f>
        <v>0</v>
      </c>
      <c r="DR60" s="13">
        <f>+'Internal Wall'!EB90</f>
        <v>0</v>
      </c>
      <c r="DS60" s="13">
        <f>+'Internal Wall'!EC90</f>
        <v>0</v>
      </c>
      <c r="DT60" s="13">
        <f>+'Internal Wall'!ED90</f>
        <v>0</v>
      </c>
      <c r="DU60" s="13">
        <f>+'Internal Wall'!EE90</f>
        <v>0</v>
      </c>
      <c r="DV60" s="274">
        <f>+'Internal Wall'!EF90</f>
        <v>0</v>
      </c>
      <c r="DW60" s="73">
        <f>+'Internal Wall'!EG90</f>
        <v>0</v>
      </c>
      <c r="DX60" s="13">
        <f>+'Internal Wall'!EH90</f>
        <v>0</v>
      </c>
      <c r="DY60" s="13">
        <f>+'Internal Wall'!EI90</f>
        <v>0</v>
      </c>
      <c r="DZ60" s="13">
        <f>+'Internal Wall'!EJ90</f>
        <v>0</v>
      </c>
      <c r="EA60" s="13">
        <f>+'Internal Wall'!EK90</f>
        <v>0</v>
      </c>
      <c r="EB60" s="13">
        <f>+'Internal Wall'!EL90</f>
        <v>0</v>
      </c>
      <c r="EC60" s="13">
        <f>+'Internal Wall'!EM90</f>
        <v>0</v>
      </c>
      <c r="ED60" s="13">
        <f>+'Internal Wall'!EN90</f>
        <v>0</v>
      </c>
      <c r="EE60" s="13">
        <f>+'Internal Wall'!EO90</f>
        <v>0</v>
      </c>
      <c r="EF60" s="13">
        <f>+'Internal Wall'!EP90</f>
        <v>0</v>
      </c>
      <c r="EG60" s="13">
        <f>+'Internal Wall'!EQ90</f>
        <v>0</v>
      </c>
      <c r="EH60" s="13">
        <f>+'Internal Wall'!ER90</f>
        <v>0</v>
      </c>
      <c r="EI60" s="13">
        <f>+'Internal Wall'!ES90</f>
        <v>0</v>
      </c>
      <c r="EJ60" s="13">
        <f>+'Internal Wall'!ET90</f>
        <v>10</v>
      </c>
      <c r="EK60" s="13">
        <f>+'Internal Wall'!EU90</f>
        <v>0</v>
      </c>
      <c r="EL60" s="13">
        <f>+'Internal Wall'!EV90</f>
        <v>0</v>
      </c>
      <c r="EM60" s="13">
        <f>+'Internal Wall'!EW90</f>
        <v>0</v>
      </c>
      <c r="EN60" s="13">
        <f>+'Internal Wall'!EX90</f>
        <v>0</v>
      </c>
      <c r="EO60" s="13">
        <f>+'Internal Wall'!EY90</f>
        <v>0</v>
      </c>
      <c r="EP60" s="13">
        <f>+'Internal Wall'!EZ90</f>
        <v>12.3</v>
      </c>
      <c r="EQ60" s="13">
        <f>+'Internal Wall'!FA90</f>
        <v>0</v>
      </c>
      <c r="ER60" s="13">
        <f>+'Internal Wall'!FB90</f>
        <v>0</v>
      </c>
      <c r="ES60" s="13">
        <f>+'Internal Wall'!FC90</f>
        <v>0</v>
      </c>
      <c r="ET60" s="13">
        <f>+'Internal Wall'!FD90</f>
        <v>0</v>
      </c>
      <c r="EU60" s="13">
        <f>+'Internal Wall'!FE90</f>
        <v>0</v>
      </c>
      <c r="EV60" s="13">
        <f>+'Internal Wall'!FF90</f>
        <v>0</v>
      </c>
      <c r="EW60" s="13">
        <f>+'Internal Wall'!FG90</f>
        <v>0</v>
      </c>
      <c r="EX60" s="13">
        <f>+'Internal Wall'!FH90</f>
        <v>0</v>
      </c>
      <c r="EY60" s="13">
        <f>+'Internal Wall'!FI90</f>
        <v>0</v>
      </c>
      <c r="EZ60" s="101">
        <f>+'Internal Wall'!FJ90</f>
        <v>17.600000000000001</v>
      </c>
      <c r="FA60" s="73">
        <f>+'Internal Wall'!FK90</f>
        <v>0</v>
      </c>
      <c r="FB60" s="13">
        <f>+'Internal Wall'!FL90</f>
        <v>0</v>
      </c>
      <c r="FC60" s="13">
        <f>+'Internal Wall'!FM90</f>
        <v>0</v>
      </c>
      <c r="FD60" s="13">
        <f>+'Internal Wall'!FN90</f>
        <v>0</v>
      </c>
      <c r="FE60" s="13">
        <f>+'Internal Wall'!FO90</f>
        <v>0</v>
      </c>
      <c r="FF60" s="13">
        <f>+'Internal Wall'!FP90</f>
        <v>0</v>
      </c>
      <c r="FG60" s="13">
        <f>+'Internal Wall'!FQ90</f>
        <v>0</v>
      </c>
      <c r="FH60" s="13">
        <f>+'Internal Wall'!FR90</f>
        <v>0</v>
      </c>
      <c r="FI60" s="13">
        <f>+'Internal Wall'!FS90</f>
        <v>0</v>
      </c>
      <c r="FJ60" s="13">
        <f>+'Internal Wall'!FT90</f>
        <v>0</v>
      </c>
      <c r="FK60" s="13">
        <f>+'Internal Wall'!FU90</f>
        <v>0</v>
      </c>
      <c r="FL60" s="13">
        <f>+'Internal Wall'!FV90</f>
        <v>0</v>
      </c>
      <c r="FM60" s="13">
        <f>+'Internal Wall'!FW90</f>
        <v>0</v>
      </c>
      <c r="FN60" s="13">
        <f>+'Internal Wall'!FX90</f>
        <v>0</v>
      </c>
      <c r="FO60" s="13">
        <f>+'Internal Wall'!FY90</f>
        <v>0</v>
      </c>
      <c r="FP60" s="13">
        <f>+'Internal Wall'!FZ90</f>
        <v>0</v>
      </c>
      <c r="FQ60" s="13">
        <f>+'Internal Wall'!GA90</f>
        <v>0</v>
      </c>
      <c r="FR60" s="13">
        <f>+'Internal Wall'!GB90</f>
        <v>0</v>
      </c>
      <c r="FS60" s="13">
        <f>+'Internal Wall'!GC90</f>
        <v>0</v>
      </c>
      <c r="FT60" s="13">
        <f>+'Internal Wall'!GD90</f>
        <v>0</v>
      </c>
      <c r="FU60" s="13">
        <f>+'Internal Wall'!GE90</f>
        <v>0</v>
      </c>
      <c r="FV60" s="13">
        <f>+'Internal Wall'!GF90</f>
        <v>0</v>
      </c>
      <c r="FW60" s="13">
        <f>+'Internal Wall'!GG90</f>
        <v>0</v>
      </c>
      <c r="FX60" s="13">
        <f>+'Internal Wall'!GH90</f>
        <v>0</v>
      </c>
      <c r="FY60" s="13">
        <f>+'Internal Wall'!GI90</f>
        <v>0</v>
      </c>
      <c r="FZ60" s="13">
        <f>+'Internal Wall'!GJ90</f>
        <v>0</v>
      </c>
      <c r="GA60" s="13">
        <f>+'Internal Wall'!GK90</f>
        <v>0</v>
      </c>
      <c r="GB60" s="13">
        <f>+'Internal Wall'!GL90</f>
        <v>0</v>
      </c>
      <c r="GC60" s="13">
        <f>+'Internal Wall'!GM90</f>
        <v>0</v>
      </c>
      <c r="GD60" s="13">
        <f>+'Internal Wall'!GN90</f>
        <v>0</v>
      </c>
      <c r="GE60" s="101">
        <f>+'Internal Wall'!GO90</f>
        <v>0</v>
      </c>
      <c r="GF60" s="73">
        <f>+'Internal Wall'!GP90</f>
        <v>0</v>
      </c>
      <c r="GG60" s="13">
        <f>+'Internal Wall'!GQ90</f>
        <v>0</v>
      </c>
      <c r="GH60" s="13">
        <f>+'Internal Wall'!GR90</f>
        <v>0</v>
      </c>
      <c r="GI60" s="13">
        <f>+'Internal Wall'!GS90</f>
        <v>0</v>
      </c>
      <c r="GJ60" s="13">
        <f>+'Internal Wall'!GT90</f>
        <v>0</v>
      </c>
      <c r="GK60" s="13">
        <f>+'Internal Wall'!GU90</f>
        <v>0</v>
      </c>
      <c r="GL60" s="13">
        <f>+'Internal Wall'!GV90</f>
        <v>0</v>
      </c>
      <c r="GM60" s="13">
        <f>+'Internal Wall'!GW90</f>
        <v>0</v>
      </c>
      <c r="GN60" s="13">
        <f>+'Internal Wall'!GX90</f>
        <v>0</v>
      </c>
      <c r="GO60" s="13">
        <f>+'Internal Wall'!GY90</f>
        <v>0</v>
      </c>
      <c r="GP60" s="13">
        <f>+'Internal Wall'!GZ90</f>
        <v>0</v>
      </c>
      <c r="GQ60" s="13">
        <f>+'Internal Wall'!HA90</f>
        <v>0</v>
      </c>
      <c r="GR60" s="13">
        <f>+'Internal Wall'!HB90</f>
        <v>0</v>
      </c>
      <c r="GS60" s="13">
        <f>+'Internal Wall'!HC90</f>
        <v>0</v>
      </c>
      <c r="GT60" s="13">
        <f>+'Internal Wall'!HD90</f>
        <v>0</v>
      </c>
      <c r="GU60" s="13">
        <f>+'Internal Wall'!HE90</f>
        <v>0</v>
      </c>
      <c r="GV60" s="13">
        <f>+'Internal Wall'!HF90</f>
        <v>0</v>
      </c>
      <c r="GW60" s="13">
        <f>+'Internal Wall'!HG90</f>
        <v>0</v>
      </c>
      <c r="GX60" s="13">
        <f>+'Internal Wall'!HH90</f>
        <v>0</v>
      </c>
      <c r="GY60" s="101">
        <f>+'Internal Wall'!HI90</f>
        <v>0</v>
      </c>
      <c r="GZ60" s="451"/>
    </row>
    <row r="61" spans="1:208" ht="15" hidden="1" customHeight="1" thickBot="1" x14ac:dyDescent="0.4">
      <c r="A61" s="479"/>
      <c r="B61" s="474"/>
      <c r="C61" s="23" t="s">
        <v>83</v>
      </c>
      <c r="D61" s="2" t="s">
        <v>87</v>
      </c>
      <c r="E61" s="73">
        <f>+'External Wall'!O40</f>
        <v>0</v>
      </c>
      <c r="F61" s="13">
        <f>+'External Wall'!P40</f>
        <v>0</v>
      </c>
      <c r="G61" s="13">
        <f>+'External Wall'!Q40</f>
        <v>0</v>
      </c>
      <c r="H61" s="13">
        <f>+'External Wall'!R40</f>
        <v>0</v>
      </c>
      <c r="I61" s="13">
        <f>+'External Wall'!S40</f>
        <v>0</v>
      </c>
      <c r="J61" s="13">
        <f>+'External Wall'!T40</f>
        <v>0</v>
      </c>
      <c r="K61" s="13">
        <f>+'External Wall'!U40</f>
        <v>0</v>
      </c>
      <c r="L61" s="13">
        <f>+'External Wall'!V40</f>
        <v>0</v>
      </c>
      <c r="M61" s="13">
        <f>+'External Wall'!W40</f>
        <v>0</v>
      </c>
      <c r="N61" s="13">
        <f>+'External Wall'!X40</f>
        <v>0</v>
      </c>
      <c r="O61" s="13">
        <f>+'External Wall'!Y40</f>
        <v>0</v>
      </c>
      <c r="P61" s="13">
        <f>+'External Wall'!Z40</f>
        <v>0</v>
      </c>
      <c r="Q61" s="13">
        <f>+'External Wall'!AA40</f>
        <v>0</v>
      </c>
      <c r="R61" s="13">
        <f>+'External Wall'!AB40</f>
        <v>0</v>
      </c>
      <c r="S61" s="13">
        <f>+'External Wall'!AC40</f>
        <v>0</v>
      </c>
      <c r="T61" s="13">
        <f>+'External Wall'!AD40</f>
        <v>32.9</v>
      </c>
      <c r="U61" s="13">
        <f>+'External Wall'!AE40</f>
        <v>0</v>
      </c>
      <c r="V61" s="13">
        <f>+'External Wall'!AF40</f>
        <v>0</v>
      </c>
      <c r="W61" s="13">
        <f>+'External Wall'!AG40</f>
        <v>35</v>
      </c>
      <c r="X61" s="13">
        <f>+'External Wall'!AH40</f>
        <v>0</v>
      </c>
      <c r="Y61" s="13">
        <f>+'External Wall'!AI40</f>
        <v>0</v>
      </c>
      <c r="Z61" s="13">
        <f>+'External Wall'!AJ40</f>
        <v>0</v>
      </c>
      <c r="AA61" s="13">
        <f>+'External Wall'!AK40</f>
        <v>0</v>
      </c>
      <c r="AB61" s="13">
        <f>+'External Wall'!AL40</f>
        <v>7</v>
      </c>
      <c r="AC61" s="13">
        <f>+'External Wall'!AM40</f>
        <v>0</v>
      </c>
      <c r="AD61" s="13">
        <f>+'External Wall'!AN40</f>
        <v>0</v>
      </c>
      <c r="AE61" s="13">
        <f>+'External Wall'!AO40</f>
        <v>0</v>
      </c>
      <c r="AF61" s="274">
        <f>+'External Wall'!AP40</f>
        <v>0</v>
      </c>
      <c r="AG61" s="162">
        <f>+'External Wall'!AQ40</f>
        <v>0</v>
      </c>
      <c r="AH61" s="13">
        <f>+'External Wall'!AR40</f>
        <v>0</v>
      </c>
      <c r="AI61" s="13">
        <f>+'External Wall'!AS40</f>
        <v>0</v>
      </c>
      <c r="AJ61" s="13">
        <f>+'External Wall'!AT40</f>
        <v>0</v>
      </c>
      <c r="AK61" s="13">
        <f>+'External Wall'!AU40</f>
        <v>0</v>
      </c>
      <c r="AL61" s="13">
        <f>+'External Wall'!AV40</f>
        <v>0</v>
      </c>
      <c r="AM61" s="13">
        <f>+'External Wall'!AW40</f>
        <v>0</v>
      </c>
      <c r="AN61" s="13">
        <f>+'External Wall'!AX40</f>
        <v>0</v>
      </c>
      <c r="AO61" s="13">
        <f>+'External Wall'!AY40</f>
        <v>0</v>
      </c>
      <c r="AP61" s="13">
        <f>+'External Wall'!AZ40</f>
        <v>0</v>
      </c>
      <c r="AQ61" s="13">
        <f>+'External Wall'!BA40</f>
        <v>0</v>
      </c>
      <c r="AR61" s="13">
        <f>+'External Wall'!BB40</f>
        <v>0</v>
      </c>
      <c r="AS61" s="13">
        <f>+'External Wall'!BC40</f>
        <v>0</v>
      </c>
      <c r="AT61" s="13">
        <f>+'External Wall'!BD40</f>
        <v>0</v>
      </c>
      <c r="AU61" s="13">
        <f>+'External Wall'!BE40</f>
        <v>0</v>
      </c>
      <c r="AV61" s="13">
        <f>+'External Wall'!BF40</f>
        <v>0</v>
      </c>
      <c r="AW61" s="13">
        <f>+'External Wall'!BG40</f>
        <v>0</v>
      </c>
      <c r="AX61" s="13">
        <f>+'External Wall'!BH40</f>
        <v>3</v>
      </c>
      <c r="AY61" s="13">
        <f>+'External Wall'!BI40</f>
        <v>0</v>
      </c>
      <c r="AZ61" s="13">
        <f>+'External Wall'!BJ40</f>
        <v>0</v>
      </c>
      <c r="BA61" s="13">
        <f>+'External Wall'!BK40</f>
        <v>0</v>
      </c>
      <c r="BB61" s="13">
        <f>+'External Wall'!BL40</f>
        <v>0</v>
      </c>
      <c r="BC61" s="13">
        <f>+'External Wall'!BM40</f>
        <v>0</v>
      </c>
      <c r="BD61" s="13">
        <f>+'External Wall'!BN40</f>
        <v>0</v>
      </c>
      <c r="BE61" s="13">
        <f>+'External Wall'!BO40</f>
        <v>0</v>
      </c>
      <c r="BF61" s="13">
        <f>+'External Wall'!BP40</f>
        <v>0</v>
      </c>
      <c r="BG61" s="13">
        <f>+'External Wall'!BQ40</f>
        <v>0</v>
      </c>
      <c r="BH61" s="13">
        <f>+'External Wall'!BR40</f>
        <v>0</v>
      </c>
      <c r="BI61" s="13">
        <f>+'External Wall'!BS40</f>
        <v>0</v>
      </c>
      <c r="BJ61" s="13">
        <f>+'External Wall'!BT40</f>
        <v>0</v>
      </c>
      <c r="BK61" s="13">
        <f>+'External Wall'!BU40</f>
        <v>0</v>
      </c>
      <c r="BL61" s="13">
        <f>+'External Wall'!BV40</f>
        <v>0</v>
      </c>
      <c r="BM61" s="250">
        <f>+'External Wall'!BW40</f>
        <v>0</v>
      </c>
      <c r="BN61" s="13">
        <f>+'External Wall'!BX40</f>
        <v>0</v>
      </c>
      <c r="BO61" s="13">
        <f>+'External Wall'!BY40</f>
        <v>0</v>
      </c>
      <c r="BP61" s="13">
        <f>+'External Wall'!BZ40</f>
        <v>0</v>
      </c>
      <c r="BQ61" s="13">
        <f>+'External Wall'!CA40</f>
        <v>0</v>
      </c>
      <c r="BR61" s="13">
        <f>+'External Wall'!CB40</f>
        <v>0</v>
      </c>
      <c r="BS61" s="13">
        <f>+'External Wall'!CC40</f>
        <v>0</v>
      </c>
      <c r="BT61" s="13">
        <f>+'External Wall'!CD40</f>
        <v>0</v>
      </c>
      <c r="BU61" s="13">
        <f>+'External Wall'!CE40</f>
        <v>0</v>
      </c>
      <c r="BV61" s="13">
        <f>+'External Wall'!CF40</f>
        <v>0</v>
      </c>
      <c r="BW61" s="13">
        <f>+'External Wall'!CG40</f>
        <v>0</v>
      </c>
      <c r="BX61" s="13">
        <f>+'External Wall'!CH40</f>
        <v>0</v>
      </c>
      <c r="BY61" s="13">
        <f>+'External Wall'!CI40</f>
        <v>0</v>
      </c>
      <c r="BZ61" s="13">
        <f>+'External Wall'!CJ40</f>
        <v>0</v>
      </c>
      <c r="CA61" s="13">
        <f>+'External Wall'!CK40</f>
        <v>0</v>
      </c>
      <c r="CB61" s="13">
        <f>+'External Wall'!CL40</f>
        <v>0</v>
      </c>
      <c r="CC61" s="13">
        <f>+'External Wall'!CM40</f>
        <v>0</v>
      </c>
      <c r="CD61" s="13">
        <f>+'External Wall'!CN40</f>
        <v>0</v>
      </c>
      <c r="CE61" s="13">
        <f>+'External Wall'!CO40</f>
        <v>0</v>
      </c>
      <c r="CF61" s="13">
        <f>+'External Wall'!CP40</f>
        <v>0</v>
      </c>
      <c r="CG61" s="13">
        <f>+'External Wall'!CQ40</f>
        <v>0</v>
      </c>
      <c r="CH61" s="13">
        <f>+'External Wall'!CR40</f>
        <v>0</v>
      </c>
      <c r="CI61" s="13">
        <f>+'External Wall'!CS40</f>
        <v>0</v>
      </c>
      <c r="CJ61" s="13">
        <f>+'External Wall'!CT40</f>
        <v>0</v>
      </c>
      <c r="CK61" s="13">
        <f>+'External Wall'!CU40</f>
        <v>0</v>
      </c>
      <c r="CL61" s="13">
        <f>+'External Wall'!CV40</f>
        <v>0</v>
      </c>
      <c r="CM61" s="13">
        <f>+'External Wall'!CW40</f>
        <v>0</v>
      </c>
      <c r="CN61" s="13">
        <f>+'External Wall'!CX40</f>
        <v>0</v>
      </c>
      <c r="CO61" s="13">
        <f>+'External Wall'!CY40</f>
        <v>0</v>
      </c>
      <c r="CP61" s="13">
        <f>+'External Wall'!CZ40</f>
        <v>0</v>
      </c>
      <c r="CQ61" s="101">
        <f>+'External Wall'!DA40</f>
        <v>0</v>
      </c>
      <c r="CR61" s="73">
        <f>+'External Wall'!DB40</f>
        <v>0</v>
      </c>
      <c r="CS61" s="13">
        <f>+'External Wall'!DC40</f>
        <v>0</v>
      </c>
      <c r="CT61" s="13">
        <f>+'External Wall'!DD40</f>
        <v>0</v>
      </c>
      <c r="CU61" s="13">
        <f>+'External Wall'!DE40</f>
        <v>0</v>
      </c>
      <c r="CV61" s="13">
        <f>+'External Wall'!DF40</f>
        <v>0</v>
      </c>
      <c r="CW61" s="13">
        <f>+'External Wall'!DG40</f>
        <v>0</v>
      </c>
      <c r="CX61" s="13">
        <f>+'External Wall'!DH40</f>
        <v>0</v>
      </c>
      <c r="CY61" s="13">
        <f>+'External Wall'!DI40</f>
        <v>0</v>
      </c>
      <c r="CZ61" s="13">
        <f>+'External Wall'!DJ40</f>
        <v>0</v>
      </c>
      <c r="DA61" s="13">
        <f>+'External Wall'!DK40</f>
        <v>0</v>
      </c>
      <c r="DB61" s="13">
        <f>+'External Wall'!DL40</f>
        <v>0</v>
      </c>
      <c r="DC61" s="13">
        <f>+'External Wall'!DM40</f>
        <v>0</v>
      </c>
      <c r="DD61" s="13">
        <f>+'External Wall'!DN40</f>
        <v>0</v>
      </c>
      <c r="DE61" s="13">
        <f>+'External Wall'!DO40</f>
        <v>0</v>
      </c>
      <c r="DF61" s="13">
        <f>+'External Wall'!DP40</f>
        <v>0</v>
      </c>
      <c r="DG61" s="13">
        <f>+'External Wall'!DQ40</f>
        <v>0</v>
      </c>
      <c r="DH61" s="13">
        <f>+'External Wall'!DR40</f>
        <v>0</v>
      </c>
      <c r="DI61" s="13">
        <f>+'External Wall'!DS40</f>
        <v>0</v>
      </c>
      <c r="DJ61" s="13">
        <f>+'External Wall'!DT40</f>
        <v>0</v>
      </c>
      <c r="DK61" s="13">
        <f>+'External Wall'!DU40</f>
        <v>0</v>
      </c>
      <c r="DL61" s="13">
        <f>+'External Wall'!DV40</f>
        <v>0</v>
      </c>
      <c r="DM61" s="13">
        <f>+'External Wall'!DW40</f>
        <v>0</v>
      </c>
      <c r="DN61" s="13">
        <f>+'External Wall'!DX40</f>
        <v>0</v>
      </c>
      <c r="DO61" s="13">
        <f>+'External Wall'!DY40</f>
        <v>0</v>
      </c>
      <c r="DP61" s="13">
        <f>+'External Wall'!DZ40</f>
        <v>0</v>
      </c>
      <c r="DQ61" s="13">
        <f>+'External Wall'!EA40</f>
        <v>0</v>
      </c>
      <c r="DR61" s="13">
        <f>+'External Wall'!EB40</f>
        <v>0</v>
      </c>
      <c r="DS61" s="13">
        <f>+'External Wall'!EC40</f>
        <v>0</v>
      </c>
      <c r="DT61" s="13">
        <f>+'External Wall'!ED40</f>
        <v>0</v>
      </c>
      <c r="DU61" s="13">
        <f>+'External Wall'!EE40</f>
        <v>0</v>
      </c>
      <c r="DV61" s="274">
        <f>+'External Wall'!EF40</f>
        <v>0</v>
      </c>
      <c r="DW61" s="73">
        <f>+'External Wall'!EG40</f>
        <v>0</v>
      </c>
      <c r="DX61" s="13">
        <f>+'External Wall'!EH40</f>
        <v>0</v>
      </c>
      <c r="DY61" s="13">
        <f>+'External Wall'!EI40</f>
        <v>0</v>
      </c>
      <c r="DZ61" s="13">
        <f>+'External Wall'!EJ40</f>
        <v>0</v>
      </c>
      <c r="EA61" s="13">
        <f>+'External Wall'!EK40</f>
        <v>0</v>
      </c>
      <c r="EB61" s="13">
        <f>+'External Wall'!EL40</f>
        <v>0</v>
      </c>
      <c r="EC61" s="13">
        <f>+'External Wall'!EM40</f>
        <v>0</v>
      </c>
      <c r="ED61" s="13">
        <f>+'External Wall'!EN40</f>
        <v>0</v>
      </c>
      <c r="EE61" s="13">
        <f>+'External Wall'!EO40</f>
        <v>0</v>
      </c>
      <c r="EF61" s="13">
        <f>+'External Wall'!EP40</f>
        <v>0</v>
      </c>
      <c r="EG61" s="13">
        <f>+'External Wall'!EQ40</f>
        <v>0</v>
      </c>
      <c r="EH61" s="13">
        <f>+'External Wall'!ER40</f>
        <v>0</v>
      </c>
      <c r="EI61" s="13">
        <f>+'External Wall'!ES40</f>
        <v>0</v>
      </c>
      <c r="EJ61" s="13">
        <f>+'External Wall'!ET40</f>
        <v>0</v>
      </c>
      <c r="EK61" s="13">
        <f>+'External Wall'!EU40</f>
        <v>0</v>
      </c>
      <c r="EL61" s="13">
        <f>+'External Wall'!EV40</f>
        <v>0</v>
      </c>
      <c r="EM61" s="13">
        <f>+'External Wall'!EW40</f>
        <v>0</v>
      </c>
      <c r="EN61" s="13">
        <f>+'External Wall'!EX40</f>
        <v>0</v>
      </c>
      <c r="EO61" s="13">
        <f>+'External Wall'!EY40</f>
        <v>0</v>
      </c>
      <c r="EP61" s="13">
        <f>+'External Wall'!EZ40</f>
        <v>0</v>
      </c>
      <c r="EQ61" s="13">
        <f>+'External Wall'!FA40</f>
        <v>0</v>
      </c>
      <c r="ER61" s="13">
        <f>+'External Wall'!FB40</f>
        <v>0</v>
      </c>
      <c r="ES61" s="13">
        <f>+'External Wall'!FC40</f>
        <v>0</v>
      </c>
      <c r="ET61" s="13">
        <f>+'External Wall'!FD40</f>
        <v>0</v>
      </c>
      <c r="EU61" s="13">
        <f>+'External Wall'!FE40</f>
        <v>0</v>
      </c>
      <c r="EV61" s="13">
        <f>+'External Wall'!FF40</f>
        <v>0</v>
      </c>
      <c r="EW61" s="13">
        <f>+'External Wall'!FG40</f>
        <v>0</v>
      </c>
      <c r="EX61" s="13">
        <f>+'External Wall'!FH40</f>
        <v>0</v>
      </c>
      <c r="EY61" s="13">
        <f>+'External Wall'!FI40</f>
        <v>0</v>
      </c>
      <c r="EZ61" s="101">
        <f>+'External Wall'!FJ40</f>
        <v>0</v>
      </c>
      <c r="FA61" s="73">
        <f>+'External Wall'!FK40</f>
        <v>0</v>
      </c>
      <c r="FB61" s="13">
        <f>+'External Wall'!FL40</f>
        <v>0</v>
      </c>
      <c r="FC61" s="13">
        <f>+'External Wall'!FM40</f>
        <v>0</v>
      </c>
      <c r="FD61" s="13">
        <f>+'External Wall'!FN40</f>
        <v>0</v>
      </c>
      <c r="FE61" s="13">
        <f>+'External Wall'!FO40</f>
        <v>0</v>
      </c>
      <c r="FF61" s="13">
        <f>+'External Wall'!FP40</f>
        <v>0</v>
      </c>
      <c r="FG61" s="13">
        <f>+'External Wall'!FQ40</f>
        <v>0</v>
      </c>
      <c r="FH61" s="13">
        <f>+'External Wall'!FR40</f>
        <v>0</v>
      </c>
      <c r="FI61" s="13">
        <f>+'External Wall'!FS40</f>
        <v>0</v>
      </c>
      <c r="FJ61" s="13">
        <f>+'External Wall'!FT40</f>
        <v>0</v>
      </c>
      <c r="FK61" s="13">
        <f>+'External Wall'!FU40</f>
        <v>0</v>
      </c>
      <c r="FL61" s="13">
        <f>+'External Wall'!FV40</f>
        <v>0</v>
      </c>
      <c r="FM61" s="13">
        <f>+'External Wall'!FW40</f>
        <v>0</v>
      </c>
      <c r="FN61" s="13">
        <f>+'External Wall'!FX40</f>
        <v>0</v>
      </c>
      <c r="FO61" s="13">
        <f>+'External Wall'!FY40</f>
        <v>0</v>
      </c>
      <c r="FP61" s="13">
        <f>+'External Wall'!FZ40</f>
        <v>0</v>
      </c>
      <c r="FQ61" s="13">
        <f>+'External Wall'!GA40</f>
        <v>0</v>
      </c>
      <c r="FR61" s="13">
        <f>+'External Wall'!GB40</f>
        <v>0</v>
      </c>
      <c r="FS61" s="13">
        <f>+'External Wall'!GC40</f>
        <v>0</v>
      </c>
      <c r="FT61" s="13">
        <f>+'External Wall'!GD40</f>
        <v>0</v>
      </c>
      <c r="FU61" s="13">
        <f>+'External Wall'!GE40</f>
        <v>0</v>
      </c>
      <c r="FV61" s="13">
        <f>+'External Wall'!GF40</f>
        <v>0</v>
      </c>
      <c r="FW61" s="13">
        <f>+'External Wall'!GG40</f>
        <v>0</v>
      </c>
      <c r="FX61" s="13">
        <f>+'External Wall'!GH40</f>
        <v>0</v>
      </c>
      <c r="FY61" s="13">
        <f>+'External Wall'!GI40</f>
        <v>0</v>
      </c>
      <c r="FZ61" s="13">
        <f>+'External Wall'!GJ40</f>
        <v>0</v>
      </c>
      <c r="GA61" s="13">
        <f>+'External Wall'!GK40</f>
        <v>0</v>
      </c>
      <c r="GB61" s="13">
        <f>+'External Wall'!GL40</f>
        <v>0</v>
      </c>
      <c r="GC61" s="13">
        <f>+'External Wall'!GM40</f>
        <v>0</v>
      </c>
      <c r="GD61" s="13">
        <f>+'External Wall'!GN40</f>
        <v>0</v>
      </c>
      <c r="GE61" s="101">
        <f>+'External Wall'!GO40</f>
        <v>0</v>
      </c>
      <c r="GF61" s="73">
        <f>+'External Wall'!GP40</f>
        <v>0</v>
      </c>
      <c r="GG61" s="13">
        <f>+'External Wall'!GQ40</f>
        <v>0</v>
      </c>
      <c r="GH61" s="13">
        <f>+'External Wall'!GR40</f>
        <v>0</v>
      </c>
      <c r="GI61" s="13">
        <f>+'External Wall'!GS40</f>
        <v>0</v>
      </c>
      <c r="GJ61" s="13">
        <f>+'External Wall'!GT40</f>
        <v>0</v>
      </c>
      <c r="GK61" s="13">
        <f>+'External Wall'!GU40</f>
        <v>0</v>
      </c>
      <c r="GL61" s="13">
        <f>+'External Wall'!GV40</f>
        <v>0</v>
      </c>
      <c r="GM61" s="13">
        <f>+'External Wall'!GW40</f>
        <v>0</v>
      </c>
      <c r="GN61" s="13">
        <f>+'External Wall'!GX40</f>
        <v>0</v>
      </c>
      <c r="GO61" s="13">
        <f>+'External Wall'!GY40</f>
        <v>0</v>
      </c>
      <c r="GP61" s="13">
        <f>+'External Wall'!GZ40</f>
        <v>0</v>
      </c>
      <c r="GQ61" s="13">
        <f>+'External Wall'!HA40</f>
        <v>0</v>
      </c>
      <c r="GR61" s="13">
        <f>+'External Wall'!HB40</f>
        <v>0</v>
      </c>
      <c r="GS61" s="13">
        <f>+'External Wall'!HC40</f>
        <v>0</v>
      </c>
      <c r="GT61" s="13">
        <f>+'External Wall'!HD40</f>
        <v>0</v>
      </c>
      <c r="GU61" s="13">
        <f>+'External Wall'!HE40</f>
        <v>0</v>
      </c>
      <c r="GV61" s="13">
        <f>+'External Wall'!HF40</f>
        <v>0</v>
      </c>
      <c r="GW61" s="13">
        <f>+'External Wall'!HG40</f>
        <v>0</v>
      </c>
      <c r="GX61" s="13">
        <f>+'External Wall'!HH40</f>
        <v>0</v>
      </c>
      <c r="GY61" s="101">
        <f>+'External Wall'!HI40</f>
        <v>0</v>
      </c>
      <c r="GZ61" s="451"/>
    </row>
    <row r="62" spans="1:208" ht="15" hidden="1" customHeight="1" thickBot="1" x14ac:dyDescent="0.4">
      <c r="A62" s="480"/>
      <c r="B62" s="475"/>
      <c r="C62" s="196" t="s">
        <v>84</v>
      </c>
      <c r="D62" s="195" t="s">
        <v>88</v>
      </c>
      <c r="E62" s="197">
        <f>+Slab!O76</f>
        <v>0</v>
      </c>
      <c r="F62" s="198">
        <f>+Slab!P76</f>
        <v>0</v>
      </c>
      <c r="G62" s="198">
        <f>+Slab!Q76</f>
        <v>0</v>
      </c>
      <c r="H62" s="198">
        <f>+Slab!R76</f>
        <v>975</v>
      </c>
      <c r="I62" s="198">
        <f>+Slab!S76</f>
        <v>0</v>
      </c>
      <c r="J62" s="198">
        <f>+Slab!T76</f>
        <v>0</v>
      </c>
      <c r="K62" s="198">
        <f>+Slab!U76</f>
        <v>0</v>
      </c>
      <c r="L62" s="198">
        <f>+Slab!V76</f>
        <v>0</v>
      </c>
      <c r="M62" s="198">
        <f>+Slab!W76</f>
        <v>0</v>
      </c>
      <c r="N62" s="198">
        <f>+Slab!X76</f>
        <v>0</v>
      </c>
      <c r="O62" s="198">
        <f>+Slab!Y76</f>
        <v>0</v>
      </c>
      <c r="P62" s="198">
        <f>+Slab!Z76</f>
        <v>0</v>
      </c>
      <c r="Q62" s="198">
        <f>+Slab!AA76</f>
        <v>0</v>
      </c>
      <c r="R62" s="198">
        <f>+Slab!AB76</f>
        <v>0</v>
      </c>
      <c r="S62" s="198">
        <f>+Slab!AC76</f>
        <v>0</v>
      </c>
      <c r="T62" s="198">
        <f>+Slab!AD76</f>
        <v>0</v>
      </c>
      <c r="U62" s="198">
        <f>+Slab!AE76</f>
        <v>0</v>
      </c>
      <c r="V62" s="198">
        <f>+Slab!AF76</f>
        <v>0</v>
      </c>
      <c r="W62" s="198">
        <f>+Slab!AG76</f>
        <v>0</v>
      </c>
      <c r="X62" s="198">
        <f>+Slab!AH76</f>
        <v>0</v>
      </c>
      <c r="Y62" s="198">
        <f>+Slab!AI76</f>
        <v>0</v>
      </c>
      <c r="Z62" s="198">
        <f>+Slab!AJ76</f>
        <v>0</v>
      </c>
      <c r="AA62" s="198">
        <f>+Slab!AK76</f>
        <v>0</v>
      </c>
      <c r="AB62" s="198">
        <f>+Slab!AL76</f>
        <v>0</v>
      </c>
      <c r="AC62" s="198">
        <f>+Slab!AM76</f>
        <v>683</v>
      </c>
      <c r="AD62" s="198">
        <f>+Slab!AN76</f>
        <v>0</v>
      </c>
      <c r="AE62" s="198">
        <f>+Slab!AO76</f>
        <v>0</v>
      </c>
      <c r="AF62" s="287">
        <f>+Slab!AP76</f>
        <v>0</v>
      </c>
      <c r="AG62" s="200">
        <f>+Slab!AQ76</f>
        <v>0</v>
      </c>
      <c r="AH62" s="198">
        <f>+Slab!AR76</f>
        <v>0</v>
      </c>
      <c r="AI62" s="198">
        <f>+Slab!AS76</f>
        <v>0</v>
      </c>
      <c r="AJ62" s="198">
        <f>+Slab!AT76</f>
        <v>0</v>
      </c>
      <c r="AK62" s="198">
        <f>+Slab!AU76</f>
        <v>0</v>
      </c>
      <c r="AL62" s="198">
        <f>+Slab!AV76</f>
        <v>0</v>
      </c>
      <c r="AM62" s="198">
        <f>+Slab!AW76</f>
        <v>0</v>
      </c>
      <c r="AN62" s="198">
        <f>+Slab!AX76</f>
        <v>0</v>
      </c>
      <c r="AO62" s="198">
        <f>+Slab!AY76</f>
        <v>0</v>
      </c>
      <c r="AP62" s="198">
        <f>+Slab!AZ76</f>
        <v>168</v>
      </c>
      <c r="AQ62" s="198">
        <f>+Slab!BA76</f>
        <v>0</v>
      </c>
      <c r="AR62" s="198">
        <f>+Slab!BB76</f>
        <v>0</v>
      </c>
      <c r="AS62" s="198">
        <f>+Slab!BC76</f>
        <v>0</v>
      </c>
      <c r="AT62" s="198">
        <f>+Slab!BD76</f>
        <v>0</v>
      </c>
      <c r="AU62" s="198">
        <f>+Slab!BE76</f>
        <v>0</v>
      </c>
      <c r="AV62" s="198">
        <f>+Slab!BF76</f>
        <v>0</v>
      </c>
      <c r="AW62" s="198">
        <f>+Slab!BG76</f>
        <v>0</v>
      </c>
      <c r="AX62" s="198">
        <f>+Slab!BH76</f>
        <v>0</v>
      </c>
      <c r="AY62" s="198">
        <f>+Slab!BI76</f>
        <v>0</v>
      </c>
      <c r="AZ62" s="198">
        <f>+Slab!BJ76</f>
        <v>0</v>
      </c>
      <c r="BA62" s="198">
        <f>+Slab!BK76</f>
        <v>0</v>
      </c>
      <c r="BB62" s="198">
        <f>+Slab!BL76</f>
        <v>0</v>
      </c>
      <c r="BC62" s="198">
        <f>+Slab!BM76</f>
        <v>0</v>
      </c>
      <c r="BD62" s="198">
        <f>+Slab!BN76</f>
        <v>0</v>
      </c>
      <c r="BE62" s="198">
        <f>+Slab!BO76</f>
        <v>0</v>
      </c>
      <c r="BF62" s="198">
        <f>+Slab!BP76</f>
        <v>0</v>
      </c>
      <c r="BG62" s="198">
        <f>+Slab!BQ76</f>
        <v>0</v>
      </c>
      <c r="BH62" s="198">
        <f>+Slab!BR76</f>
        <v>0</v>
      </c>
      <c r="BI62" s="198">
        <f>+Slab!BS76</f>
        <v>0</v>
      </c>
      <c r="BJ62" s="198">
        <f>+Slab!BT76</f>
        <v>0</v>
      </c>
      <c r="BK62" s="198">
        <f>+Slab!BU76</f>
        <v>0</v>
      </c>
      <c r="BL62" s="198">
        <f>+Slab!BV76</f>
        <v>0</v>
      </c>
      <c r="BM62" s="251">
        <f>+Slab!BW76</f>
        <v>0</v>
      </c>
      <c r="BN62" s="198">
        <f>+Slab!BX76</f>
        <v>0</v>
      </c>
      <c r="BO62" s="198">
        <f>+Slab!BY76</f>
        <v>0</v>
      </c>
      <c r="BP62" s="198">
        <f>+Slab!BZ76</f>
        <v>0</v>
      </c>
      <c r="BQ62" s="198">
        <f>+Slab!CA76</f>
        <v>0</v>
      </c>
      <c r="BR62" s="198">
        <f>+Slab!CB76</f>
        <v>0</v>
      </c>
      <c r="BS62" s="198">
        <f>+Slab!CC76</f>
        <v>0</v>
      </c>
      <c r="BT62" s="198">
        <f>+Slab!CD76</f>
        <v>0</v>
      </c>
      <c r="BU62" s="198">
        <f>+Slab!CE76</f>
        <v>350</v>
      </c>
      <c r="BV62" s="198">
        <f>+Slab!CF76</f>
        <v>62.5</v>
      </c>
      <c r="BW62" s="198">
        <f>+Slab!CG76</f>
        <v>0</v>
      </c>
      <c r="BX62" s="198">
        <f>+Slab!CH76</f>
        <v>0</v>
      </c>
      <c r="BY62" s="198">
        <f>+Slab!CI76</f>
        <v>600</v>
      </c>
      <c r="BZ62" s="198">
        <f>+Slab!CJ76</f>
        <v>0</v>
      </c>
      <c r="CA62" s="198">
        <f>+Slab!CK76</f>
        <v>0</v>
      </c>
      <c r="CB62" s="198">
        <f>+Slab!CL76</f>
        <v>0</v>
      </c>
      <c r="CC62" s="198">
        <f>+Slab!CM76</f>
        <v>0</v>
      </c>
      <c r="CD62" s="198">
        <f>+Slab!CN76</f>
        <v>0</v>
      </c>
      <c r="CE62" s="198">
        <f>+Slab!CO76</f>
        <v>0</v>
      </c>
      <c r="CF62" s="198">
        <f>+Slab!CP76</f>
        <v>80</v>
      </c>
      <c r="CG62" s="198">
        <f>+Slab!CQ76</f>
        <v>0</v>
      </c>
      <c r="CH62" s="198">
        <f>+Slab!CR76</f>
        <v>0</v>
      </c>
      <c r="CI62" s="198">
        <f>+Slab!CS76</f>
        <v>0</v>
      </c>
      <c r="CJ62" s="198">
        <f>+Slab!CT76</f>
        <v>0</v>
      </c>
      <c r="CK62" s="198">
        <f>+Slab!CU76</f>
        <v>0</v>
      </c>
      <c r="CL62" s="198">
        <f>+Slab!CV76</f>
        <v>0</v>
      </c>
      <c r="CM62" s="198">
        <f>+Slab!CW76</f>
        <v>0</v>
      </c>
      <c r="CN62" s="198">
        <f>+Slab!CX76</f>
        <v>165</v>
      </c>
      <c r="CO62" s="198">
        <f>+Slab!CY76</f>
        <v>0</v>
      </c>
      <c r="CP62" s="198">
        <f>+Slab!CZ76</f>
        <v>0</v>
      </c>
      <c r="CQ62" s="199">
        <f>+Slab!DA76</f>
        <v>0</v>
      </c>
      <c r="CR62" s="197">
        <f>+Slab!DB76</f>
        <v>0</v>
      </c>
      <c r="CS62" s="198">
        <f>+Slab!DC76</f>
        <v>0</v>
      </c>
      <c r="CT62" s="198">
        <f>+Slab!DD76</f>
        <v>90</v>
      </c>
      <c r="CU62" s="198">
        <f>+Slab!DE76</f>
        <v>0</v>
      </c>
      <c r="CV62" s="198">
        <f>+Slab!DF76</f>
        <v>0</v>
      </c>
      <c r="CW62" s="198">
        <f>+Slab!DG76</f>
        <v>0</v>
      </c>
      <c r="CX62" s="198">
        <f>+Slab!DH76</f>
        <v>90</v>
      </c>
      <c r="CY62" s="198">
        <f>+Slab!DI76</f>
        <v>0</v>
      </c>
      <c r="CZ62" s="198">
        <f>+Slab!DJ76</f>
        <v>0</v>
      </c>
      <c r="DA62" s="198">
        <f>+Slab!DK76</f>
        <v>0</v>
      </c>
      <c r="DB62" s="198">
        <f>+Slab!DL76</f>
        <v>0</v>
      </c>
      <c r="DC62" s="198">
        <f>+Slab!DM76</f>
        <v>0</v>
      </c>
      <c r="DD62" s="198">
        <f>+Slab!DN76</f>
        <v>160</v>
      </c>
      <c r="DE62" s="198">
        <f>+Slab!DO76</f>
        <v>0</v>
      </c>
      <c r="DF62" s="198">
        <f>+Slab!DP76</f>
        <v>0</v>
      </c>
      <c r="DG62" s="198">
        <f>+Slab!DQ76</f>
        <v>0</v>
      </c>
      <c r="DH62" s="198">
        <f>+Slab!DR76</f>
        <v>0</v>
      </c>
      <c r="DI62" s="198">
        <f>+Slab!DS76</f>
        <v>0</v>
      </c>
      <c r="DJ62" s="198">
        <f>+Slab!DT76</f>
        <v>0</v>
      </c>
      <c r="DK62" s="198">
        <f>+Slab!DU76</f>
        <v>0</v>
      </c>
      <c r="DL62" s="198">
        <f>+Slab!DV76</f>
        <v>5</v>
      </c>
      <c r="DM62" s="198">
        <f>+Slab!DW76</f>
        <v>0</v>
      </c>
      <c r="DN62" s="198">
        <f>+Slab!DX76</f>
        <v>0</v>
      </c>
      <c r="DO62" s="198">
        <f>+Slab!DY76</f>
        <v>0</v>
      </c>
      <c r="DP62" s="198">
        <f>+Slab!DZ76</f>
        <v>0</v>
      </c>
      <c r="DQ62" s="198">
        <f>+Slab!EA76</f>
        <v>0</v>
      </c>
      <c r="DR62" s="198">
        <f>+Slab!EB76</f>
        <v>0</v>
      </c>
      <c r="DS62" s="198">
        <f>+Slab!EC76</f>
        <v>0</v>
      </c>
      <c r="DT62" s="198">
        <f>+Slab!ED76</f>
        <v>0</v>
      </c>
      <c r="DU62" s="198">
        <f>+Slab!EE76</f>
        <v>0</v>
      </c>
      <c r="DV62" s="287">
        <f>+Slab!EF76</f>
        <v>0</v>
      </c>
      <c r="DW62" s="197">
        <f>+Slab!EG76</f>
        <v>0</v>
      </c>
      <c r="DX62" s="198">
        <f>+Slab!EH76</f>
        <v>0</v>
      </c>
      <c r="DY62" s="198">
        <f>+Slab!EI76</f>
        <v>0</v>
      </c>
      <c r="DZ62" s="198">
        <f>+Slab!EJ76</f>
        <v>50</v>
      </c>
      <c r="EA62" s="198">
        <f>+Slab!EK76</f>
        <v>0</v>
      </c>
      <c r="EB62" s="198">
        <f>+Slab!EL76</f>
        <v>107.5</v>
      </c>
      <c r="EC62" s="198">
        <f>+Slab!EM76</f>
        <v>0</v>
      </c>
      <c r="ED62" s="198">
        <f>+Slab!EN76</f>
        <v>0</v>
      </c>
      <c r="EE62" s="198">
        <f>+Slab!EO76</f>
        <v>0</v>
      </c>
      <c r="EF62" s="198">
        <f>+Slab!EP76</f>
        <v>0</v>
      </c>
      <c r="EG62" s="198">
        <f>+Slab!EQ76</f>
        <v>0</v>
      </c>
      <c r="EH62" s="198">
        <f>+Slab!ER76</f>
        <v>0</v>
      </c>
      <c r="EI62" s="198">
        <f>+Slab!ES76</f>
        <v>0</v>
      </c>
      <c r="EJ62" s="198">
        <f>+Slab!ET76</f>
        <v>0</v>
      </c>
      <c r="EK62" s="198">
        <f>+Slab!EU76</f>
        <v>0</v>
      </c>
      <c r="EL62" s="198">
        <f>+Slab!EV76</f>
        <v>0</v>
      </c>
      <c r="EM62" s="198">
        <f>+Slab!EW76</f>
        <v>0</v>
      </c>
      <c r="EN62" s="198">
        <f>+Slab!EX76</f>
        <v>0</v>
      </c>
      <c r="EO62" s="198">
        <f>+Slab!EY76</f>
        <v>0</v>
      </c>
      <c r="EP62" s="198">
        <f>+Slab!EZ76</f>
        <v>0</v>
      </c>
      <c r="EQ62" s="198">
        <f>+Slab!FA76</f>
        <v>0</v>
      </c>
      <c r="ER62" s="198">
        <f>+Slab!FB76</f>
        <v>0</v>
      </c>
      <c r="ES62" s="198">
        <f>+Slab!FC76</f>
        <v>0</v>
      </c>
      <c r="ET62" s="198">
        <f>+Slab!FD76</f>
        <v>0</v>
      </c>
      <c r="EU62" s="198">
        <f>+Slab!FE76</f>
        <v>0</v>
      </c>
      <c r="EV62" s="198">
        <f>+Slab!FF76</f>
        <v>0</v>
      </c>
      <c r="EW62" s="198">
        <f>+Slab!FG76</f>
        <v>0</v>
      </c>
      <c r="EX62" s="198">
        <f>+Slab!FH76</f>
        <v>0</v>
      </c>
      <c r="EY62" s="198">
        <f>+Slab!FI76</f>
        <v>0</v>
      </c>
      <c r="EZ62" s="199">
        <f>+Slab!FJ76</f>
        <v>14.5</v>
      </c>
      <c r="FA62" s="197">
        <f>+Slab!FK76</f>
        <v>12.5</v>
      </c>
      <c r="FB62" s="198">
        <f>+Slab!FL76</f>
        <v>0</v>
      </c>
      <c r="FC62" s="198">
        <f>+Slab!FM76</f>
        <v>0</v>
      </c>
      <c r="FD62" s="198">
        <f>+Slab!FN76</f>
        <v>0</v>
      </c>
      <c r="FE62" s="198">
        <f>+Slab!FO76</f>
        <v>0</v>
      </c>
      <c r="FF62" s="198">
        <f>+Slab!FP76</f>
        <v>0</v>
      </c>
      <c r="FG62" s="198">
        <f>+Slab!FQ76</f>
        <v>0</v>
      </c>
      <c r="FH62" s="198">
        <f>+Slab!FR76</f>
        <v>0</v>
      </c>
      <c r="FI62" s="198">
        <f>+Slab!FS76</f>
        <v>350</v>
      </c>
      <c r="FJ62" s="198">
        <f>+Slab!FT76</f>
        <v>0</v>
      </c>
      <c r="FK62" s="198">
        <f>+Slab!FU76</f>
        <v>0</v>
      </c>
      <c r="FL62" s="198">
        <f>+Slab!FV76</f>
        <v>0</v>
      </c>
      <c r="FM62" s="198">
        <f>+Slab!FW76</f>
        <v>0</v>
      </c>
      <c r="FN62" s="198">
        <f>+Slab!FX76</f>
        <v>0</v>
      </c>
      <c r="FO62" s="198">
        <f>+Slab!FY76</f>
        <v>0</v>
      </c>
      <c r="FP62" s="198">
        <f>+Slab!FZ76</f>
        <v>0</v>
      </c>
      <c r="FQ62" s="198">
        <f>+Slab!GA76</f>
        <v>0</v>
      </c>
      <c r="FR62" s="198">
        <f>+Slab!GB76</f>
        <v>0</v>
      </c>
      <c r="FS62" s="198">
        <f>+Slab!GC76</f>
        <v>0</v>
      </c>
      <c r="FT62" s="198">
        <f>+Slab!GD76</f>
        <v>0</v>
      </c>
      <c r="FU62" s="198">
        <f>+Slab!GE76</f>
        <v>0</v>
      </c>
      <c r="FV62" s="198">
        <f>+Slab!GF76</f>
        <v>0</v>
      </c>
      <c r="FW62" s="198">
        <f>+Slab!GG76</f>
        <v>0</v>
      </c>
      <c r="FX62" s="198">
        <f>+Slab!GH76</f>
        <v>0</v>
      </c>
      <c r="FY62" s="198">
        <f>+Slab!GI76</f>
        <v>0</v>
      </c>
      <c r="FZ62" s="198">
        <f>+Slab!GJ76</f>
        <v>0</v>
      </c>
      <c r="GA62" s="198">
        <f>+Slab!GK76</f>
        <v>0</v>
      </c>
      <c r="GB62" s="198">
        <f>+Slab!GL76</f>
        <v>0</v>
      </c>
      <c r="GC62" s="198">
        <f>+Slab!GM76</f>
        <v>0</v>
      </c>
      <c r="GD62" s="198">
        <f>+Slab!GN76</f>
        <v>0</v>
      </c>
      <c r="GE62" s="199">
        <f>+Slab!GO76</f>
        <v>0</v>
      </c>
      <c r="GF62" s="197">
        <f>+Slab!GP76</f>
        <v>0</v>
      </c>
      <c r="GG62" s="198">
        <f>+Slab!GQ76</f>
        <v>0</v>
      </c>
      <c r="GH62" s="198">
        <f>+Slab!GR76</f>
        <v>220</v>
      </c>
      <c r="GI62" s="198">
        <f>+Slab!GS76</f>
        <v>0</v>
      </c>
      <c r="GJ62" s="198">
        <f>+Slab!GT76</f>
        <v>0</v>
      </c>
      <c r="GK62" s="198">
        <f>+Slab!GU76</f>
        <v>0</v>
      </c>
      <c r="GL62" s="198">
        <f>+Slab!GV76</f>
        <v>0</v>
      </c>
      <c r="GM62" s="198">
        <f>+Slab!GW76</f>
        <v>0</v>
      </c>
      <c r="GN62" s="198">
        <f>+Slab!GX76</f>
        <v>0</v>
      </c>
      <c r="GO62" s="198">
        <f>+Slab!GY76</f>
        <v>0</v>
      </c>
      <c r="GP62" s="198">
        <f>+Slab!GZ76</f>
        <v>0</v>
      </c>
      <c r="GQ62" s="198">
        <f>+Slab!HA76</f>
        <v>0</v>
      </c>
      <c r="GR62" s="198">
        <f>+Slab!HB76</f>
        <v>0</v>
      </c>
      <c r="GS62" s="198">
        <f>+Slab!HC76</f>
        <v>0</v>
      </c>
      <c r="GT62" s="198">
        <f>+Slab!HD76</f>
        <v>0</v>
      </c>
      <c r="GU62" s="198">
        <f>+Slab!HE76</f>
        <v>0</v>
      </c>
      <c r="GV62" s="198">
        <f>+Slab!HF76</f>
        <v>0</v>
      </c>
      <c r="GW62" s="198">
        <f>+Slab!HG76</f>
        <v>0</v>
      </c>
      <c r="GX62" s="198">
        <f>+Slab!HH76</f>
        <v>0</v>
      </c>
      <c r="GY62" s="199">
        <f>+Slab!HI76</f>
        <v>0</v>
      </c>
      <c r="GZ62" s="452"/>
    </row>
    <row r="63" spans="1:208" ht="15" hidden="1" customHeight="1" thickBot="1" x14ac:dyDescent="0.4">
      <c r="A63" s="204"/>
      <c r="B63" s="201"/>
      <c r="C63" s="205"/>
      <c r="D63" s="206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8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7"/>
      <c r="BL63" s="207"/>
      <c r="BM63" s="247"/>
      <c r="BN63" s="207"/>
      <c r="BO63" s="207"/>
      <c r="BP63" s="207"/>
      <c r="BQ63" s="207"/>
      <c r="BR63" s="207"/>
      <c r="BS63" s="207"/>
      <c r="BT63" s="207"/>
      <c r="BU63" s="207"/>
      <c r="BV63" s="207"/>
      <c r="BW63" s="207"/>
      <c r="BX63" s="207"/>
      <c r="BY63" s="207"/>
      <c r="BZ63" s="207"/>
      <c r="CA63" s="207"/>
      <c r="CB63" s="207"/>
      <c r="CC63" s="207"/>
      <c r="CD63" s="207"/>
      <c r="CE63" s="207"/>
      <c r="CF63" s="207"/>
      <c r="CG63" s="207"/>
      <c r="CH63" s="207"/>
      <c r="CI63" s="207"/>
      <c r="CJ63" s="207"/>
      <c r="CK63" s="207"/>
      <c r="CL63" s="207"/>
      <c r="CM63" s="207"/>
      <c r="CN63" s="207"/>
      <c r="CO63" s="207"/>
      <c r="CP63" s="207"/>
      <c r="CQ63" s="207"/>
      <c r="CR63" s="288"/>
      <c r="CS63" s="289"/>
      <c r="CT63" s="289"/>
      <c r="CU63" s="289"/>
      <c r="CV63" s="289"/>
      <c r="CW63" s="289"/>
      <c r="CX63" s="289"/>
      <c r="CY63" s="289"/>
      <c r="CZ63" s="289"/>
      <c r="DA63" s="289"/>
      <c r="DB63" s="289"/>
      <c r="DC63" s="289"/>
      <c r="DD63" s="289"/>
      <c r="DE63" s="289"/>
      <c r="DF63" s="289"/>
      <c r="DG63" s="289"/>
      <c r="DH63" s="289"/>
      <c r="DI63" s="289"/>
      <c r="DJ63" s="289"/>
      <c r="DK63" s="289"/>
      <c r="DL63" s="289"/>
      <c r="DM63" s="289"/>
      <c r="DN63" s="289"/>
      <c r="DO63" s="289"/>
      <c r="DP63" s="289"/>
      <c r="DQ63" s="289"/>
      <c r="DR63" s="289"/>
      <c r="DS63" s="289"/>
      <c r="DT63" s="289"/>
      <c r="DU63" s="289"/>
      <c r="DV63" s="352"/>
      <c r="DW63" s="288"/>
      <c r="DX63" s="289"/>
      <c r="DY63" s="289"/>
      <c r="DZ63" s="289"/>
      <c r="EA63" s="289"/>
      <c r="EB63" s="289"/>
      <c r="EC63" s="289"/>
      <c r="ED63" s="289"/>
      <c r="EE63" s="289"/>
      <c r="EF63" s="289"/>
      <c r="EG63" s="289"/>
      <c r="EH63" s="289"/>
      <c r="EI63" s="289"/>
      <c r="EJ63" s="289"/>
      <c r="EK63" s="289"/>
      <c r="EL63" s="289"/>
      <c r="EM63" s="289"/>
      <c r="EN63" s="289"/>
      <c r="EO63" s="289"/>
      <c r="EP63" s="289"/>
      <c r="EQ63" s="289"/>
      <c r="ER63" s="289"/>
      <c r="ES63" s="289"/>
      <c r="ET63" s="289"/>
      <c r="EU63" s="289"/>
      <c r="EV63" s="289"/>
      <c r="EW63" s="289"/>
      <c r="EX63" s="289"/>
      <c r="EY63" s="289"/>
      <c r="EZ63" s="289"/>
      <c r="FA63" s="288"/>
      <c r="FB63" s="289"/>
      <c r="FC63" s="289"/>
      <c r="FD63" s="289"/>
      <c r="FE63" s="289"/>
      <c r="FF63" s="289"/>
      <c r="FG63" s="289"/>
      <c r="FH63" s="289"/>
      <c r="FI63" s="289"/>
      <c r="FJ63" s="289"/>
      <c r="FK63" s="289"/>
      <c r="FL63" s="289"/>
      <c r="FM63" s="289"/>
      <c r="FN63" s="289"/>
      <c r="FO63" s="289"/>
      <c r="FP63" s="289"/>
      <c r="FQ63" s="289"/>
      <c r="FR63" s="289"/>
      <c r="FS63" s="289"/>
      <c r="FT63" s="289"/>
      <c r="FU63" s="289"/>
      <c r="FV63" s="289"/>
      <c r="FW63" s="289"/>
      <c r="FX63" s="289"/>
      <c r="FY63" s="289"/>
      <c r="FZ63" s="289"/>
      <c r="GA63" s="289"/>
      <c r="GB63" s="289"/>
      <c r="GC63" s="289"/>
      <c r="GD63" s="289"/>
      <c r="GE63" s="289"/>
      <c r="GF63" s="288"/>
      <c r="GG63" s="289"/>
      <c r="GH63" s="289"/>
      <c r="GI63" s="289"/>
      <c r="GJ63" s="289"/>
      <c r="GK63" s="289"/>
      <c r="GL63" s="289"/>
      <c r="GM63" s="289"/>
      <c r="GN63" s="289"/>
      <c r="GO63" s="289"/>
      <c r="GP63" s="289"/>
      <c r="GQ63" s="289"/>
      <c r="GR63" s="289"/>
      <c r="GS63" s="289"/>
      <c r="GT63" s="289"/>
      <c r="GU63" s="289"/>
      <c r="GV63" s="289"/>
      <c r="GW63" s="289"/>
      <c r="GX63" s="289"/>
      <c r="GY63" s="289"/>
      <c r="GZ63" s="448"/>
    </row>
    <row r="64" spans="1:208" ht="15" hidden="1" customHeight="1" thickBot="1" x14ac:dyDescent="0.4">
      <c r="A64" s="482"/>
      <c r="B64" s="481" t="s">
        <v>16</v>
      </c>
      <c r="C64" s="25" t="s">
        <v>82</v>
      </c>
      <c r="D64" s="32" t="s">
        <v>86</v>
      </c>
      <c r="E64" s="71">
        <f>+Columns!O81</f>
        <v>0</v>
      </c>
      <c r="F64" s="37">
        <f>+Columns!P81</f>
        <v>0</v>
      </c>
      <c r="G64" s="37">
        <f>+Columns!Q81</f>
        <v>0</v>
      </c>
      <c r="H64" s="37">
        <f>+Columns!R81</f>
        <v>0</v>
      </c>
      <c r="I64" s="37">
        <f>+Columns!S81</f>
        <v>0</v>
      </c>
      <c r="J64" s="37">
        <f>+Columns!T81</f>
        <v>0</v>
      </c>
      <c r="K64" s="37">
        <f>+Columns!U81</f>
        <v>0</v>
      </c>
      <c r="L64" s="37">
        <f>+Columns!V81</f>
        <v>0</v>
      </c>
      <c r="M64" s="37">
        <f>+Columns!W81</f>
        <v>0</v>
      </c>
      <c r="N64" s="37">
        <f>+Columns!X81</f>
        <v>0</v>
      </c>
      <c r="O64" s="37">
        <f>+Columns!Y81</f>
        <v>8</v>
      </c>
      <c r="P64" s="37">
        <f>+Columns!Z81</f>
        <v>0</v>
      </c>
      <c r="Q64" s="37">
        <f>+Columns!AA81</f>
        <v>0</v>
      </c>
      <c r="R64" s="37">
        <f>+Columns!AB81</f>
        <v>5</v>
      </c>
      <c r="S64" s="37">
        <f>+Columns!AC81</f>
        <v>6</v>
      </c>
      <c r="T64" s="37">
        <f>+Columns!AD81</f>
        <v>0</v>
      </c>
      <c r="U64" s="37">
        <f>+Columns!AE81</f>
        <v>0.5</v>
      </c>
      <c r="V64" s="37">
        <f>+Columns!AF81</f>
        <v>0</v>
      </c>
      <c r="W64" s="37">
        <f>+Columns!AG81</f>
        <v>0</v>
      </c>
      <c r="X64" s="37">
        <f>+Columns!AH81</f>
        <v>0</v>
      </c>
      <c r="Y64" s="37">
        <f>+Columns!AI81</f>
        <v>0</v>
      </c>
      <c r="Z64" s="37">
        <f>+Columns!AJ81</f>
        <v>0</v>
      </c>
      <c r="AA64" s="37">
        <f>+Columns!AK81</f>
        <v>0</v>
      </c>
      <c r="AB64" s="37">
        <f>+Columns!AL81</f>
        <v>0</v>
      </c>
      <c r="AC64" s="37">
        <f>+Columns!AM81</f>
        <v>0</v>
      </c>
      <c r="AD64" s="37">
        <f>+Columns!AN81</f>
        <v>0</v>
      </c>
      <c r="AE64" s="37">
        <f>+Columns!AO81</f>
        <v>0</v>
      </c>
      <c r="AF64" s="276">
        <f>+Columns!AP81</f>
        <v>0</v>
      </c>
      <c r="AG64" s="165">
        <f>+Columns!AQ81</f>
        <v>0</v>
      </c>
      <c r="AH64" s="71">
        <f>+Columns!AR81</f>
        <v>0</v>
      </c>
      <c r="AI64" s="37">
        <f>+Columns!AS81</f>
        <v>0</v>
      </c>
      <c r="AJ64" s="37">
        <f>+Columns!AT81</f>
        <v>0</v>
      </c>
      <c r="AK64" s="37">
        <f>+Columns!AU81</f>
        <v>0</v>
      </c>
      <c r="AL64" s="37">
        <f>+Columns!AV81</f>
        <v>0</v>
      </c>
      <c r="AM64" s="37">
        <f>+Columns!AW81</f>
        <v>0</v>
      </c>
      <c r="AN64" s="37">
        <f>+Columns!AX81</f>
        <v>0</v>
      </c>
      <c r="AO64" s="37">
        <f>+Columns!AY81</f>
        <v>0</v>
      </c>
      <c r="AP64" s="37">
        <f>+Columns!AZ81</f>
        <v>0</v>
      </c>
      <c r="AQ64" s="37">
        <f>+Columns!BA81</f>
        <v>4</v>
      </c>
      <c r="AR64" s="37">
        <f>+Columns!BB81</f>
        <v>0</v>
      </c>
      <c r="AS64" s="37">
        <f>+Columns!BC81</f>
        <v>0</v>
      </c>
      <c r="AT64" s="37">
        <f>+Columns!BD81</f>
        <v>0</v>
      </c>
      <c r="AU64" s="37">
        <f>+Columns!BE81</f>
        <v>0</v>
      </c>
      <c r="AV64" s="37">
        <f>+Columns!BF81</f>
        <v>0</v>
      </c>
      <c r="AW64" s="37">
        <f>+Columns!BG81</f>
        <v>0</v>
      </c>
      <c r="AX64" s="37">
        <f>+Columns!BH81</f>
        <v>0</v>
      </c>
      <c r="AY64" s="37">
        <f>+Columns!BI81</f>
        <v>0</v>
      </c>
      <c r="AZ64" s="37">
        <f>+Columns!BJ81</f>
        <v>0</v>
      </c>
      <c r="BA64" s="37">
        <f>+Columns!BK81</f>
        <v>0</v>
      </c>
      <c r="BB64" s="37">
        <f>+Columns!BL81</f>
        <v>0</v>
      </c>
      <c r="BC64" s="37">
        <f>+Columns!BM81</f>
        <v>0</v>
      </c>
      <c r="BD64" s="37">
        <f>+Columns!BN81</f>
        <v>0</v>
      </c>
      <c r="BE64" s="37">
        <f>+Columns!BO81</f>
        <v>0</v>
      </c>
      <c r="BF64" s="37">
        <f>+Columns!BP81</f>
        <v>0</v>
      </c>
      <c r="BG64" s="37">
        <f>+Columns!BQ81</f>
        <v>3</v>
      </c>
      <c r="BH64" s="37">
        <f>+Columns!BR81</f>
        <v>0</v>
      </c>
      <c r="BI64" s="37">
        <f>+Columns!BS81</f>
        <v>0</v>
      </c>
      <c r="BJ64" s="37">
        <f>+Columns!BT81</f>
        <v>0</v>
      </c>
      <c r="BK64" s="37">
        <f>+Columns!BU81</f>
        <v>0</v>
      </c>
      <c r="BL64" s="276">
        <f>+Columns!BV81</f>
        <v>0</v>
      </c>
      <c r="BM64" s="294">
        <f>+Columns!BW81</f>
        <v>0</v>
      </c>
      <c r="BN64" s="13">
        <f>+Columns!BX81</f>
        <v>0</v>
      </c>
      <c r="BO64" s="13">
        <f>+Columns!BY81</f>
        <v>0</v>
      </c>
      <c r="BP64" s="13">
        <f>+Columns!BZ81</f>
        <v>0</v>
      </c>
      <c r="BQ64" s="13">
        <f>+Columns!CA81</f>
        <v>0</v>
      </c>
      <c r="BR64" s="13">
        <f>+Columns!CB81</f>
        <v>0</v>
      </c>
      <c r="BS64" s="13">
        <f>+Columns!CC81</f>
        <v>0</v>
      </c>
      <c r="BT64" s="13">
        <f>+Columns!CD81</f>
        <v>0.5</v>
      </c>
      <c r="BU64" s="13">
        <f>+Columns!CE81</f>
        <v>0</v>
      </c>
      <c r="BV64" s="13">
        <f>+Columns!CF81</f>
        <v>0</v>
      </c>
      <c r="BW64" s="13">
        <f>+Columns!CG81</f>
        <v>0</v>
      </c>
      <c r="BX64" s="13">
        <f>+Columns!CH81</f>
        <v>0</v>
      </c>
      <c r="BY64" s="13">
        <f>+Columns!CI81</f>
        <v>3.5</v>
      </c>
      <c r="BZ64" s="13">
        <f>+Columns!CJ81</f>
        <v>0</v>
      </c>
      <c r="CA64" s="13">
        <f>+Columns!CK81</f>
        <v>0</v>
      </c>
      <c r="CB64" s="13">
        <f>+Columns!CL81</f>
        <v>0.5</v>
      </c>
      <c r="CC64" s="13">
        <f>+Columns!CM81</f>
        <v>0</v>
      </c>
      <c r="CD64" s="13">
        <f>+Columns!CN81</f>
        <v>0</v>
      </c>
      <c r="CE64" s="13">
        <f>+Columns!CO81</f>
        <v>2.5</v>
      </c>
      <c r="CF64" s="13">
        <f>+Columns!CP81</f>
        <v>0</v>
      </c>
      <c r="CG64" s="13">
        <f>+Columns!CQ81</f>
        <v>1</v>
      </c>
      <c r="CH64" s="13">
        <f>+Columns!CR81</f>
        <v>0</v>
      </c>
      <c r="CI64" s="13">
        <f>+Columns!CS81</f>
        <v>0</v>
      </c>
      <c r="CJ64" s="13">
        <f>+Columns!CT81</f>
        <v>0</v>
      </c>
      <c r="CK64" s="13">
        <f>+Columns!CU81</f>
        <v>0</v>
      </c>
      <c r="CL64" s="13">
        <f>+Columns!CV81</f>
        <v>0</v>
      </c>
      <c r="CM64" s="13">
        <f>+Columns!CW81</f>
        <v>3</v>
      </c>
      <c r="CN64" s="13">
        <f>+Columns!CX81</f>
        <v>1.5</v>
      </c>
      <c r="CO64" s="13">
        <f>+Columns!CY81</f>
        <v>0</v>
      </c>
      <c r="CP64" s="13">
        <f>+Columns!CZ81</f>
        <v>1.5</v>
      </c>
      <c r="CQ64" s="101">
        <f>+Columns!DA81</f>
        <v>1.5</v>
      </c>
      <c r="CR64" s="71">
        <f>+Columns!DB81</f>
        <v>0</v>
      </c>
      <c r="CS64" s="37">
        <f>+Columns!DC81</f>
        <v>0</v>
      </c>
      <c r="CT64" s="37">
        <f>+Columns!DD81</f>
        <v>5.5</v>
      </c>
      <c r="CU64" s="37">
        <f>+Columns!DE81</f>
        <v>0</v>
      </c>
      <c r="CV64" s="37">
        <f>+Columns!DF81</f>
        <v>0</v>
      </c>
      <c r="CW64" s="37">
        <f>+Columns!DG81</f>
        <v>3.5</v>
      </c>
      <c r="CX64" s="37">
        <f>+Columns!DH81</f>
        <v>0.5</v>
      </c>
      <c r="CY64" s="37">
        <f>+Columns!DI81</f>
        <v>0</v>
      </c>
      <c r="CZ64" s="37">
        <f>+Columns!DJ81</f>
        <v>0</v>
      </c>
      <c r="DA64" s="37">
        <f>+Columns!DK81</f>
        <v>0</v>
      </c>
      <c r="DB64" s="37">
        <f>+Columns!DL81</f>
        <v>2</v>
      </c>
      <c r="DC64" s="37">
        <f>+Columns!DM81</f>
        <v>0</v>
      </c>
      <c r="DD64" s="37">
        <f>+Columns!DN81</f>
        <v>0.5</v>
      </c>
      <c r="DE64" s="37">
        <f>+Columns!DO81</f>
        <v>0</v>
      </c>
      <c r="DF64" s="37">
        <f>+Columns!DP81</f>
        <v>0</v>
      </c>
      <c r="DG64" s="37">
        <f>+Columns!DQ81</f>
        <v>0</v>
      </c>
      <c r="DH64" s="37">
        <f>+Columns!DR81</f>
        <v>0.5</v>
      </c>
      <c r="DI64" s="37">
        <f>+Columns!DS81</f>
        <v>0</v>
      </c>
      <c r="DJ64" s="37">
        <f>+Columns!DT81</f>
        <v>0</v>
      </c>
      <c r="DK64" s="37">
        <f>+Columns!DU81</f>
        <v>3</v>
      </c>
      <c r="DL64" s="37">
        <f>+Columns!DV81</f>
        <v>0</v>
      </c>
      <c r="DM64" s="37">
        <f>+Columns!DW81</f>
        <v>0</v>
      </c>
      <c r="DN64" s="37">
        <f>+Columns!DX81</f>
        <v>0</v>
      </c>
      <c r="DO64" s="37">
        <f>+Columns!DY81</f>
        <v>0</v>
      </c>
      <c r="DP64" s="37">
        <f>+Columns!DZ81</f>
        <v>0</v>
      </c>
      <c r="DQ64" s="37">
        <f>+Columns!EA81</f>
        <v>0</v>
      </c>
      <c r="DR64" s="37">
        <f>+Columns!EB81</f>
        <v>0</v>
      </c>
      <c r="DS64" s="37">
        <f>+Columns!EC81</f>
        <v>0</v>
      </c>
      <c r="DT64" s="37">
        <f>+Columns!ED81</f>
        <v>0</v>
      </c>
      <c r="DU64" s="37">
        <f>+Columns!EE81</f>
        <v>0</v>
      </c>
      <c r="DV64" s="276">
        <f>+Columns!EF81</f>
        <v>0</v>
      </c>
      <c r="DW64" s="71">
        <f>+Columns!EG81</f>
        <v>0</v>
      </c>
      <c r="DX64" s="37">
        <f>+Columns!EH81</f>
        <v>0</v>
      </c>
      <c r="DY64" s="37">
        <f>+Columns!EI81</f>
        <v>0</v>
      </c>
      <c r="DZ64" s="37">
        <f>+Columns!EJ81</f>
        <v>0</v>
      </c>
      <c r="EA64" s="37">
        <f>+Columns!EK81</f>
        <v>0</v>
      </c>
      <c r="EB64" s="37">
        <f>+Columns!EL81</f>
        <v>0</v>
      </c>
      <c r="EC64" s="37">
        <f>+Columns!EM81</f>
        <v>0</v>
      </c>
      <c r="ED64" s="37">
        <f>+Columns!EN81</f>
        <v>1</v>
      </c>
      <c r="EE64" s="37">
        <f>+Columns!EO81</f>
        <v>0</v>
      </c>
      <c r="EF64" s="37">
        <f>+Columns!EP81</f>
        <v>0</v>
      </c>
      <c r="EG64" s="37">
        <f>+Columns!EQ81</f>
        <v>0</v>
      </c>
      <c r="EH64" s="37">
        <f>+Columns!ER81</f>
        <v>0</v>
      </c>
      <c r="EI64" s="37">
        <f>+Columns!ES81</f>
        <v>0</v>
      </c>
      <c r="EJ64" s="37">
        <f>+Columns!ET81</f>
        <v>1</v>
      </c>
      <c r="EK64" s="37">
        <f>+Columns!EU81</f>
        <v>0</v>
      </c>
      <c r="EL64" s="37">
        <f>+Columns!EV81</f>
        <v>0</v>
      </c>
      <c r="EM64" s="37">
        <f>+Columns!EW81</f>
        <v>0</v>
      </c>
      <c r="EN64" s="37">
        <f>+Columns!EX81</f>
        <v>0</v>
      </c>
      <c r="EO64" s="37">
        <f>+Columns!EY81</f>
        <v>0</v>
      </c>
      <c r="EP64" s="37">
        <f>+Columns!EZ81</f>
        <v>0</v>
      </c>
      <c r="EQ64" s="37">
        <f>+Columns!FA81</f>
        <v>0</v>
      </c>
      <c r="ER64" s="37">
        <f>+Columns!FB81</f>
        <v>0</v>
      </c>
      <c r="ES64" s="37">
        <f>+Columns!FC81</f>
        <v>0</v>
      </c>
      <c r="ET64" s="37">
        <f>+Columns!FD81</f>
        <v>0</v>
      </c>
      <c r="EU64" s="37">
        <f>+Columns!FE81</f>
        <v>0</v>
      </c>
      <c r="EV64" s="37">
        <f>+Columns!FF81</f>
        <v>0</v>
      </c>
      <c r="EW64" s="37">
        <f>+Columns!FG81</f>
        <v>0</v>
      </c>
      <c r="EX64" s="37">
        <f>+Columns!FH81</f>
        <v>0</v>
      </c>
      <c r="EY64" s="37">
        <f>+Columns!FI81</f>
        <v>0</v>
      </c>
      <c r="EZ64" s="157">
        <f>+Columns!FJ81</f>
        <v>0</v>
      </c>
      <c r="FA64" s="71">
        <f>+Columns!FK81</f>
        <v>0</v>
      </c>
      <c r="FB64" s="37">
        <f>+Columns!FL81</f>
        <v>0</v>
      </c>
      <c r="FC64" s="37">
        <f>+Columns!FM81</f>
        <v>0</v>
      </c>
      <c r="FD64" s="37">
        <f>+Columns!FN81</f>
        <v>0</v>
      </c>
      <c r="FE64" s="37">
        <f>+Columns!FO81</f>
        <v>0</v>
      </c>
      <c r="FF64" s="37">
        <f>+Columns!FP81</f>
        <v>0</v>
      </c>
      <c r="FG64" s="37">
        <f>+Columns!FQ81</f>
        <v>0</v>
      </c>
      <c r="FH64" s="37">
        <f>+Columns!FR81</f>
        <v>0</v>
      </c>
      <c r="FI64" s="37">
        <f>+Columns!FS81</f>
        <v>0</v>
      </c>
      <c r="FJ64" s="37">
        <f>+Columns!FT81</f>
        <v>0</v>
      </c>
      <c r="FK64" s="37">
        <f>+Columns!FU81</f>
        <v>0</v>
      </c>
      <c r="FL64" s="37">
        <f>+Columns!FV81</f>
        <v>0</v>
      </c>
      <c r="FM64" s="37">
        <f>+Columns!FW81</f>
        <v>0</v>
      </c>
      <c r="FN64" s="37">
        <f>+Columns!FX81</f>
        <v>0</v>
      </c>
      <c r="FO64" s="37">
        <f>+Columns!FY81</f>
        <v>0</v>
      </c>
      <c r="FP64" s="37">
        <f>+Columns!FZ81</f>
        <v>0</v>
      </c>
      <c r="FQ64" s="37">
        <f>+Columns!GA81</f>
        <v>0</v>
      </c>
      <c r="FR64" s="37">
        <f>+Columns!GB81</f>
        <v>0</v>
      </c>
      <c r="FS64" s="37">
        <f>+Columns!GC81</f>
        <v>0</v>
      </c>
      <c r="FT64" s="37">
        <f>+Columns!GD81</f>
        <v>0</v>
      </c>
      <c r="FU64" s="37">
        <f>+Columns!GE81</f>
        <v>0</v>
      </c>
      <c r="FV64" s="37">
        <f>+Columns!GF81</f>
        <v>0</v>
      </c>
      <c r="FW64" s="37">
        <f>+Columns!GG81</f>
        <v>0</v>
      </c>
      <c r="FX64" s="37">
        <f>+Columns!GH81</f>
        <v>0</v>
      </c>
      <c r="FY64" s="37">
        <f>+Columns!GI81</f>
        <v>0</v>
      </c>
      <c r="FZ64" s="37">
        <f>+Columns!GJ81</f>
        <v>0</v>
      </c>
      <c r="GA64" s="37">
        <f>+Columns!GK81</f>
        <v>0</v>
      </c>
      <c r="GB64" s="37">
        <f>+Columns!GL81</f>
        <v>0</v>
      </c>
      <c r="GC64" s="37">
        <f>+Columns!GM81</f>
        <v>0</v>
      </c>
      <c r="GD64" s="37">
        <f>+Columns!GN81</f>
        <v>0</v>
      </c>
      <c r="GE64" s="157">
        <f>+Columns!GO81</f>
        <v>0</v>
      </c>
      <c r="GF64" s="71">
        <f>+Columns!GP81</f>
        <v>0</v>
      </c>
      <c r="GG64" s="37">
        <f>+Columns!GQ81</f>
        <v>0</v>
      </c>
      <c r="GH64" s="37">
        <f>+Columns!GR81</f>
        <v>0</v>
      </c>
      <c r="GI64" s="37">
        <f>+Columns!GS81</f>
        <v>0</v>
      </c>
      <c r="GJ64" s="37">
        <f>+Columns!GT81</f>
        <v>0</v>
      </c>
      <c r="GK64" s="37">
        <f>+Columns!GU81</f>
        <v>0</v>
      </c>
      <c r="GL64" s="37">
        <f>+Columns!GV81</f>
        <v>0</v>
      </c>
      <c r="GM64" s="37">
        <f>+Columns!GW81</f>
        <v>0</v>
      </c>
      <c r="GN64" s="37">
        <f>+Columns!GX81</f>
        <v>0</v>
      </c>
      <c r="GO64" s="37">
        <f>+Columns!GY81</f>
        <v>0</v>
      </c>
      <c r="GP64" s="37">
        <f>+Columns!GZ81</f>
        <v>0</v>
      </c>
      <c r="GQ64" s="37">
        <f>+Columns!HA81</f>
        <v>0</v>
      </c>
      <c r="GR64" s="37">
        <f>+Columns!HB81</f>
        <v>0</v>
      </c>
      <c r="GS64" s="37">
        <f>+Columns!HC81</f>
        <v>0</v>
      </c>
      <c r="GT64" s="37">
        <f>+Columns!HD81</f>
        <v>0</v>
      </c>
      <c r="GU64" s="37">
        <f>+Columns!HE81</f>
        <v>0</v>
      </c>
      <c r="GV64" s="37">
        <f>+Columns!HF81</f>
        <v>0</v>
      </c>
      <c r="GW64" s="37">
        <f>+Columns!HG81</f>
        <v>0</v>
      </c>
      <c r="GX64" s="37">
        <f>+Columns!HH81</f>
        <v>0</v>
      </c>
      <c r="GY64" s="157">
        <f>+Columns!HI81</f>
        <v>0</v>
      </c>
      <c r="GZ64" s="450"/>
    </row>
    <row r="65" spans="1:208" ht="15" hidden="1" customHeight="1" thickBot="1" x14ac:dyDescent="0.4">
      <c r="A65" s="479"/>
      <c r="B65" s="474"/>
      <c r="C65" s="23" t="s">
        <v>81</v>
      </c>
      <c r="D65" s="2" t="s">
        <v>87</v>
      </c>
      <c r="E65" s="73">
        <f>+'Internal Wall'!O94</f>
        <v>0</v>
      </c>
      <c r="F65" s="13">
        <f>+'Internal Wall'!P94</f>
        <v>0</v>
      </c>
      <c r="G65" s="13">
        <f>+'Internal Wall'!Q94</f>
        <v>0</v>
      </c>
      <c r="H65" s="13">
        <f>+'Internal Wall'!R94</f>
        <v>0</v>
      </c>
      <c r="I65" s="13">
        <f>+'Internal Wall'!S94</f>
        <v>0</v>
      </c>
      <c r="J65" s="13">
        <f>+'Internal Wall'!T94</f>
        <v>0</v>
      </c>
      <c r="K65" s="13">
        <f>+'Internal Wall'!U94</f>
        <v>0</v>
      </c>
      <c r="L65" s="13">
        <f>+'Internal Wall'!V94</f>
        <v>0</v>
      </c>
      <c r="M65" s="13">
        <f>+'Internal Wall'!W94</f>
        <v>0</v>
      </c>
      <c r="N65" s="13">
        <f>+'Internal Wall'!X94</f>
        <v>0</v>
      </c>
      <c r="O65" s="13">
        <f>+'Internal Wall'!Y94</f>
        <v>0</v>
      </c>
      <c r="P65" s="13">
        <f>+'Internal Wall'!Z94</f>
        <v>0</v>
      </c>
      <c r="Q65" s="13">
        <f>+'Internal Wall'!AA94</f>
        <v>0</v>
      </c>
      <c r="R65" s="13">
        <f>+'Internal Wall'!AB94</f>
        <v>0</v>
      </c>
      <c r="S65" s="13">
        <f>+'Internal Wall'!AC94</f>
        <v>0</v>
      </c>
      <c r="T65" s="13">
        <f>+'Internal Wall'!AD94</f>
        <v>0</v>
      </c>
      <c r="U65" s="13">
        <f>+'Internal Wall'!AE94</f>
        <v>0</v>
      </c>
      <c r="V65" s="13">
        <f>+'Internal Wall'!AF94</f>
        <v>0</v>
      </c>
      <c r="W65" s="13">
        <f>+'Internal Wall'!AG94</f>
        <v>0</v>
      </c>
      <c r="X65" s="13">
        <f>+'Internal Wall'!AH94</f>
        <v>0</v>
      </c>
      <c r="Y65" s="13">
        <f>+'Internal Wall'!AI94</f>
        <v>0</v>
      </c>
      <c r="Z65" s="13">
        <f>+'Internal Wall'!AJ94</f>
        <v>0</v>
      </c>
      <c r="AA65" s="13">
        <f>+'Internal Wall'!AK94</f>
        <v>24</v>
      </c>
      <c r="AB65" s="13">
        <f>+'Internal Wall'!AL94</f>
        <v>0</v>
      </c>
      <c r="AC65" s="13">
        <f>+'Internal Wall'!AM94</f>
        <v>0</v>
      </c>
      <c r="AD65" s="13">
        <f>+'Internal Wall'!AN94</f>
        <v>21</v>
      </c>
      <c r="AE65" s="13">
        <f>+'Internal Wall'!AO94</f>
        <v>0</v>
      </c>
      <c r="AF65" s="274">
        <f>+'Internal Wall'!AP94</f>
        <v>0</v>
      </c>
      <c r="AG65" s="162">
        <f>+'Internal Wall'!AQ94</f>
        <v>0</v>
      </c>
      <c r="AH65" s="73">
        <f>+'Internal Wall'!AR94</f>
        <v>0</v>
      </c>
      <c r="AI65" s="13">
        <f>+'Internal Wall'!AS94</f>
        <v>0</v>
      </c>
      <c r="AJ65" s="13">
        <f>+'Internal Wall'!AT94</f>
        <v>0</v>
      </c>
      <c r="AK65" s="13">
        <f>+'Internal Wall'!AU94</f>
        <v>0</v>
      </c>
      <c r="AL65" s="13">
        <f>+'Internal Wall'!AV94</f>
        <v>6</v>
      </c>
      <c r="AM65" s="13">
        <f>+'Internal Wall'!AW94</f>
        <v>0</v>
      </c>
      <c r="AN65" s="13">
        <f>+'Internal Wall'!AX94</f>
        <v>0</v>
      </c>
      <c r="AO65" s="13">
        <f>+'Internal Wall'!AY94</f>
        <v>0</v>
      </c>
      <c r="AP65" s="13">
        <f>+'Internal Wall'!AZ94</f>
        <v>0</v>
      </c>
      <c r="AQ65" s="13">
        <f>+'Internal Wall'!BA94</f>
        <v>14</v>
      </c>
      <c r="AR65" s="13">
        <f>+'Internal Wall'!BB94</f>
        <v>0</v>
      </c>
      <c r="AS65" s="13">
        <f>+'Internal Wall'!BC94</f>
        <v>0</v>
      </c>
      <c r="AT65" s="13">
        <f>+'Internal Wall'!BD94</f>
        <v>0</v>
      </c>
      <c r="AU65" s="13">
        <f>+'Internal Wall'!BE94</f>
        <v>36</v>
      </c>
      <c r="AV65" s="13">
        <f>+'Internal Wall'!BF94</f>
        <v>0</v>
      </c>
      <c r="AW65" s="13">
        <f>+'Internal Wall'!BG94</f>
        <v>0</v>
      </c>
      <c r="AX65" s="13">
        <f>+'Internal Wall'!BH94</f>
        <v>0</v>
      </c>
      <c r="AY65" s="13">
        <f>+'Internal Wall'!BI94</f>
        <v>0</v>
      </c>
      <c r="AZ65" s="13">
        <f>+'Internal Wall'!BJ94</f>
        <v>0</v>
      </c>
      <c r="BA65" s="13">
        <f>+'Internal Wall'!BK94</f>
        <v>0</v>
      </c>
      <c r="BB65" s="13">
        <f>+'Internal Wall'!BL94</f>
        <v>0</v>
      </c>
      <c r="BC65" s="13">
        <f>+'Internal Wall'!BM94</f>
        <v>0</v>
      </c>
      <c r="BD65" s="13">
        <f>+'Internal Wall'!BN94</f>
        <v>0</v>
      </c>
      <c r="BE65" s="13">
        <f>+'Internal Wall'!BO94</f>
        <v>0</v>
      </c>
      <c r="BF65" s="13">
        <f>+'Internal Wall'!BP94</f>
        <v>0</v>
      </c>
      <c r="BG65" s="13">
        <f>+'Internal Wall'!BQ94</f>
        <v>0</v>
      </c>
      <c r="BH65" s="13">
        <f>+'Internal Wall'!BR94</f>
        <v>0</v>
      </c>
      <c r="BI65" s="13">
        <f>+'Internal Wall'!BS94</f>
        <v>3.5</v>
      </c>
      <c r="BJ65" s="13">
        <f>+'Internal Wall'!BT94</f>
        <v>8</v>
      </c>
      <c r="BK65" s="13">
        <f>+'Internal Wall'!BU94</f>
        <v>0</v>
      </c>
      <c r="BL65" s="274">
        <f>+'Internal Wall'!BV94</f>
        <v>0</v>
      </c>
      <c r="BM65" s="295">
        <f>+'Internal Wall'!BW94</f>
        <v>0</v>
      </c>
      <c r="BN65" s="13">
        <f>+'Internal Wall'!BX94</f>
        <v>0</v>
      </c>
      <c r="BO65" s="13">
        <f>+'Internal Wall'!BY94</f>
        <v>23.4</v>
      </c>
      <c r="BP65" s="13">
        <f>+'Internal Wall'!BZ94</f>
        <v>0</v>
      </c>
      <c r="BQ65" s="13">
        <f>+'Internal Wall'!CA94</f>
        <v>0</v>
      </c>
      <c r="BR65" s="13">
        <f>+'Internal Wall'!CB94</f>
        <v>0</v>
      </c>
      <c r="BS65" s="13">
        <f>+'Internal Wall'!CC94</f>
        <v>0</v>
      </c>
      <c r="BT65" s="13">
        <f>+'Internal Wall'!CD94</f>
        <v>0</v>
      </c>
      <c r="BU65" s="13">
        <f>+'Internal Wall'!CE94</f>
        <v>0</v>
      </c>
      <c r="BV65" s="13">
        <f>+'Internal Wall'!CF94</f>
        <v>0</v>
      </c>
      <c r="BW65" s="13">
        <f>+'Internal Wall'!CG94</f>
        <v>0</v>
      </c>
      <c r="BX65" s="13">
        <f>+'Internal Wall'!CH94</f>
        <v>0</v>
      </c>
      <c r="BY65" s="13">
        <f>+'Internal Wall'!CI94</f>
        <v>70.599999999999994</v>
      </c>
      <c r="BZ65" s="13">
        <f>+'Internal Wall'!CJ94</f>
        <v>0</v>
      </c>
      <c r="CA65" s="13">
        <f>+'Internal Wall'!CK94</f>
        <v>0</v>
      </c>
      <c r="CB65" s="13">
        <f>+'Internal Wall'!CL94</f>
        <v>0</v>
      </c>
      <c r="CC65" s="13">
        <f>+'Internal Wall'!CM94</f>
        <v>7</v>
      </c>
      <c r="CD65" s="13">
        <f>+'Internal Wall'!CN94</f>
        <v>0</v>
      </c>
      <c r="CE65" s="13">
        <f>+'Internal Wall'!CO94</f>
        <v>13</v>
      </c>
      <c r="CF65" s="13">
        <f>+'Internal Wall'!CP94</f>
        <v>0</v>
      </c>
      <c r="CG65" s="13">
        <f>+'Internal Wall'!CQ94</f>
        <v>0</v>
      </c>
      <c r="CH65" s="13">
        <f>+'Internal Wall'!CR94</f>
        <v>0</v>
      </c>
      <c r="CI65" s="13">
        <f>+'Internal Wall'!CS94</f>
        <v>0</v>
      </c>
      <c r="CJ65" s="13">
        <f>+'Internal Wall'!CT94</f>
        <v>0</v>
      </c>
      <c r="CK65" s="13">
        <f>+'Internal Wall'!CU94</f>
        <v>0</v>
      </c>
      <c r="CL65" s="13">
        <f>+'Internal Wall'!CV94</f>
        <v>0</v>
      </c>
      <c r="CM65" s="13">
        <f>+'Internal Wall'!CW94</f>
        <v>0</v>
      </c>
      <c r="CN65" s="13">
        <f>+'Internal Wall'!CX94</f>
        <v>25</v>
      </c>
      <c r="CO65" s="13">
        <f>+'Internal Wall'!CY94</f>
        <v>0</v>
      </c>
      <c r="CP65" s="13">
        <f>+'Internal Wall'!CZ94</f>
        <v>50.6</v>
      </c>
      <c r="CQ65" s="101">
        <f>+'Internal Wall'!DA94</f>
        <v>0</v>
      </c>
      <c r="CR65" s="73">
        <f>+'Internal Wall'!DB94</f>
        <v>0</v>
      </c>
      <c r="CS65" s="13">
        <f>+'Internal Wall'!DC94</f>
        <v>0</v>
      </c>
      <c r="CT65" s="13">
        <f>+'Internal Wall'!DD94</f>
        <v>0</v>
      </c>
      <c r="CU65" s="13">
        <f>+'Internal Wall'!DE94</f>
        <v>21.5</v>
      </c>
      <c r="CV65" s="13">
        <f>+'Internal Wall'!DF94</f>
        <v>0</v>
      </c>
      <c r="CW65" s="13">
        <f>+'Internal Wall'!DG94</f>
        <v>0</v>
      </c>
      <c r="CX65" s="13">
        <f>+'Internal Wall'!DH94</f>
        <v>0</v>
      </c>
      <c r="CY65" s="13">
        <f>+'Internal Wall'!DI94</f>
        <v>0</v>
      </c>
      <c r="CZ65" s="13">
        <f>+'Internal Wall'!DJ94</f>
        <v>18</v>
      </c>
      <c r="DA65" s="13">
        <f>+'Internal Wall'!DK94</f>
        <v>21</v>
      </c>
      <c r="DB65" s="13">
        <f>+'Internal Wall'!DL94</f>
        <v>10.5</v>
      </c>
      <c r="DC65" s="13">
        <f>+'Internal Wall'!DM94</f>
        <v>12</v>
      </c>
      <c r="DD65" s="13">
        <f>+'Internal Wall'!DN94</f>
        <v>6.05</v>
      </c>
      <c r="DE65" s="13">
        <f>+'Internal Wall'!DO94</f>
        <v>13.75</v>
      </c>
      <c r="DF65" s="13">
        <f>+'Internal Wall'!DP94</f>
        <v>0</v>
      </c>
      <c r="DG65" s="13">
        <f>+'Internal Wall'!DQ94</f>
        <v>17.5</v>
      </c>
      <c r="DH65" s="13">
        <f>+'Internal Wall'!DR94</f>
        <v>1.5</v>
      </c>
      <c r="DI65" s="13">
        <f>+'Internal Wall'!DS94</f>
        <v>0</v>
      </c>
      <c r="DJ65" s="13">
        <f>+'Internal Wall'!DT94</f>
        <v>0</v>
      </c>
      <c r="DK65" s="13">
        <f>+'Internal Wall'!DU94</f>
        <v>6.6</v>
      </c>
      <c r="DL65" s="13">
        <f>+'Internal Wall'!DV94</f>
        <v>0</v>
      </c>
      <c r="DM65" s="13">
        <f>+'Internal Wall'!DW94</f>
        <v>0</v>
      </c>
      <c r="DN65" s="13">
        <f>+'Internal Wall'!DX94</f>
        <v>33.6</v>
      </c>
      <c r="DO65" s="13">
        <f>+'Internal Wall'!DY94</f>
        <v>0</v>
      </c>
      <c r="DP65" s="13">
        <f>+'Internal Wall'!DZ94</f>
        <v>23.2</v>
      </c>
      <c r="DQ65" s="13">
        <f>+'Internal Wall'!EA94</f>
        <v>0</v>
      </c>
      <c r="DR65" s="13">
        <f>+'Internal Wall'!EB94</f>
        <v>0</v>
      </c>
      <c r="DS65" s="13">
        <f>+'Internal Wall'!EC94</f>
        <v>0</v>
      </c>
      <c r="DT65" s="13">
        <f>+'Internal Wall'!ED94</f>
        <v>0</v>
      </c>
      <c r="DU65" s="13">
        <f>+'Internal Wall'!EE94</f>
        <v>0</v>
      </c>
      <c r="DV65" s="274">
        <f>+'Internal Wall'!EF94</f>
        <v>14.3</v>
      </c>
      <c r="DW65" s="73">
        <f>+'Internal Wall'!EG94</f>
        <v>10</v>
      </c>
      <c r="DX65" s="13">
        <f>+'Internal Wall'!EH94</f>
        <v>12.25</v>
      </c>
      <c r="DY65" s="13">
        <f>+'Internal Wall'!EI94</f>
        <v>0</v>
      </c>
      <c r="DZ65" s="13">
        <f>+'Internal Wall'!EJ94</f>
        <v>11.05</v>
      </c>
      <c r="EA65" s="13">
        <f>+'Internal Wall'!EK94</f>
        <v>0</v>
      </c>
      <c r="EB65" s="13">
        <f>+'Internal Wall'!EL94</f>
        <v>9.5</v>
      </c>
      <c r="EC65" s="13">
        <f>+'Internal Wall'!EM94</f>
        <v>9.85</v>
      </c>
      <c r="ED65" s="13">
        <f>+'Internal Wall'!EN94</f>
        <v>14</v>
      </c>
      <c r="EE65" s="13">
        <f>+'Internal Wall'!EO94</f>
        <v>3</v>
      </c>
      <c r="EF65" s="13">
        <f>+'Internal Wall'!EP94</f>
        <v>0</v>
      </c>
      <c r="EG65" s="13">
        <f>+'Internal Wall'!EQ94</f>
        <v>14</v>
      </c>
      <c r="EH65" s="13">
        <f>+'Internal Wall'!ER94</f>
        <v>0</v>
      </c>
      <c r="EI65" s="13">
        <f>+'Internal Wall'!ES94</f>
        <v>0</v>
      </c>
      <c r="EJ65" s="13">
        <f>+'Internal Wall'!ET94</f>
        <v>0</v>
      </c>
      <c r="EK65" s="13">
        <f>+'Internal Wall'!EU94</f>
        <v>0</v>
      </c>
      <c r="EL65" s="13">
        <f>+'Internal Wall'!EV94</f>
        <v>24.55</v>
      </c>
      <c r="EM65" s="13">
        <f>+'Internal Wall'!EW94</f>
        <v>11.4</v>
      </c>
      <c r="EN65" s="13">
        <f>+'Internal Wall'!EX94</f>
        <v>13.5</v>
      </c>
      <c r="EO65" s="13">
        <f>+'Internal Wall'!EY94</f>
        <v>0</v>
      </c>
      <c r="EP65" s="13">
        <f>+'Internal Wall'!EZ94</f>
        <v>7.5</v>
      </c>
      <c r="EQ65" s="13">
        <f>+'Internal Wall'!FA94</f>
        <v>0</v>
      </c>
      <c r="ER65" s="13">
        <f>+'Internal Wall'!FB94</f>
        <v>6</v>
      </c>
      <c r="ES65" s="13">
        <f>+'Internal Wall'!FC94</f>
        <v>1</v>
      </c>
      <c r="ET65" s="13">
        <f>+'Internal Wall'!FD94</f>
        <v>8.75</v>
      </c>
      <c r="EU65" s="13">
        <f>+'Internal Wall'!FE94</f>
        <v>3.5</v>
      </c>
      <c r="EV65" s="13">
        <f>+'Internal Wall'!FF94</f>
        <v>0</v>
      </c>
      <c r="EW65" s="13">
        <f>+'Internal Wall'!FG94</f>
        <v>33.299999999999997</v>
      </c>
      <c r="EX65" s="13">
        <f>+'Internal Wall'!FH94</f>
        <v>0</v>
      </c>
      <c r="EY65" s="13">
        <f>+'Internal Wall'!FI94</f>
        <v>0</v>
      </c>
      <c r="EZ65" s="101">
        <f>+'Internal Wall'!FJ94</f>
        <v>10.4</v>
      </c>
      <c r="FA65" s="73">
        <f>+'Internal Wall'!FK94</f>
        <v>0</v>
      </c>
      <c r="FB65" s="13">
        <f>+'Internal Wall'!FL94</f>
        <v>7.5</v>
      </c>
      <c r="FC65" s="13">
        <f>+'Internal Wall'!FM94</f>
        <v>0</v>
      </c>
      <c r="FD65" s="13">
        <f>+'Internal Wall'!FN94</f>
        <v>9.5</v>
      </c>
      <c r="FE65" s="13">
        <f>+'Internal Wall'!FO94</f>
        <v>0</v>
      </c>
      <c r="FF65" s="13">
        <f>+'Internal Wall'!FP94</f>
        <v>0</v>
      </c>
      <c r="FG65" s="13">
        <f>+'Internal Wall'!FQ94</f>
        <v>0</v>
      </c>
      <c r="FH65" s="13">
        <f>+'Internal Wall'!FR94</f>
        <v>10</v>
      </c>
      <c r="FI65" s="13">
        <f>+'Internal Wall'!FS94</f>
        <v>0</v>
      </c>
      <c r="FJ65" s="13">
        <f>+'Internal Wall'!FT94</f>
        <v>0</v>
      </c>
      <c r="FK65" s="13">
        <f>+'Internal Wall'!FU94</f>
        <v>0</v>
      </c>
      <c r="FL65" s="13">
        <f>+'Internal Wall'!FV94</f>
        <v>0</v>
      </c>
      <c r="FM65" s="13">
        <f>+'Internal Wall'!FW94</f>
        <v>0</v>
      </c>
      <c r="FN65" s="13">
        <f>+'Internal Wall'!FX94</f>
        <v>8.75</v>
      </c>
      <c r="FO65" s="13">
        <f>+'Internal Wall'!FY94</f>
        <v>0</v>
      </c>
      <c r="FP65" s="13">
        <f>+'Internal Wall'!FZ94</f>
        <v>0</v>
      </c>
      <c r="FQ65" s="13">
        <f>+'Internal Wall'!GA94</f>
        <v>4.75</v>
      </c>
      <c r="FR65" s="13">
        <f>+'Internal Wall'!GB94</f>
        <v>0</v>
      </c>
      <c r="FS65" s="13">
        <f>+'Internal Wall'!GC94</f>
        <v>0</v>
      </c>
      <c r="FT65" s="13">
        <f>+'Internal Wall'!GD94</f>
        <v>0</v>
      </c>
      <c r="FU65" s="13">
        <f>+'Internal Wall'!GE94</f>
        <v>0</v>
      </c>
      <c r="FV65" s="13">
        <f>+'Internal Wall'!GF94</f>
        <v>7.75</v>
      </c>
      <c r="FW65" s="13">
        <f>+'Internal Wall'!GG94</f>
        <v>5.5</v>
      </c>
      <c r="FX65" s="13">
        <f>+'Internal Wall'!GH94</f>
        <v>0</v>
      </c>
      <c r="FY65" s="13">
        <f>+'Internal Wall'!GI94</f>
        <v>0</v>
      </c>
      <c r="FZ65" s="13">
        <f>+'Internal Wall'!GJ94</f>
        <v>0</v>
      </c>
      <c r="GA65" s="13">
        <f>+'Internal Wall'!GK94</f>
        <v>0</v>
      </c>
      <c r="GB65" s="13">
        <f>+'Internal Wall'!GL94</f>
        <v>0</v>
      </c>
      <c r="GC65" s="13">
        <f>+'Internal Wall'!GM94</f>
        <v>0</v>
      </c>
      <c r="GD65" s="13">
        <f>+'Internal Wall'!GN94</f>
        <v>0</v>
      </c>
      <c r="GE65" s="101">
        <f>+'Internal Wall'!GO94</f>
        <v>0</v>
      </c>
      <c r="GF65" s="73">
        <f>+'Internal Wall'!GP94</f>
        <v>0</v>
      </c>
      <c r="GG65" s="13">
        <f>+'Internal Wall'!GQ94</f>
        <v>10.199999999999999</v>
      </c>
      <c r="GH65" s="13">
        <f>+'Internal Wall'!GR94</f>
        <v>0</v>
      </c>
      <c r="GI65" s="13">
        <f>+'Internal Wall'!GS94</f>
        <v>0</v>
      </c>
      <c r="GJ65" s="13">
        <f>+'Internal Wall'!GT94</f>
        <v>0</v>
      </c>
      <c r="GK65" s="13">
        <f>+'Internal Wall'!GU94</f>
        <v>1.4</v>
      </c>
      <c r="GL65" s="13">
        <f>+'Internal Wall'!GV94</f>
        <v>0</v>
      </c>
      <c r="GM65" s="13">
        <f>+'Internal Wall'!GW94</f>
        <v>0</v>
      </c>
      <c r="GN65" s="13">
        <f>+'Internal Wall'!GX94</f>
        <v>0</v>
      </c>
      <c r="GO65" s="13">
        <f>+'Internal Wall'!GY94</f>
        <v>0</v>
      </c>
      <c r="GP65" s="13">
        <f>+'Internal Wall'!GZ94</f>
        <v>0</v>
      </c>
      <c r="GQ65" s="13">
        <f>+'Internal Wall'!HA94</f>
        <v>0</v>
      </c>
      <c r="GR65" s="13">
        <f>+'Internal Wall'!HB94</f>
        <v>0</v>
      </c>
      <c r="GS65" s="13">
        <f>+'Internal Wall'!HC94</f>
        <v>0</v>
      </c>
      <c r="GT65" s="13">
        <f>+'Internal Wall'!HD94</f>
        <v>0</v>
      </c>
      <c r="GU65" s="13">
        <f>+'Internal Wall'!HE94</f>
        <v>0</v>
      </c>
      <c r="GV65" s="13">
        <f>+'Internal Wall'!HF94</f>
        <v>0</v>
      </c>
      <c r="GW65" s="13">
        <f>+'Internal Wall'!HG94</f>
        <v>0</v>
      </c>
      <c r="GX65" s="13">
        <f>+'Internal Wall'!HH94</f>
        <v>0</v>
      </c>
      <c r="GY65" s="101">
        <f>+'Internal Wall'!HI94</f>
        <v>0</v>
      </c>
      <c r="GZ65" s="451"/>
    </row>
    <row r="66" spans="1:208" ht="15" hidden="1" customHeight="1" thickBot="1" x14ac:dyDescent="0.4">
      <c r="A66" s="479"/>
      <c r="B66" s="474"/>
      <c r="C66" s="23" t="s">
        <v>83</v>
      </c>
      <c r="D66" s="2" t="s">
        <v>87</v>
      </c>
      <c r="E66" s="73">
        <f>+'External Wall'!O44</f>
        <v>0</v>
      </c>
      <c r="F66" s="13">
        <f>+'External Wall'!P44</f>
        <v>0</v>
      </c>
      <c r="G66" s="13">
        <f>+'External Wall'!Q44</f>
        <v>0</v>
      </c>
      <c r="H66" s="13">
        <f>+'External Wall'!R44</f>
        <v>0</v>
      </c>
      <c r="I66" s="13">
        <f>+'External Wall'!S44</f>
        <v>0</v>
      </c>
      <c r="J66" s="13">
        <f>+'External Wall'!T44</f>
        <v>0</v>
      </c>
      <c r="K66" s="13">
        <f>+'External Wall'!U44</f>
        <v>0</v>
      </c>
      <c r="L66" s="13">
        <f>+'External Wall'!V44</f>
        <v>0</v>
      </c>
      <c r="M66" s="13">
        <f>+'External Wall'!W44</f>
        <v>0</v>
      </c>
      <c r="N66" s="13">
        <f>+'External Wall'!X44</f>
        <v>0</v>
      </c>
      <c r="O66" s="13">
        <f>+'External Wall'!Y44</f>
        <v>0</v>
      </c>
      <c r="P66" s="13">
        <f>+'External Wall'!Z44</f>
        <v>0</v>
      </c>
      <c r="Q66" s="13">
        <f>+'External Wall'!AA44</f>
        <v>0</v>
      </c>
      <c r="R66" s="13">
        <f>+'External Wall'!AB44</f>
        <v>0</v>
      </c>
      <c r="S66" s="13">
        <f>+'External Wall'!AC44</f>
        <v>0</v>
      </c>
      <c r="T66" s="13">
        <f>+'External Wall'!AD44</f>
        <v>0</v>
      </c>
      <c r="U66" s="13">
        <f>+'External Wall'!AE44</f>
        <v>0</v>
      </c>
      <c r="V66" s="13">
        <f>+'External Wall'!AF44</f>
        <v>0</v>
      </c>
      <c r="W66" s="13">
        <f>+'External Wall'!AG44</f>
        <v>0</v>
      </c>
      <c r="X66" s="13">
        <f>+'External Wall'!AH44</f>
        <v>0</v>
      </c>
      <c r="Y66" s="13">
        <f>+'External Wall'!AI44</f>
        <v>0</v>
      </c>
      <c r="Z66" s="13">
        <f>+'External Wall'!AJ44</f>
        <v>0</v>
      </c>
      <c r="AA66" s="13">
        <f>+'External Wall'!AK44</f>
        <v>0</v>
      </c>
      <c r="AB66" s="13">
        <f>+'External Wall'!AL44</f>
        <v>0</v>
      </c>
      <c r="AC66" s="13">
        <f>+'External Wall'!AM44</f>
        <v>0</v>
      </c>
      <c r="AD66" s="13">
        <f>+'External Wall'!AN44</f>
        <v>0</v>
      </c>
      <c r="AE66" s="13">
        <f>+'External Wall'!AO44</f>
        <v>0</v>
      </c>
      <c r="AF66" s="274">
        <f>+'External Wall'!AP44</f>
        <v>0</v>
      </c>
      <c r="AG66" s="162">
        <f>+'External Wall'!AQ44</f>
        <v>0</v>
      </c>
      <c r="AH66" s="73">
        <f>+'External Wall'!AR44</f>
        <v>0</v>
      </c>
      <c r="AI66" s="13">
        <f>+'External Wall'!AS44</f>
        <v>0</v>
      </c>
      <c r="AJ66" s="13">
        <f>+'External Wall'!AT44</f>
        <v>0</v>
      </c>
      <c r="AK66" s="13">
        <f>+'External Wall'!AU44</f>
        <v>0</v>
      </c>
      <c r="AL66" s="13">
        <f>+'External Wall'!AV44</f>
        <v>0</v>
      </c>
      <c r="AM66" s="13">
        <f>+'External Wall'!AW44</f>
        <v>0</v>
      </c>
      <c r="AN66" s="13">
        <f>+'External Wall'!AX44</f>
        <v>0</v>
      </c>
      <c r="AO66" s="13">
        <f>+'External Wall'!AY44</f>
        <v>0</v>
      </c>
      <c r="AP66" s="13">
        <f>+'External Wall'!AZ44</f>
        <v>0</v>
      </c>
      <c r="AQ66" s="13">
        <f>+'External Wall'!BA44</f>
        <v>0</v>
      </c>
      <c r="AR66" s="13">
        <f>+'External Wall'!BB44</f>
        <v>0</v>
      </c>
      <c r="AS66" s="13">
        <f>+'External Wall'!BC44</f>
        <v>0</v>
      </c>
      <c r="AT66" s="13">
        <f>+'External Wall'!BD44</f>
        <v>0</v>
      </c>
      <c r="AU66" s="13">
        <f>+'External Wall'!BE44</f>
        <v>0</v>
      </c>
      <c r="AV66" s="13">
        <f>+'External Wall'!BF44</f>
        <v>0</v>
      </c>
      <c r="AW66" s="13">
        <f>+'External Wall'!BG44</f>
        <v>0</v>
      </c>
      <c r="AX66" s="13">
        <f>+'External Wall'!BH44</f>
        <v>0</v>
      </c>
      <c r="AY66" s="13">
        <f>+'External Wall'!BI44</f>
        <v>0</v>
      </c>
      <c r="AZ66" s="13">
        <f>+'External Wall'!BJ44</f>
        <v>0</v>
      </c>
      <c r="BA66" s="13">
        <f>+'External Wall'!BK44</f>
        <v>0</v>
      </c>
      <c r="BB66" s="13">
        <f>+'External Wall'!BL44</f>
        <v>0</v>
      </c>
      <c r="BC66" s="13">
        <f>+'External Wall'!BM44</f>
        <v>0</v>
      </c>
      <c r="BD66" s="13">
        <f>+'External Wall'!BN44</f>
        <v>0</v>
      </c>
      <c r="BE66" s="13">
        <f>+'External Wall'!BO44</f>
        <v>0</v>
      </c>
      <c r="BF66" s="13">
        <f>+'External Wall'!BP44</f>
        <v>0</v>
      </c>
      <c r="BG66" s="13">
        <f>+'External Wall'!BQ44</f>
        <v>0</v>
      </c>
      <c r="BH66" s="13">
        <f>+'External Wall'!BR44</f>
        <v>0</v>
      </c>
      <c r="BI66" s="13">
        <f>+'External Wall'!BS44</f>
        <v>0</v>
      </c>
      <c r="BJ66" s="13">
        <f>+'External Wall'!BT44</f>
        <v>0</v>
      </c>
      <c r="BK66" s="13">
        <f>+'External Wall'!BU44</f>
        <v>0</v>
      </c>
      <c r="BL66" s="274">
        <f>+'External Wall'!BV44</f>
        <v>0</v>
      </c>
      <c r="BM66" s="295">
        <f>+'External Wall'!BW44</f>
        <v>0</v>
      </c>
      <c r="BN66" s="13">
        <f>+'External Wall'!BX44</f>
        <v>5.0999999999999996</v>
      </c>
      <c r="BO66" s="13">
        <f>+'External Wall'!BY44</f>
        <v>0</v>
      </c>
      <c r="BP66" s="13">
        <f>+'External Wall'!BZ44</f>
        <v>0</v>
      </c>
      <c r="BQ66" s="13">
        <f>+'External Wall'!CA44</f>
        <v>0</v>
      </c>
      <c r="BR66" s="13">
        <f>+'External Wall'!CB44</f>
        <v>4.7</v>
      </c>
      <c r="BS66" s="13">
        <f>+'External Wall'!CC44</f>
        <v>0</v>
      </c>
      <c r="BT66" s="13">
        <f>+'External Wall'!CD44</f>
        <v>0</v>
      </c>
      <c r="BU66" s="13">
        <f>+'External Wall'!CE44</f>
        <v>0</v>
      </c>
      <c r="BV66" s="13">
        <f>+'External Wall'!CF44</f>
        <v>0</v>
      </c>
      <c r="BW66" s="13">
        <f>+'External Wall'!CG44</f>
        <v>0</v>
      </c>
      <c r="BX66" s="13">
        <f>+'External Wall'!CH44</f>
        <v>0</v>
      </c>
      <c r="BY66" s="13">
        <f>+'External Wall'!CI44</f>
        <v>0</v>
      </c>
      <c r="BZ66" s="13">
        <f>+'External Wall'!CJ44</f>
        <v>24.1</v>
      </c>
      <c r="CA66" s="13">
        <f>+'External Wall'!CK44</f>
        <v>0</v>
      </c>
      <c r="CB66" s="13">
        <f>+'External Wall'!CL44</f>
        <v>0</v>
      </c>
      <c r="CC66" s="13">
        <f>+'External Wall'!CM44</f>
        <v>9</v>
      </c>
      <c r="CD66" s="13">
        <f>+'External Wall'!CN44</f>
        <v>0</v>
      </c>
      <c r="CE66" s="13">
        <f>+'External Wall'!CO44</f>
        <v>15.5</v>
      </c>
      <c r="CF66" s="13">
        <f>+'External Wall'!CP44</f>
        <v>0</v>
      </c>
      <c r="CG66" s="13">
        <f>+'External Wall'!CQ44</f>
        <v>0</v>
      </c>
      <c r="CH66" s="13">
        <f>+'External Wall'!CR44</f>
        <v>0</v>
      </c>
      <c r="CI66" s="13">
        <f>+'External Wall'!CS44</f>
        <v>0</v>
      </c>
      <c r="CJ66" s="13">
        <f>+'External Wall'!CT44</f>
        <v>0</v>
      </c>
      <c r="CK66" s="13">
        <f>+'External Wall'!CU44</f>
        <v>0</v>
      </c>
      <c r="CL66" s="13">
        <f>+'External Wall'!CV44</f>
        <v>0</v>
      </c>
      <c r="CM66" s="13">
        <f>+'External Wall'!CW44</f>
        <v>0</v>
      </c>
      <c r="CN66" s="13">
        <f>+'External Wall'!CX44</f>
        <v>0</v>
      </c>
      <c r="CO66" s="13">
        <f>+'External Wall'!CY44</f>
        <v>0</v>
      </c>
      <c r="CP66" s="13">
        <f>+'External Wall'!CZ44</f>
        <v>19</v>
      </c>
      <c r="CQ66" s="101">
        <f>+'External Wall'!DA44</f>
        <v>0</v>
      </c>
      <c r="CR66" s="73">
        <f>+'External Wall'!DB44</f>
        <v>0</v>
      </c>
      <c r="CS66" s="13">
        <f>+'External Wall'!DC44</f>
        <v>0</v>
      </c>
      <c r="CT66" s="13">
        <f>+'External Wall'!DD44</f>
        <v>31</v>
      </c>
      <c r="CU66" s="13">
        <f>+'External Wall'!DE44</f>
        <v>0</v>
      </c>
      <c r="CV66" s="13">
        <f>+'External Wall'!DF44</f>
        <v>0</v>
      </c>
      <c r="CW66" s="13">
        <f>+'External Wall'!DG44</f>
        <v>0</v>
      </c>
      <c r="CX66" s="13">
        <f>+'External Wall'!DH44</f>
        <v>0</v>
      </c>
      <c r="CY66" s="13">
        <f>+'External Wall'!DI44</f>
        <v>0</v>
      </c>
      <c r="CZ66" s="13">
        <f>+'External Wall'!DJ44</f>
        <v>0</v>
      </c>
      <c r="DA66" s="13">
        <f>+'External Wall'!DK44</f>
        <v>0</v>
      </c>
      <c r="DB66" s="13">
        <f>+'External Wall'!DL44</f>
        <v>0</v>
      </c>
      <c r="DC66" s="13">
        <f>+'External Wall'!DM44</f>
        <v>0</v>
      </c>
      <c r="DD66" s="13">
        <f>+'External Wall'!DN44</f>
        <v>0</v>
      </c>
      <c r="DE66" s="13">
        <f>+'External Wall'!DO44</f>
        <v>0</v>
      </c>
      <c r="DF66" s="13">
        <f>+'External Wall'!DP44</f>
        <v>0</v>
      </c>
      <c r="DG66" s="13">
        <f>+'External Wall'!DQ44</f>
        <v>0</v>
      </c>
      <c r="DH66" s="13">
        <f>+'External Wall'!DR44</f>
        <v>0</v>
      </c>
      <c r="DI66" s="13">
        <f>+'External Wall'!DS44</f>
        <v>0</v>
      </c>
      <c r="DJ66" s="13">
        <f>+'External Wall'!DT44</f>
        <v>0</v>
      </c>
      <c r="DK66" s="13">
        <f>+'External Wall'!DU44</f>
        <v>0</v>
      </c>
      <c r="DL66" s="13">
        <f>+'External Wall'!DV44</f>
        <v>0</v>
      </c>
      <c r="DM66" s="13">
        <f>+'External Wall'!DW44</f>
        <v>0</v>
      </c>
      <c r="DN66" s="13">
        <f>+'External Wall'!DX44</f>
        <v>0</v>
      </c>
      <c r="DO66" s="13">
        <f>+'External Wall'!DY44</f>
        <v>0</v>
      </c>
      <c r="DP66" s="13">
        <f>+'External Wall'!DZ44</f>
        <v>0</v>
      </c>
      <c r="DQ66" s="13">
        <f>+'External Wall'!EA44</f>
        <v>0</v>
      </c>
      <c r="DR66" s="13">
        <f>+'External Wall'!EB44</f>
        <v>0</v>
      </c>
      <c r="DS66" s="13">
        <f>+'External Wall'!EC44</f>
        <v>0</v>
      </c>
      <c r="DT66" s="13">
        <f>+'External Wall'!ED44</f>
        <v>0</v>
      </c>
      <c r="DU66" s="13">
        <f>+'External Wall'!EE44</f>
        <v>0</v>
      </c>
      <c r="DV66" s="274">
        <f>+'External Wall'!EF44</f>
        <v>0</v>
      </c>
      <c r="DW66" s="73">
        <f>+'External Wall'!EG44</f>
        <v>0</v>
      </c>
      <c r="DX66" s="13">
        <f>+'External Wall'!EH44</f>
        <v>0</v>
      </c>
      <c r="DY66" s="13">
        <f>+'External Wall'!EI44</f>
        <v>0</v>
      </c>
      <c r="DZ66" s="13">
        <f>+'External Wall'!EJ44</f>
        <v>0</v>
      </c>
      <c r="EA66" s="13">
        <f>+'External Wall'!EK44</f>
        <v>0</v>
      </c>
      <c r="EB66" s="13">
        <f>+'External Wall'!EL44</f>
        <v>0</v>
      </c>
      <c r="EC66" s="13">
        <f>+'External Wall'!EM44</f>
        <v>0</v>
      </c>
      <c r="ED66" s="13">
        <f>+'External Wall'!EN44</f>
        <v>0</v>
      </c>
      <c r="EE66" s="13">
        <f>+'External Wall'!EO44</f>
        <v>0</v>
      </c>
      <c r="EF66" s="13">
        <f>+'External Wall'!EP44</f>
        <v>0</v>
      </c>
      <c r="EG66" s="13">
        <f>+'External Wall'!EQ44</f>
        <v>0</v>
      </c>
      <c r="EH66" s="13">
        <f>+'External Wall'!ER44</f>
        <v>0</v>
      </c>
      <c r="EI66" s="13">
        <f>+'External Wall'!ES44</f>
        <v>30</v>
      </c>
      <c r="EJ66" s="13">
        <f>+'External Wall'!ET44</f>
        <v>0</v>
      </c>
      <c r="EK66" s="13">
        <f>+'External Wall'!EU44</f>
        <v>0</v>
      </c>
      <c r="EL66" s="13">
        <f>+'External Wall'!EV44</f>
        <v>0</v>
      </c>
      <c r="EM66" s="13">
        <f>+'External Wall'!EW44</f>
        <v>0</v>
      </c>
      <c r="EN66" s="13">
        <f>+'External Wall'!EX44</f>
        <v>0</v>
      </c>
      <c r="EO66" s="13">
        <f>+'External Wall'!EY44</f>
        <v>0</v>
      </c>
      <c r="EP66" s="13">
        <f>+'External Wall'!EZ44</f>
        <v>0</v>
      </c>
      <c r="EQ66" s="13">
        <f>+'External Wall'!FA44</f>
        <v>0</v>
      </c>
      <c r="ER66" s="13">
        <f>+'External Wall'!FB44</f>
        <v>0</v>
      </c>
      <c r="ES66" s="13">
        <f>+'External Wall'!FC44</f>
        <v>0</v>
      </c>
      <c r="ET66" s="13">
        <f>+'External Wall'!FD44</f>
        <v>0</v>
      </c>
      <c r="EU66" s="13">
        <f>+'External Wall'!FE44</f>
        <v>0</v>
      </c>
      <c r="EV66" s="13">
        <f>+'External Wall'!FF44</f>
        <v>0</v>
      </c>
      <c r="EW66" s="13">
        <f>+'External Wall'!FG44</f>
        <v>0</v>
      </c>
      <c r="EX66" s="13">
        <f>+'External Wall'!FH44</f>
        <v>0</v>
      </c>
      <c r="EY66" s="13">
        <f>+'External Wall'!FI44</f>
        <v>0</v>
      </c>
      <c r="EZ66" s="101">
        <f>+'External Wall'!FJ44</f>
        <v>0</v>
      </c>
      <c r="FA66" s="73">
        <f>+'External Wall'!FK44</f>
        <v>0</v>
      </c>
      <c r="FB66" s="13">
        <f>+'External Wall'!FL44</f>
        <v>0</v>
      </c>
      <c r="FC66" s="13">
        <f>+'External Wall'!FM44</f>
        <v>0</v>
      </c>
      <c r="FD66" s="13">
        <f>+'External Wall'!FN44</f>
        <v>0</v>
      </c>
      <c r="FE66" s="13">
        <f>+'External Wall'!FO44</f>
        <v>0</v>
      </c>
      <c r="FF66" s="13">
        <f>+'External Wall'!FP44</f>
        <v>0</v>
      </c>
      <c r="FG66" s="13">
        <f>+'External Wall'!FQ44</f>
        <v>0</v>
      </c>
      <c r="FH66" s="13">
        <f>+'External Wall'!FR44</f>
        <v>0</v>
      </c>
      <c r="FI66" s="13">
        <f>+'External Wall'!FS44</f>
        <v>0</v>
      </c>
      <c r="FJ66" s="13">
        <f>+'External Wall'!FT44</f>
        <v>0</v>
      </c>
      <c r="FK66" s="13">
        <f>+'External Wall'!FU44</f>
        <v>0</v>
      </c>
      <c r="FL66" s="13">
        <f>+'External Wall'!FV44</f>
        <v>0</v>
      </c>
      <c r="FM66" s="13">
        <f>+'External Wall'!FW44</f>
        <v>0</v>
      </c>
      <c r="FN66" s="13">
        <f>+'External Wall'!FX44</f>
        <v>0</v>
      </c>
      <c r="FO66" s="13">
        <f>+'External Wall'!FY44</f>
        <v>0</v>
      </c>
      <c r="FP66" s="13">
        <f>+'External Wall'!FZ44</f>
        <v>0</v>
      </c>
      <c r="FQ66" s="13">
        <f>+'External Wall'!GA44</f>
        <v>0</v>
      </c>
      <c r="FR66" s="13">
        <f>+'External Wall'!GB44</f>
        <v>0</v>
      </c>
      <c r="FS66" s="13">
        <f>+'External Wall'!GC44</f>
        <v>0</v>
      </c>
      <c r="FT66" s="13">
        <f>+'External Wall'!GD44</f>
        <v>0</v>
      </c>
      <c r="FU66" s="13">
        <f>+'External Wall'!GE44</f>
        <v>0</v>
      </c>
      <c r="FV66" s="13">
        <f>+'External Wall'!GF44</f>
        <v>0</v>
      </c>
      <c r="FW66" s="13">
        <f>+'External Wall'!GG44</f>
        <v>0</v>
      </c>
      <c r="FX66" s="13">
        <f>+'External Wall'!GH44</f>
        <v>0</v>
      </c>
      <c r="FY66" s="13">
        <f>+'External Wall'!GI44</f>
        <v>0</v>
      </c>
      <c r="FZ66" s="13">
        <f>+'External Wall'!GJ44</f>
        <v>0</v>
      </c>
      <c r="GA66" s="13">
        <f>+'External Wall'!GK44</f>
        <v>0</v>
      </c>
      <c r="GB66" s="13">
        <f>+'External Wall'!GL44</f>
        <v>0</v>
      </c>
      <c r="GC66" s="13">
        <f>+'External Wall'!GM44</f>
        <v>0</v>
      </c>
      <c r="GD66" s="13">
        <f>+'External Wall'!GN44</f>
        <v>0</v>
      </c>
      <c r="GE66" s="101">
        <f>+'External Wall'!GO44</f>
        <v>0</v>
      </c>
      <c r="GF66" s="73">
        <f>+'External Wall'!GP44</f>
        <v>0</v>
      </c>
      <c r="GG66" s="13">
        <f>+'External Wall'!GQ44</f>
        <v>0</v>
      </c>
      <c r="GH66" s="13">
        <f>+'External Wall'!GR44</f>
        <v>3</v>
      </c>
      <c r="GI66" s="13">
        <f>+'External Wall'!GS44</f>
        <v>0</v>
      </c>
      <c r="GJ66" s="13">
        <f>+'External Wall'!GT44</f>
        <v>0</v>
      </c>
      <c r="GK66" s="13">
        <f>+'External Wall'!GU44</f>
        <v>0</v>
      </c>
      <c r="GL66" s="13">
        <f>+'External Wall'!GV44</f>
        <v>0</v>
      </c>
      <c r="GM66" s="13">
        <f>+'External Wall'!GW44</f>
        <v>0</v>
      </c>
      <c r="GN66" s="13">
        <f>+'External Wall'!GX44</f>
        <v>0</v>
      </c>
      <c r="GO66" s="13">
        <f>+'External Wall'!GY44</f>
        <v>0</v>
      </c>
      <c r="GP66" s="13">
        <f>+'External Wall'!GZ44</f>
        <v>0</v>
      </c>
      <c r="GQ66" s="13">
        <f>+'External Wall'!HA44</f>
        <v>0</v>
      </c>
      <c r="GR66" s="13">
        <f>+'External Wall'!HB44</f>
        <v>0</v>
      </c>
      <c r="GS66" s="13">
        <f>+'External Wall'!HC44</f>
        <v>0</v>
      </c>
      <c r="GT66" s="13">
        <f>+'External Wall'!HD44</f>
        <v>0</v>
      </c>
      <c r="GU66" s="13">
        <f>+'External Wall'!HE44</f>
        <v>0</v>
      </c>
      <c r="GV66" s="13">
        <f>+'External Wall'!HF44</f>
        <v>0</v>
      </c>
      <c r="GW66" s="13">
        <f>+'External Wall'!HG44</f>
        <v>0</v>
      </c>
      <c r="GX66" s="13">
        <f>+'External Wall'!HH44</f>
        <v>0</v>
      </c>
      <c r="GY66" s="101">
        <f>+'External Wall'!HI44</f>
        <v>0</v>
      </c>
      <c r="GZ66" s="451"/>
    </row>
    <row r="67" spans="1:208" ht="15" hidden="1" customHeight="1" thickBot="1" x14ac:dyDescent="0.4">
      <c r="A67" s="480"/>
      <c r="B67" s="475"/>
      <c r="C67" s="196" t="s">
        <v>84</v>
      </c>
      <c r="D67" s="195" t="s">
        <v>88</v>
      </c>
      <c r="E67" s="197">
        <f>+Slab!O80</f>
        <v>0</v>
      </c>
      <c r="F67" s="198">
        <f>+Slab!P80</f>
        <v>0</v>
      </c>
      <c r="G67" s="198">
        <f>+Slab!Q80</f>
        <v>0</v>
      </c>
      <c r="H67" s="198">
        <f>+Slab!R80</f>
        <v>0</v>
      </c>
      <c r="I67" s="198">
        <f>+Slab!S80</f>
        <v>0</v>
      </c>
      <c r="J67" s="198">
        <f>+Slab!T80</f>
        <v>0</v>
      </c>
      <c r="K67" s="198">
        <f>+Slab!U80</f>
        <v>0</v>
      </c>
      <c r="L67" s="198">
        <f>+Slab!V80</f>
        <v>0</v>
      </c>
      <c r="M67" s="198">
        <f>+Slab!W80</f>
        <v>0</v>
      </c>
      <c r="N67" s="198">
        <f>+Slab!X80</f>
        <v>0</v>
      </c>
      <c r="O67" s="198">
        <f>+Slab!Y80</f>
        <v>0</v>
      </c>
      <c r="P67" s="198">
        <f>+Slab!Z80</f>
        <v>0</v>
      </c>
      <c r="Q67" s="198">
        <f>+Slab!AA80</f>
        <v>0</v>
      </c>
      <c r="R67" s="198">
        <f>+Slab!AB80</f>
        <v>0</v>
      </c>
      <c r="S67" s="198">
        <f>+Slab!AC80</f>
        <v>0</v>
      </c>
      <c r="T67" s="198">
        <f>+Slab!AD80</f>
        <v>0</v>
      </c>
      <c r="U67" s="198">
        <f>+Slab!AE80</f>
        <v>0</v>
      </c>
      <c r="V67" s="198">
        <f>+Slab!AF80</f>
        <v>0</v>
      </c>
      <c r="W67" s="198">
        <f>+Slab!AG80</f>
        <v>0</v>
      </c>
      <c r="X67" s="198">
        <f>+Slab!AH80</f>
        <v>0</v>
      </c>
      <c r="Y67" s="198">
        <f>+Slab!AI80</f>
        <v>0</v>
      </c>
      <c r="Z67" s="198">
        <f>+Slab!AJ80</f>
        <v>0</v>
      </c>
      <c r="AA67" s="198">
        <f>+Slab!AK80</f>
        <v>0</v>
      </c>
      <c r="AB67" s="198">
        <f>+Slab!AL80</f>
        <v>0</v>
      </c>
      <c r="AC67" s="198">
        <f>+Slab!AM80</f>
        <v>0</v>
      </c>
      <c r="AD67" s="198">
        <f>+Slab!AN80</f>
        <v>0</v>
      </c>
      <c r="AE67" s="198">
        <f>+Slab!AO80</f>
        <v>0</v>
      </c>
      <c r="AF67" s="287">
        <f>+Slab!AP80</f>
        <v>0</v>
      </c>
      <c r="AG67" s="200">
        <f>+Slab!AQ80</f>
        <v>0</v>
      </c>
      <c r="AH67" s="197">
        <f>+Slab!AR80</f>
        <v>0</v>
      </c>
      <c r="AI67" s="198">
        <f>+Slab!AS80</f>
        <v>0</v>
      </c>
      <c r="AJ67" s="198">
        <f>+Slab!AT80</f>
        <v>0</v>
      </c>
      <c r="AK67" s="198">
        <f>+Slab!AU80</f>
        <v>0</v>
      </c>
      <c r="AL67" s="198">
        <f>+Slab!AV80</f>
        <v>0</v>
      </c>
      <c r="AM67" s="198">
        <f>+Slab!AW80</f>
        <v>0</v>
      </c>
      <c r="AN67" s="198">
        <f>+Slab!AX80</f>
        <v>0</v>
      </c>
      <c r="AO67" s="198">
        <f>+Slab!AY80</f>
        <v>0</v>
      </c>
      <c r="AP67" s="198">
        <f>+Slab!AZ80</f>
        <v>0</v>
      </c>
      <c r="AQ67" s="198">
        <f>+Slab!BA80</f>
        <v>0</v>
      </c>
      <c r="AR67" s="198">
        <f>+Slab!BB80</f>
        <v>0</v>
      </c>
      <c r="AS67" s="198">
        <f>+Slab!BC80</f>
        <v>0</v>
      </c>
      <c r="AT67" s="198">
        <f>+Slab!BD80</f>
        <v>0</v>
      </c>
      <c r="AU67" s="198">
        <f>+Slab!BE80</f>
        <v>0</v>
      </c>
      <c r="AV67" s="198">
        <f>+Slab!BF80</f>
        <v>0</v>
      </c>
      <c r="AW67" s="198">
        <f>+Slab!BG80</f>
        <v>0</v>
      </c>
      <c r="AX67" s="198">
        <f>+Slab!BH80</f>
        <v>0</v>
      </c>
      <c r="AY67" s="198">
        <f>+Slab!BI80</f>
        <v>0</v>
      </c>
      <c r="AZ67" s="198">
        <f>+Slab!BJ80</f>
        <v>0</v>
      </c>
      <c r="BA67" s="198">
        <f>+Slab!BK80</f>
        <v>0</v>
      </c>
      <c r="BB67" s="198">
        <f>+Slab!BL80</f>
        <v>0</v>
      </c>
      <c r="BC67" s="198">
        <f>+Slab!BM80</f>
        <v>0</v>
      </c>
      <c r="BD67" s="198">
        <f>+Slab!BN80</f>
        <v>0</v>
      </c>
      <c r="BE67" s="198">
        <f>+Slab!BO80</f>
        <v>0</v>
      </c>
      <c r="BF67" s="198">
        <f>+Slab!BP80</f>
        <v>0</v>
      </c>
      <c r="BG67" s="198">
        <f>+Slab!BQ80</f>
        <v>0</v>
      </c>
      <c r="BH67" s="198">
        <f>+Slab!BR80</f>
        <v>0</v>
      </c>
      <c r="BI67" s="198">
        <f>+Slab!BS80</f>
        <v>0</v>
      </c>
      <c r="BJ67" s="198">
        <f>+Slab!BT80</f>
        <v>0</v>
      </c>
      <c r="BK67" s="198">
        <f>+Slab!BU80</f>
        <v>0</v>
      </c>
      <c r="BL67" s="287">
        <f>+Slab!BV80</f>
        <v>0</v>
      </c>
      <c r="BM67" s="284">
        <f>+Slab!BW80</f>
        <v>0</v>
      </c>
      <c r="BN67" s="13">
        <f>+Slab!BX80</f>
        <v>0</v>
      </c>
      <c r="BO67" s="13">
        <f>+Slab!BY80</f>
        <v>0</v>
      </c>
      <c r="BP67" s="13">
        <f>+Slab!BZ80</f>
        <v>0</v>
      </c>
      <c r="BQ67" s="13">
        <f>+Slab!CA80</f>
        <v>0</v>
      </c>
      <c r="BR67" s="13">
        <f>+Slab!CB80</f>
        <v>0</v>
      </c>
      <c r="BS67" s="13">
        <f>+Slab!CC80</f>
        <v>0</v>
      </c>
      <c r="BT67" s="13">
        <f>+Slab!CD80</f>
        <v>0</v>
      </c>
      <c r="BU67" s="13">
        <f>+Slab!CE80</f>
        <v>0</v>
      </c>
      <c r="BV67" s="13">
        <f>+Slab!CF80</f>
        <v>0</v>
      </c>
      <c r="BW67" s="13">
        <f>+Slab!CG80</f>
        <v>0</v>
      </c>
      <c r="BX67" s="13">
        <f>+Slab!CH80</f>
        <v>0</v>
      </c>
      <c r="BY67" s="13">
        <f>+Slab!CI80</f>
        <v>0</v>
      </c>
      <c r="BZ67" s="13">
        <f>+Slab!CJ80</f>
        <v>0</v>
      </c>
      <c r="CA67" s="13">
        <f>+Slab!CK80</f>
        <v>0</v>
      </c>
      <c r="CB67" s="13">
        <f>+Slab!CL80</f>
        <v>0</v>
      </c>
      <c r="CC67" s="13">
        <f>+Slab!CM80</f>
        <v>0</v>
      </c>
      <c r="CD67" s="13">
        <f>+Slab!CN80</f>
        <v>0</v>
      </c>
      <c r="CE67" s="13">
        <f>+Slab!CO80</f>
        <v>0</v>
      </c>
      <c r="CF67" s="13">
        <f>+Slab!CP80</f>
        <v>0</v>
      </c>
      <c r="CG67" s="13">
        <f>+Slab!CQ80</f>
        <v>0</v>
      </c>
      <c r="CH67" s="13">
        <f>+Slab!CR80</f>
        <v>1350</v>
      </c>
      <c r="CI67" s="13">
        <f>+Slab!CS80</f>
        <v>0</v>
      </c>
      <c r="CJ67" s="13">
        <f>+Slab!CT80</f>
        <v>0</v>
      </c>
      <c r="CK67" s="13">
        <f>+Slab!CU80</f>
        <v>0</v>
      </c>
      <c r="CL67" s="13">
        <f>+Slab!CV80</f>
        <v>0</v>
      </c>
      <c r="CM67" s="13">
        <f>+Slab!CW80</f>
        <v>0</v>
      </c>
      <c r="CN67" s="13">
        <f>+Slab!CX80</f>
        <v>0</v>
      </c>
      <c r="CO67" s="13">
        <f>+Slab!CY80</f>
        <v>0</v>
      </c>
      <c r="CP67" s="13">
        <f>+Slab!CZ80</f>
        <v>0</v>
      </c>
      <c r="CQ67" s="101">
        <f>+Slab!DA80</f>
        <v>0</v>
      </c>
      <c r="CR67" s="197">
        <f>+Slab!DB80</f>
        <v>0</v>
      </c>
      <c r="CS67" s="198">
        <f>+Slab!DC80</f>
        <v>0</v>
      </c>
      <c r="CT67" s="198">
        <f>+Slab!DD80</f>
        <v>0</v>
      </c>
      <c r="CU67" s="198">
        <f>+Slab!DE80</f>
        <v>0</v>
      </c>
      <c r="CV67" s="198">
        <f>+Slab!DF80</f>
        <v>0</v>
      </c>
      <c r="CW67" s="198">
        <f>+Slab!DG80</f>
        <v>0</v>
      </c>
      <c r="CX67" s="198">
        <f>+Slab!DH80</f>
        <v>0</v>
      </c>
      <c r="CY67" s="198">
        <f>+Slab!DI80</f>
        <v>0</v>
      </c>
      <c r="CZ67" s="198">
        <f>+Slab!DJ80</f>
        <v>400</v>
      </c>
      <c r="DA67" s="198">
        <f>+Slab!DK80</f>
        <v>0</v>
      </c>
      <c r="DB67" s="198">
        <f>+Slab!DL80</f>
        <v>0</v>
      </c>
      <c r="DC67" s="198">
        <f>+Slab!DM80</f>
        <v>0</v>
      </c>
      <c r="DD67" s="198">
        <f>+Slab!DN80</f>
        <v>0</v>
      </c>
      <c r="DE67" s="198">
        <f>+Slab!DO80</f>
        <v>0</v>
      </c>
      <c r="DF67" s="198">
        <f>+Slab!DP80</f>
        <v>0</v>
      </c>
      <c r="DG67" s="198">
        <f>+Slab!DQ80</f>
        <v>0</v>
      </c>
      <c r="DH67" s="198">
        <f>+Slab!DR80</f>
        <v>0</v>
      </c>
      <c r="DI67" s="198">
        <f>+Slab!DS80</f>
        <v>0</v>
      </c>
      <c r="DJ67" s="198">
        <f>+Slab!DT80</f>
        <v>0</v>
      </c>
      <c r="DK67" s="198">
        <f>+Slab!DU80</f>
        <v>0</v>
      </c>
      <c r="DL67" s="198">
        <f>+Slab!DV80</f>
        <v>0</v>
      </c>
      <c r="DM67" s="198">
        <f>+Slab!DW80</f>
        <v>0</v>
      </c>
      <c r="DN67" s="198">
        <f>+Slab!DX80</f>
        <v>0</v>
      </c>
      <c r="DO67" s="198">
        <f>+Slab!DY80</f>
        <v>400</v>
      </c>
      <c r="DP67" s="198">
        <f>+Slab!DZ80</f>
        <v>275</v>
      </c>
      <c r="DQ67" s="198">
        <f>+Slab!EA80</f>
        <v>0</v>
      </c>
      <c r="DR67" s="198">
        <f>+Slab!EB80</f>
        <v>0</v>
      </c>
      <c r="DS67" s="198">
        <f>+Slab!EC80</f>
        <v>0</v>
      </c>
      <c r="DT67" s="198">
        <f>+Slab!ED80</f>
        <v>0</v>
      </c>
      <c r="DU67" s="198">
        <f>+Slab!EE80</f>
        <v>0</v>
      </c>
      <c r="DV67" s="287">
        <f>+Slab!EF80</f>
        <v>0</v>
      </c>
      <c r="DW67" s="197">
        <f>+Slab!EG80</f>
        <v>0</v>
      </c>
      <c r="DX67" s="198">
        <f>+Slab!EH80</f>
        <v>0</v>
      </c>
      <c r="DY67" s="198">
        <f>+Slab!EI80</f>
        <v>0</v>
      </c>
      <c r="DZ67" s="198">
        <f>+Slab!EJ80</f>
        <v>105</v>
      </c>
      <c r="EA67" s="198">
        <f>+Slab!EK80</f>
        <v>0</v>
      </c>
      <c r="EB67" s="198">
        <f>+Slab!EL80</f>
        <v>0</v>
      </c>
      <c r="EC67" s="198">
        <f>+Slab!EM80</f>
        <v>0</v>
      </c>
      <c r="ED67" s="198">
        <f>+Slab!EN80</f>
        <v>0</v>
      </c>
      <c r="EE67" s="198">
        <f>+Slab!EO80</f>
        <v>0</v>
      </c>
      <c r="EF67" s="198">
        <f>+Slab!EP80</f>
        <v>0</v>
      </c>
      <c r="EG67" s="198">
        <f>+Slab!EQ80</f>
        <v>525</v>
      </c>
      <c r="EH67" s="198">
        <f>+Slab!ER80</f>
        <v>0</v>
      </c>
      <c r="EI67" s="198">
        <f>+Slab!ES80</f>
        <v>0</v>
      </c>
      <c r="EJ67" s="198">
        <f>+Slab!ET80</f>
        <v>0</v>
      </c>
      <c r="EK67" s="198">
        <f>+Slab!EU80</f>
        <v>0</v>
      </c>
      <c r="EL67" s="198">
        <f>+Slab!EV80</f>
        <v>0</v>
      </c>
      <c r="EM67" s="198">
        <f>+Slab!EW80</f>
        <v>0</v>
      </c>
      <c r="EN67" s="198">
        <f>+Slab!EX80</f>
        <v>0</v>
      </c>
      <c r="EO67" s="198">
        <f>+Slab!EY80</f>
        <v>0</v>
      </c>
      <c r="EP67" s="198">
        <f>+Slab!EZ80</f>
        <v>0</v>
      </c>
      <c r="EQ67" s="198">
        <f>+Slab!FA80</f>
        <v>0</v>
      </c>
      <c r="ER67" s="198">
        <f>+Slab!FB80</f>
        <v>0</v>
      </c>
      <c r="ES67" s="198">
        <f>+Slab!FC80</f>
        <v>0</v>
      </c>
      <c r="ET67" s="198">
        <f>+Slab!FD80</f>
        <v>0</v>
      </c>
      <c r="EU67" s="198">
        <f>+Slab!FE80</f>
        <v>53</v>
      </c>
      <c r="EV67" s="198">
        <f>+Slab!FF80</f>
        <v>0</v>
      </c>
      <c r="EW67" s="198">
        <f>+Slab!FG80</f>
        <v>0</v>
      </c>
      <c r="EX67" s="198">
        <f>+Slab!FH80</f>
        <v>115</v>
      </c>
      <c r="EY67" s="198">
        <f>+Slab!FI80</f>
        <v>0</v>
      </c>
      <c r="EZ67" s="199">
        <f>+Slab!FJ80</f>
        <v>0</v>
      </c>
      <c r="FA67" s="197">
        <f>+Slab!FK80</f>
        <v>0</v>
      </c>
      <c r="FB67" s="198">
        <f>+Slab!FL80</f>
        <v>287.5</v>
      </c>
      <c r="FC67" s="198">
        <f>+Slab!FM80</f>
        <v>0</v>
      </c>
      <c r="FD67" s="198">
        <f>+Slab!FN80</f>
        <v>0</v>
      </c>
      <c r="FE67" s="198">
        <f>+Slab!FO80</f>
        <v>0</v>
      </c>
      <c r="FF67" s="198">
        <f>+Slab!FP80</f>
        <v>0</v>
      </c>
      <c r="FG67" s="198">
        <f>+Slab!FQ80</f>
        <v>0</v>
      </c>
      <c r="FH67" s="198">
        <f>+Slab!FR80</f>
        <v>0</v>
      </c>
      <c r="FI67" s="198">
        <f>+Slab!FS80</f>
        <v>0</v>
      </c>
      <c r="FJ67" s="198">
        <f>+Slab!FT80</f>
        <v>0</v>
      </c>
      <c r="FK67" s="198">
        <f>+Slab!FU80</f>
        <v>0</v>
      </c>
      <c r="FL67" s="198">
        <f>+Slab!FV80</f>
        <v>0</v>
      </c>
      <c r="FM67" s="198">
        <f>+Slab!FW80</f>
        <v>0</v>
      </c>
      <c r="FN67" s="198">
        <f>+Slab!FX80</f>
        <v>200</v>
      </c>
      <c r="FO67" s="198">
        <f>+Slab!FY80</f>
        <v>140</v>
      </c>
      <c r="FP67" s="198">
        <f>+Slab!FZ80</f>
        <v>150</v>
      </c>
      <c r="FQ67" s="198">
        <f>+Slab!GA80</f>
        <v>0</v>
      </c>
      <c r="FR67" s="198">
        <f>+Slab!GB80</f>
        <v>0</v>
      </c>
      <c r="FS67" s="198">
        <f>+Slab!GC80</f>
        <v>0</v>
      </c>
      <c r="FT67" s="198">
        <f>+Slab!GD80</f>
        <v>75</v>
      </c>
      <c r="FU67" s="198">
        <f>+Slab!GE80</f>
        <v>0</v>
      </c>
      <c r="FV67" s="198">
        <f>+Slab!GF80</f>
        <v>130</v>
      </c>
      <c r="FW67" s="198">
        <f>+Slab!GG80</f>
        <v>0</v>
      </c>
      <c r="FX67" s="198">
        <f>+Slab!GH80</f>
        <v>0</v>
      </c>
      <c r="FY67" s="198">
        <f>+Slab!GI80</f>
        <v>125</v>
      </c>
      <c r="FZ67" s="198">
        <f>+Slab!GJ80</f>
        <v>0</v>
      </c>
      <c r="GA67" s="198">
        <f>+Slab!GK80</f>
        <v>0</v>
      </c>
      <c r="GB67" s="198">
        <f>+Slab!GL80</f>
        <v>0</v>
      </c>
      <c r="GC67" s="198">
        <f>+Slab!GM80</f>
        <v>150</v>
      </c>
      <c r="GD67" s="198">
        <f>+Slab!GN80</f>
        <v>0</v>
      </c>
      <c r="GE67" s="199">
        <f>+Slab!GO80</f>
        <v>0</v>
      </c>
      <c r="GF67" s="197">
        <f>+Slab!GP80</f>
        <v>0</v>
      </c>
      <c r="GG67" s="198">
        <f>+Slab!GQ80</f>
        <v>0</v>
      </c>
      <c r="GH67" s="198">
        <f>+Slab!GR80</f>
        <v>0</v>
      </c>
      <c r="GI67" s="198">
        <f>+Slab!GS80</f>
        <v>23</v>
      </c>
      <c r="GJ67" s="198">
        <f>+Slab!GT80</f>
        <v>60</v>
      </c>
      <c r="GK67" s="198">
        <f>+Slab!GU80</f>
        <v>15</v>
      </c>
      <c r="GL67" s="198">
        <f>+Slab!GV80</f>
        <v>0</v>
      </c>
      <c r="GM67" s="198">
        <f>+Slab!GW80</f>
        <v>0</v>
      </c>
      <c r="GN67" s="198">
        <f>+Slab!GX80</f>
        <v>0</v>
      </c>
      <c r="GO67" s="198">
        <f>+Slab!GY80</f>
        <v>0</v>
      </c>
      <c r="GP67" s="198">
        <f>+Slab!GZ80</f>
        <v>0</v>
      </c>
      <c r="GQ67" s="198">
        <f>+Slab!HA80</f>
        <v>0</v>
      </c>
      <c r="GR67" s="198">
        <f>+Slab!HB80</f>
        <v>0</v>
      </c>
      <c r="GS67" s="198">
        <f>+Slab!HC80</f>
        <v>0</v>
      </c>
      <c r="GT67" s="198">
        <f>+Slab!HD80</f>
        <v>243</v>
      </c>
      <c r="GU67" s="198">
        <f>+Slab!HE80</f>
        <v>29</v>
      </c>
      <c r="GV67" s="198">
        <f>+Slab!HF80</f>
        <v>0</v>
      </c>
      <c r="GW67" s="198">
        <f>+Slab!HG80</f>
        <v>0</v>
      </c>
      <c r="GX67" s="198">
        <f>+Slab!HH80</f>
        <v>0</v>
      </c>
      <c r="GY67" s="199">
        <f>+Slab!HI80</f>
        <v>0</v>
      </c>
      <c r="GZ67" s="452"/>
    </row>
    <row r="68" spans="1:208" ht="21" hidden="1" x14ac:dyDescent="0.35">
      <c r="BM68" s="252"/>
      <c r="CR68" s="21"/>
      <c r="CS68" s="275"/>
      <c r="CT68" s="275"/>
      <c r="CU68" s="275"/>
      <c r="CV68" s="275"/>
      <c r="CW68" s="275"/>
      <c r="CX68" s="275"/>
      <c r="CY68" s="275"/>
      <c r="CZ68" s="275"/>
      <c r="DA68" s="275"/>
      <c r="DB68" s="275"/>
      <c r="DC68" s="275"/>
      <c r="DD68" s="275"/>
      <c r="DE68" s="275"/>
      <c r="DF68" s="275"/>
      <c r="DG68" s="275"/>
      <c r="DH68" s="275"/>
      <c r="DI68" s="275"/>
      <c r="DJ68" s="275"/>
      <c r="DK68" s="275"/>
      <c r="DL68" s="275"/>
      <c r="DM68" s="275"/>
      <c r="DN68" s="275"/>
      <c r="DO68" s="275"/>
      <c r="DP68" s="275"/>
      <c r="DQ68" s="275"/>
      <c r="DR68" s="275"/>
      <c r="DS68" s="275"/>
      <c r="DT68" s="275"/>
      <c r="DU68" s="275"/>
      <c r="DV68" s="357"/>
      <c r="DW68" s="21"/>
      <c r="DX68" s="275"/>
      <c r="DY68" s="275"/>
      <c r="DZ68" s="275"/>
      <c r="EA68" s="275"/>
      <c r="EB68" s="275"/>
      <c r="EC68" s="275"/>
      <c r="ED68" s="275"/>
      <c r="EE68" s="275"/>
      <c r="EF68" s="275"/>
      <c r="EG68" s="275"/>
      <c r="EH68" s="275"/>
      <c r="EI68" s="275"/>
      <c r="EJ68" s="275"/>
      <c r="EK68" s="275"/>
      <c r="EL68" s="275"/>
      <c r="EM68" s="275"/>
      <c r="EN68" s="275"/>
      <c r="EO68" s="275"/>
      <c r="EP68" s="275"/>
      <c r="EQ68" s="275"/>
      <c r="ER68" s="275"/>
      <c r="ES68" s="275"/>
      <c r="ET68" s="275"/>
      <c r="EU68" s="275"/>
      <c r="EV68" s="275"/>
      <c r="EW68" s="275"/>
      <c r="EX68" s="275"/>
      <c r="EY68" s="275"/>
      <c r="EZ68" s="275"/>
      <c r="FA68" s="21"/>
      <c r="FB68" s="275"/>
      <c r="FC68" s="275"/>
      <c r="FD68" s="275"/>
      <c r="FE68" s="275"/>
      <c r="FF68" s="275"/>
      <c r="FG68" s="275"/>
      <c r="FH68" s="275"/>
      <c r="FI68" s="275"/>
      <c r="FJ68" s="275"/>
      <c r="FK68" s="275"/>
      <c r="FL68" s="275"/>
      <c r="FM68" s="275"/>
      <c r="FN68" s="275"/>
      <c r="FO68" s="275"/>
      <c r="FP68" s="275"/>
      <c r="FQ68" s="275"/>
      <c r="FR68" s="275"/>
      <c r="FS68" s="275"/>
      <c r="FT68" s="275"/>
      <c r="FU68" s="275"/>
      <c r="FV68" s="275"/>
      <c r="FW68" s="275"/>
      <c r="FX68" s="275"/>
      <c r="FY68" s="275"/>
      <c r="FZ68" s="275"/>
      <c r="GA68" s="275"/>
      <c r="GB68" s="275"/>
      <c r="GC68" s="275"/>
      <c r="GD68" s="275"/>
      <c r="GE68" s="275"/>
      <c r="GF68" s="21"/>
      <c r="GG68" s="275"/>
      <c r="GH68" s="275"/>
      <c r="GI68" s="275"/>
      <c r="GJ68" s="275"/>
      <c r="GK68" s="275"/>
      <c r="GL68" s="275"/>
      <c r="GM68" s="275"/>
      <c r="GN68" s="275"/>
      <c r="GO68" s="275"/>
      <c r="GP68" s="275"/>
      <c r="GQ68" s="275"/>
      <c r="GR68" s="275"/>
      <c r="GS68" s="275"/>
      <c r="GT68" s="275"/>
      <c r="GU68" s="275"/>
      <c r="GV68" s="275"/>
      <c r="GW68" s="275"/>
      <c r="GX68" s="275"/>
      <c r="GY68" s="275"/>
      <c r="GZ68" s="453"/>
    </row>
    <row r="69" spans="1:208" ht="15" hidden="1" customHeight="1" thickBot="1" x14ac:dyDescent="0.4">
      <c r="A69" s="482"/>
      <c r="B69" s="481" t="s">
        <v>78</v>
      </c>
      <c r="C69" s="25" t="s">
        <v>82</v>
      </c>
      <c r="D69" s="32" t="s">
        <v>86</v>
      </c>
      <c r="E69" s="71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276"/>
      <c r="AG69" s="165"/>
      <c r="AH69" s="71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276"/>
      <c r="BM69" s="294"/>
      <c r="BN69" s="71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157"/>
      <c r="CR69" s="71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276"/>
      <c r="DW69" s="71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157"/>
      <c r="FA69" s="71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157"/>
      <c r="GF69" s="71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157"/>
      <c r="GZ69" s="450"/>
    </row>
    <row r="70" spans="1:208" ht="15" hidden="1" customHeight="1" thickBot="1" x14ac:dyDescent="0.4">
      <c r="A70" s="479"/>
      <c r="B70" s="474"/>
      <c r="C70" s="23" t="s">
        <v>81</v>
      </c>
      <c r="D70" s="2" t="s">
        <v>87</v>
      </c>
      <c r="E70" s="13">
        <f>+'Internal Wall'!O98</f>
        <v>0</v>
      </c>
      <c r="F70" s="13">
        <f>+'Internal Wall'!P98</f>
        <v>0</v>
      </c>
      <c r="G70" s="13">
        <f>+'Internal Wall'!Q98</f>
        <v>0</v>
      </c>
      <c r="H70" s="13">
        <f>+'Internal Wall'!R98</f>
        <v>0</v>
      </c>
      <c r="I70" s="13">
        <f>+'Internal Wall'!S98</f>
        <v>0</v>
      </c>
      <c r="J70" s="13">
        <f>+'Internal Wall'!T98</f>
        <v>0</v>
      </c>
      <c r="K70" s="13">
        <f>+'Internal Wall'!U98</f>
        <v>0</v>
      </c>
      <c r="L70" s="13">
        <f>+'Internal Wall'!V98</f>
        <v>0</v>
      </c>
      <c r="M70" s="13">
        <f>+'Internal Wall'!W98</f>
        <v>0</v>
      </c>
      <c r="N70" s="13">
        <f>+'Internal Wall'!X98</f>
        <v>0</v>
      </c>
      <c r="O70" s="13">
        <f>+'Internal Wall'!Y98</f>
        <v>0</v>
      </c>
      <c r="P70" s="13">
        <f>+'Internal Wall'!Z98</f>
        <v>0</v>
      </c>
      <c r="Q70" s="13">
        <f>+'Internal Wall'!AA98</f>
        <v>0</v>
      </c>
      <c r="R70" s="13">
        <f>+'Internal Wall'!AB98</f>
        <v>0</v>
      </c>
      <c r="S70" s="13">
        <f>+'Internal Wall'!AC98</f>
        <v>0</v>
      </c>
      <c r="T70" s="13">
        <f>+'Internal Wall'!AD98</f>
        <v>0</v>
      </c>
      <c r="U70" s="13">
        <f>+'Internal Wall'!AE98</f>
        <v>0</v>
      </c>
      <c r="V70" s="13">
        <f>+'Internal Wall'!AF98</f>
        <v>0</v>
      </c>
      <c r="W70" s="13">
        <f>+'Internal Wall'!AG98</f>
        <v>0</v>
      </c>
      <c r="X70" s="13">
        <f>+'Internal Wall'!AH98</f>
        <v>0</v>
      </c>
      <c r="Y70" s="13">
        <f>+'Internal Wall'!AI98</f>
        <v>0</v>
      </c>
      <c r="Z70" s="13">
        <f>+'Internal Wall'!AJ98</f>
        <v>0</v>
      </c>
      <c r="AA70" s="13">
        <f>+'Internal Wall'!AK98</f>
        <v>0</v>
      </c>
      <c r="AB70" s="13">
        <f>+'Internal Wall'!AL98</f>
        <v>0</v>
      </c>
      <c r="AC70" s="13">
        <f>+'Internal Wall'!AM98</f>
        <v>0</v>
      </c>
      <c r="AD70" s="13">
        <f>+'Internal Wall'!AN98</f>
        <v>0</v>
      </c>
      <c r="AE70" s="13">
        <f>+'Internal Wall'!AO98</f>
        <v>0</v>
      </c>
      <c r="AF70" s="274">
        <f>+'Internal Wall'!AP98</f>
        <v>0</v>
      </c>
      <c r="AG70" s="162">
        <f>+'Internal Wall'!AQ99</f>
        <v>0</v>
      </c>
      <c r="AH70" s="73">
        <f>+'Internal Wall'!AR98</f>
        <v>0</v>
      </c>
      <c r="AI70" s="13">
        <f>+'Internal Wall'!AS98</f>
        <v>0</v>
      </c>
      <c r="AJ70" s="13">
        <f>+'Internal Wall'!AT98</f>
        <v>0</v>
      </c>
      <c r="AK70" s="13">
        <f>+'Internal Wall'!AU98</f>
        <v>0</v>
      </c>
      <c r="AL70" s="13">
        <f>+'Internal Wall'!AV98</f>
        <v>0</v>
      </c>
      <c r="AM70" s="13">
        <f>+'Internal Wall'!AW98</f>
        <v>0</v>
      </c>
      <c r="AN70" s="13">
        <f>+'Internal Wall'!AX98</f>
        <v>0</v>
      </c>
      <c r="AO70" s="13">
        <f>+'Internal Wall'!AY98</f>
        <v>0</v>
      </c>
      <c r="AP70" s="13">
        <f>+'Internal Wall'!AZ98</f>
        <v>0</v>
      </c>
      <c r="AQ70" s="13">
        <f>+'Internal Wall'!BA98</f>
        <v>0</v>
      </c>
      <c r="AR70" s="13">
        <f>+'Internal Wall'!BB98</f>
        <v>0</v>
      </c>
      <c r="AS70" s="13">
        <f>+'Internal Wall'!BC98</f>
        <v>0</v>
      </c>
      <c r="AT70" s="13">
        <f>+'Internal Wall'!BD98</f>
        <v>0</v>
      </c>
      <c r="AU70" s="13">
        <f>+'Internal Wall'!BE98</f>
        <v>0</v>
      </c>
      <c r="AV70" s="13">
        <f>+'Internal Wall'!BF98</f>
        <v>0</v>
      </c>
      <c r="AW70" s="13">
        <f>+'Internal Wall'!BG98</f>
        <v>0</v>
      </c>
      <c r="AX70" s="13">
        <f>+'Internal Wall'!BH98</f>
        <v>0</v>
      </c>
      <c r="AY70" s="13">
        <f>+'Internal Wall'!BI98</f>
        <v>0</v>
      </c>
      <c r="AZ70" s="13">
        <f>+'Internal Wall'!BJ98</f>
        <v>0</v>
      </c>
      <c r="BA70" s="13">
        <f>+'Internal Wall'!BK98</f>
        <v>0</v>
      </c>
      <c r="BB70" s="13">
        <f>+'Internal Wall'!BL98</f>
        <v>0</v>
      </c>
      <c r="BC70" s="13">
        <f>+'Internal Wall'!BM98</f>
        <v>0</v>
      </c>
      <c r="BD70" s="13">
        <f>+'Internal Wall'!BN98</f>
        <v>0</v>
      </c>
      <c r="BE70" s="13">
        <f>+'Internal Wall'!BO98</f>
        <v>0</v>
      </c>
      <c r="BF70" s="13">
        <f>+'Internal Wall'!BP98</f>
        <v>0</v>
      </c>
      <c r="BG70" s="13">
        <f>+'Internal Wall'!BQ98</f>
        <v>0</v>
      </c>
      <c r="BH70" s="13">
        <f>+'Internal Wall'!BR98</f>
        <v>0</v>
      </c>
      <c r="BI70" s="13">
        <f>+'Internal Wall'!BS98</f>
        <v>0</v>
      </c>
      <c r="BJ70" s="13">
        <f>+'Internal Wall'!BT98</f>
        <v>0</v>
      </c>
      <c r="BK70" s="13">
        <f>+'Internal Wall'!BU98</f>
        <v>0</v>
      </c>
      <c r="BL70" s="274">
        <f>+'Internal Wall'!BV98</f>
        <v>0</v>
      </c>
      <c r="BM70" s="295">
        <f>+'Internal Wall'!BW99</f>
        <v>0</v>
      </c>
      <c r="BN70" s="73">
        <f>+'Internal Wall'!BX98</f>
        <v>0</v>
      </c>
      <c r="BO70" s="13">
        <f>+'Internal Wall'!BY98</f>
        <v>0</v>
      </c>
      <c r="BP70" s="13">
        <f>+'Internal Wall'!BZ98</f>
        <v>0</v>
      </c>
      <c r="BQ70" s="13">
        <f>+'Internal Wall'!CA98</f>
        <v>0</v>
      </c>
      <c r="BR70" s="13">
        <f>+'Internal Wall'!CB98</f>
        <v>11</v>
      </c>
      <c r="BS70" s="13">
        <f>+'Internal Wall'!CC98</f>
        <v>0</v>
      </c>
      <c r="BT70" s="13">
        <f>+'Internal Wall'!CD98</f>
        <v>0</v>
      </c>
      <c r="BU70" s="13">
        <f>+'Internal Wall'!CE98</f>
        <v>0</v>
      </c>
      <c r="BV70" s="13">
        <f>+'Internal Wall'!CF98</f>
        <v>0</v>
      </c>
      <c r="BW70" s="13">
        <f>+'Internal Wall'!CG98</f>
        <v>0</v>
      </c>
      <c r="BX70" s="13">
        <f>+'Internal Wall'!CH98</f>
        <v>0</v>
      </c>
      <c r="BY70" s="13">
        <f>+'Internal Wall'!CI98</f>
        <v>0</v>
      </c>
      <c r="BZ70" s="13">
        <f>+'Internal Wall'!CJ98</f>
        <v>0</v>
      </c>
      <c r="CA70" s="13">
        <f>+'Internal Wall'!CK98</f>
        <v>0</v>
      </c>
      <c r="CB70" s="13">
        <f>+'Internal Wall'!CL98</f>
        <v>0</v>
      </c>
      <c r="CC70" s="13">
        <f>+'Internal Wall'!CM98</f>
        <v>0</v>
      </c>
      <c r="CD70" s="13">
        <f>+'Internal Wall'!CN98</f>
        <v>0</v>
      </c>
      <c r="CE70" s="13">
        <f>+'Internal Wall'!CO98</f>
        <v>0</v>
      </c>
      <c r="CF70" s="13">
        <f>+'Internal Wall'!CP98</f>
        <v>0</v>
      </c>
      <c r="CG70" s="13">
        <f>+'Internal Wall'!CQ98</f>
        <v>0</v>
      </c>
      <c r="CH70" s="13">
        <f>+'Internal Wall'!CR98</f>
        <v>0</v>
      </c>
      <c r="CI70" s="13">
        <f>+'Internal Wall'!CS98</f>
        <v>0</v>
      </c>
      <c r="CJ70" s="13">
        <f>+'Internal Wall'!CT98</f>
        <v>0</v>
      </c>
      <c r="CK70" s="13">
        <f>+'Internal Wall'!CU98</f>
        <v>0</v>
      </c>
      <c r="CL70" s="13">
        <f>+'Internal Wall'!CV98</f>
        <v>0</v>
      </c>
      <c r="CM70" s="13">
        <f>+'Internal Wall'!CW98</f>
        <v>0</v>
      </c>
      <c r="CN70" s="13">
        <f>+'Internal Wall'!CX98</f>
        <v>0</v>
      </c>
      <c r="CO70" s="13">
        <f>+'Internal Wall'!CY98</f>
        <v>0</v>
      </c>
      <c r="CP70" s="13">
        <f>+'Internal Wall'!CZ98</f>
        <v>0</v>
      </c>
      <c r="CQ70" s="101">
        <f>+'Internal Wall'!DA98</f>
        <v>0</v>
      </c>
      <c r="CR70" s="73">
        <f>+'Internal Wall'!DB98</f>
        <v>0</v>
      </c>
      <c r="CS70" s="13">
        <f>+'Internal Wall'!DC98</f>
        <v>0</v>
      </c>
      <c r="CT70" s="13">
        <f>+'Internal Wall'!DD98</f>
        <v>0</v>
      </c>
      <c r="CU70" s="13">
        <f>+'Internal Wall'!DE98</f>
        <v>44</v>
      </c>
      <c r="CV70" s="13">
        <f>+'Internal Wall'!DF98</f>
        <v>0</v>
      </c>
      <c r="CW70" s="13">
        <f>+'Internal Wall'!DG98</f>
        <v>0</v>
      </c>
      <c r="CX70" s="13">
        <f>+'Internal Wall'!DH98</f>
        <v>0</v>
      </c>
      <c r="CY70" s="13">
        <f>+'Internal Wall'!DI98</f>
        <v>0</v>
      </c>
      <c r="CZ70" s="13">
        <f>+'Internal Wall'!DJ98</f>
        <v>0</v>
      </c>
      <c r="DA70" s="13">
        <f>+'Internal Wall'!DK98</f>
        <v>0</v>
      </c>
      <c r="DB70" s="13">
        <f>+'Internal Wall'!DL98</f>
        <v>0</v>
      </c>
      <c r="DC70" s="13">
        <f>+'Internal Wall'!DM98</f>
        <v>0</v>
      </c>
      <c r="DD70" s="13">
        <f>+'Internal Wall'!DN98</f>
        <v>0</v>
      </c>
      <c r="DE70" s="13">
        <f>+'Internal Wall'!DO98</f>
        <v>0</v>
      </c>
      <c r="DF70" s="13">
        <f>+'Internal Wall'!DP98</f>
        <v>0</v>
      </c>
      <c r="DG70" s="13">
        <f>+'Internal Wall'!DQ98</f>
        <v>0</v>
      </c>
      <c r="DH70" s="13">
        <f>+'Internal Wall'!DR98</f>
        <v>0</v>
      </c>
      <c r="DI70" s="13">
        <f>+'Internal Wall'!DS98</f>
        <v>0</v>
      </c>
      <c r="DJ70" s="13">
        <f>+'Internal Wall'!DT98</f>
        <v>0</v>
      </c>
      <c r="DK70" s="13">
        <f>+'Internal Wall'!DU98</f>
        <v>0</v>
      </c>
      <c r="DL70" s="13">
        <f>+'Internal Wall'!DV98</f>
        <v>0</v>
      </c>
      <c r="DM70" s="13">
        <f>+'Internal Wall'!DW98</f>
        <v>0</v>
      </c>
      <c r="DN70" s="13">
        <f>+'Internal Wall'!DX98</f>
        <v>0</v>
      </c>
      <c r="DO70" s="13">
        <f>+'Internal Wall'!DY98</f>
        <v>0</v>
      </c>
      <c r="DP70" s="13">
        <f>+'Internal Wall'!DZ98</f>
        <v>0</v>
      </c>
      <c r="DQ70" s="13">
        <f>+'Internal Wall'!EA98</f>
        <v>0</v>
      </c>
      <c r="DR70" s="13">
        <f>+'Internal Wall'!EB98</f>
        <v>0</v>
      </c>
      <c r="DS70" s="13">
        <f>+'Internal Wall'!EC98</f>
        <v>0</v>
      </c>
      <c r="DT70" s="13">
        <f>+'Internal Wall'!ED98</f>
        <v>0</v>
      </c>
      <c r="DU70" s="13">
        <f>+'Internal Wall'!EE98</f>
        <v>0</v>
      </c>
      <c r="DV70" s="274">
        <f>+'Internal Wall'!EF98</f>
        <v>0</v>
      </c>
      <c r="DW70" s="73">
        <f>+'Internal Wall'!EG98</f>
        <v>0</v>
      </c>
      <c r="DX70" s="13">
        <f>+'Internal Wall'!EH98</f>
        <v>0</v>
      </c>
      <c r="DY70" s="13">
        <f>+'Internal Wall'!EI98</f>
        <v>0</v>
      </c>
      <c r="DZ70" s="13">
        <f>+'Internal Wall'!EJ98</f>
        <v>0</v>
      </c>
      <c r="EA70" s="13">
        <f>+'Internal Wall'!EK98</f>
        <v>0</v>
      </c>
      <c r="EB70" s="13">
        <f>+'Internal Wall'!EL98</f>
        <v>0</v>
      </c>
      <c r="EC70" s="13">
        <f>+'Internal Wall'!EM98</f>
        <v>0</v>
      </c>
      <c r="ED70" s="13">
        <f>+'Internal Wall'!EN98</f>
        <v>0</v>
      </c>
      <c r="EE70" s="13">
        <f>+'Internal Wall'!EO98</f>
        <v>5.5</v>
      </c>
      <c r="EF70" s="13">
        <f>+'Internal Wall'!EP98</f>
        <v>0</v>
      </c>
      <c r="EG70" s="13">
        <f>+'Internal Wall'!EQ98</f>
        <v>0</v>
      </c>
      <c r="EH70" s="13">
        <f>+'Internal Wall'!ER98</f>
        <v>0</v>
      </c>
      <c r="EI70" s="13">
        <f>+'Internal Wall'!ES98</f>
        <v>0</v>
      </c>
      <c r="EJ70" s="13">
        <f>+'Internal Wall'!ET98</f>
        <v>3.5</v>
      </c>
      <c r="EK70" s="13">
        <f>+'Internal Wall'!EU98</f>
        <v>0</v>
      </c>
      <c r="EL70" s="13">
        <f>+'Internal Wall'!EV98</f>
        <v>0</v>
      </c>
      <c r="EM70" s="13">
        <f>+'Internal Wall'!EW98</f>
        <v>0</v>
      </c>
      <c r="EN70" s="13">
        <f>+'Internal Wall'!EX98</f>
        <v>10.5</v>
      </c>
      <c r="EO70" s="13">
        <f>+'Internal Wall'!EY98</f>
        <v>0</v>
      </c>
      <c r="EP70" s="13">
        <f>+'Internal Wall'!EZ98</f>
        <v>0</v>
      </c>
      <c r="EQ70" s="13">
        <f>+'Internal Wall'!FA98</f>
        <v>0</v>
      </c>
      <c r="ER70" s="13">
        <f>+'Internal Wall'!FB98</f>
        <v>6</v>
      </c>
      <c r="ES70" s="13">
        <f>+'Internal Wall'!FC98</f>
        <v>8.5</v>
      </c>
      <c r="ET70" s="13">
        <f>+'Internal Wall'!FD98</f>
        <v>0</v>
      </c>
      <c r="EU70" s="13">
        <f>+'Internal Wall'!FE98</f>
        <v>0</v>
      </c>
      <c r="EV70" s="13">
        <f>+'Internal Wall'!FF98</f>
        <v>0</v>
      </c>
      <c r="EW70" s="13">
        <f>+'Internal Wall'!FG98</f>
        <v>0</v>
      </c>
      <c r="EX70" s="13">
        <f>+'Internal Wall'!FH98</f>
        <v>0</v>
      </c>
      <c r="EY70" s="13">
        <f>+'Internal Wall'!FI98</f>
        <v>0</v>
      </c>
      <c r="EZ70" s="101">
        <f>+'Internal Wall'!FJ98</f>
        <v>0</v>
      </c>
      <c r="FA70" s="73">
        <f>+'Internal Wall'!FK98</f>
        <v>11.4</v>
      </c>
      <c r="FB70" s="13">
        <f>+'Internal Wall'!FL98</f>
        <v>0</v>
      </c>
      <c r="FC70" s="13">
        <f>+'Internal Wall'!FM98</f>
        <v>0</v>
      </c>
      <c r="FD70" s="13">
        <f>+'Internal Wall'!FN98</f>
        <v>0</v>
      </c>
      <c r="FE70" s="13">
        <f>+'Internal Wall'!FO98</f>
        <v>0</v>
      </c>
      <c r="FF70" s="13">
        <f>+'Internal Wall'!FP98</f>
        <v>0</v>
      </c>
      <c r="FG70" s="13">
        <f>+'Internal Wall'!FQ98</f>
        <v>0</v>
      </c>
      <c r="FH70" s="13">
        <f>+'Internal Wall'!FR98</f>
        <v>0</v>
      </c>
      <c r="FI70" s="13">
        <f>+'Internal Wall'!FS98</f>
        <v>0</v>
      </c>
      <c r="FJ70" s="13">
        <f>+'Internal Wall'!FT98</f>
        <v>0</v>
      </c>
      <c r="FK70" s="13">
        <f>+'Internal Wall'!FU98</f>
        <v>0</v>
      </c>
      <c r="FL70" s="13">
        <f>+'Internal Wall'!FV98</f>
        <v>13.5</v>
      </c>
      <c r="FM70" s="13">
        <f>+'Internal Wall'!FW98</f>
        <v>11.5</v>
      </c>
      <c r="FN70" s="13">
        <f>+'Internal Wall'!FX98</f>
        <v>0</v>
      </c>
      <c r="FO70" s="13">
        <f>+'Internal Wall'!FY98</f>
        <v>26</v>
      </c>
      <c r="FP70" s="13">
        <f>+'Internal Wall'!FZ98</f>
        <v>0</v>
      </c>
      <c r="FQ70" s="13">
        <f>+'Internal Wall'!GA98</f>
        <v>0</v>
      </c>
      <c r="FR70" s="13">
        <f>+'Internal Wall'!GB98</f>
        <v>0</v>
      </c>
      <c r="FS70" s="13">
        <f>+'Internal Wall'!GC98</f>
        <v>0</v>
      </c>
      <c r="FT70" s="13">
        <f>+'Internal Wall'!GD98</f>
        <v>0</v>
      </c>
      <c r="FU70" s="13">
        <f>+'Internal Wall'!GE98</f>
        <v>0</v>
      </c>
      <c r="FV70" s="13">
        <f>+'Internal Wall'!GF98</f>
        <v>2.25</v>
      </c>
      <c r="FW70" s="13">
        <f>+'Internal Wall'!GG98</f>
        <v>0</v>
      </c>
      <c r="FX70" s="13">
        <f>+'Internal Wall'!GH98</f>
        <v>0</v>
      </c>
      <c r="FY70" s="13">
        <f>+'Internal Wall'!GI98</f>
        <v>0</v>
      </c>
      <c r="FZ70" s="13">
        <f>+'Internal Wall'!GJ98</f>
        <v>5</v>
      </c>
      <c r="GA70" s="13">
        <f>+'Internal Wall'!GK98</f>
        <v>0</v>
      </c>
      <c r="GB70" s="13">
        <f>+'Internal Wall'!GL98</f>
        <v>8</v>
      </c>
      <c r="GC70" s="13">
        <f>+'Internal Wall'!GM98</f>
        <v>1.55</v>
      </c>
      <c r="GD70" s="13">
        <f>+'Internal Wall'!GN98</f>
        <v>34</v>
      </c>
      <c r="GE70" s="101">
        <f>+'Internal Wall'!GO98</f>
        <v>0</v>
      </c>
      <c r="GF70" s="73">
        <f>+'Internal Wall'!GP98</f>
        <v>0</v>
      </c>
      <c r="GG70" s="13">
        <f>+'Internal Wall'!GQ98</f>
        <v>0</v>
      </c>
      <c r="GH70" s="13">
        <f>+'Internal Wall'!GR98</f>
        <v>0</v>
      </c>
      <c r="GI70" s="13">
        <f>+'Internal Wall'!GS98</f>
        <v>0</v>
      </c>
      <c r="GJ70" s="13">
        <f>+'Internal Wall'!GT98</f>
        <v>0</v>
      </c>
      <c r="GK70" s="13">
        <f>+'Internal Wall'!GU98</f>
        <v>8</v>
      </c>
      <c r="GL70" s="13">
        <f>+'Internal Wall'!GV98</f>
        <v>0</v>
      </c>
      <c r="GM70" s="13">
        <f>+'Internal Wall'!GW98</f>
        <v>0</v>
      </c>
      <c r="GN70" s="13">
        <f>+'Internal Wall'!GX98</f>
        <v>0</v>
      </c>
      <c r="GO70" s="13">
        <f>+'Internal Wall'!GY98</f>
        <v>0</v>
      </c>
      <c r="GP70" s="13">
        <f>+'Internal Wall'!GZ98</f>
        <v>14.05</v>
      </c>
      <c r="GQ70" s="13">
        <f>+'Internal Wall'!HA98</f>
        <v>0</v>
      </c>
      <c r="GR70" s="13">
        <f>+'Internal Wall'!HB98</f>
        <v>0</v>
      </c>
      <c r="GS70" s="13">
        <f>+'Internal Wall'!HC98</f>
        <v>0</v>
      </c>
      <c r="GT70" s="13">
        <f>+'Internal Wall'!HD98</f>
        <v>0</v>
      </c>
      <c r="GU70" s="13">
        <f>+'Internal Wall'!HE98</f>
        <v>0</v>
      </c>
      <c r="GV70" s="13">
        <f>+'Internal Wall'!HF98</f>
        <v>10.5</v>
      </c>
      <c r="GW70" s="13">
        <f>+'Internal Wall'!HG98</f>
        <v>0</v>
      </c>
      <c r="GX70" s="13">
        <f>+'Internal Wall'!HH98</f>
        <v>7</v>
      </c>
      <c r="GY70" s="101">
        <f>+'Internal Wall'!HI98</f>
        <v>0</v>
      </c>
      <c r="GZ70" s="451"/>
    </row>
    <row r="71" spans="1:208" ht="15" hidden="1" customHeight="1" thickBot="1" x14ac:dyDescent="0.4">
      <c r="A71" s="479"/>
      <c r="B71" s="474"/>
      <c r="C71" s="23" t="s">
        <v>83</v>
      </c>
      <c r="D71" s="2" t="s">
        <v>87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274"/>
      <c r="AG71" s="162"/>
      <c r="AH71" s="7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274"/>
      <c r="BM71" s="295"/>
      <c r="BN71" s="7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01"/>
      <c r="CR71" s="7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274"/>
      <c r="DW71" s="7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01"/>
      <c r="FA71" s="7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01"/>
      <c r="GF71" s="7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01"/>
      <c r="GZ71" s="451"/>
    </row>
    <row r="72" spans="1:208" ht="15" hidden="1" customHeight="1" thickBot="1" x14ac:dyDescent="0.4">
      <c r="A72" s="480"/>
      <c r="B72" s="475"/>
      <c r="C72" s="196" t="s">
        <v>84</v>
      </c>
      <c r="D72" s="195" t="s">
        <v>88</v>
      </c>
      <c r="E72" s="197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287"/>
      <c r="AG72" s="200"/>
      <c r="AH72" s="197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287"/>
      <c r="BM72" s="284"/>
      <c r="BN72" s="197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8"/>
      <c r="CE72" s="198"/>
      <c r="CF72" s="198"/>
      <c r="CG72" s="198"/>
      <c r="CH72" s="198"/>
      <c r="CI72" s="198"/>
      <c r="CJ72" s="198"/>
      <c r="CK72" s="198"/>
      <c r="CL72" s="198"/>
      <c r="CM72" s="198"/>
      <c r="CN72" s="198"/>
      <c r="CO72" s="198"/>
      <c r="CP72" s="198"/>
      <c r="CQ72" s="199"/>
      <c r="CR72" s="197"/>
      <c r="CS72" s="198"/>
      <c r="CT72" s="198"/>
      <c r="CU72" s="198"/>
      <c r="CV72" s="198"/>
      <c r="CW72" s="198"/>
      <c r="CX72" s="198"/>
      <c r="CY72" s="198"/>
      <c r="CZ72" s="198"/>
      <c r="DA72" s="198"/>
      <c r="DB72" s="198"/>
      <c r="DC72" s="198"/>
      <c r="DD72" s="198"/>
      <c r="DE72" s="198"/>
      <c r="DF72" s="198"/>
      <c r="DG72" s="198"/>
      <c r="DH72" s="198"/>
      <c r="DI72" s="198"/>
      <c r="DJ72" s="198"/>
      <c r="DK72" s="198"/>
      <c r="DL72" s="198"/>
      <c r="DM72" s="198"/>
      <c r="DN72" s="198"/>
      <c r="DO72" s="198"/>
      <c r="DP72" s="198"/>
      <c r="DQ72" s="198"/>
      <c r="DR72" s="198"/>
      <c r="DS72" s="198"/>
      <c r="DT72" s="198"/>
      <c r="DU72" s="198"/>
      <c r="DV72" s="287"/>
      <c r="DW72" s="197"/>
      <c r="DX72" s="198"/>
      <c r="DY72" s="198"/>
      <c r="DZ72" s="198"/>
      <c r="EA72" s="198"/>
      <c r="EB72" s="198"/>
      <c r="EC72" s="198"/>
      <c r="ED72" s="198"/>
      <c r="EE72" s="198"/>
      <c r="EF72" s="198"/>
      <c r="EG72" s="198"/>
      <c r="EH72" s="198"/>
      <c r="EI72" s="198"/>
      <c r="EJ72" s="198"/>
      <c r="EK72" s="198"/>
      <c r="EL72" s="198"/>
      <c r="EM72" s="198"/>
      <c r="EN72" s="198"/>
      <c r="EO72" s="198"/>
      <c r="EP72" s="198"/>
      <c r="EQ72" s="198"/>
      <c r="ER72" s="198"/>
      <c r="ES72" s="198"/>
      <c r="ET72" s="198"/>
      <c r="EU72" s="198"/>
      <c r="EV72" s="198"/>
      <c r="EW72" s="198"/>
      <c r="EX72" s="198"/>
      <c r="EY72" s="198"/>
      <c r="EZ72" s="199"/>
      <c r="FA72" s="197"/>
      <c r="FB72" s="198"/>
      <c r="FC72" s="198"/>
      <c r="FD72" s="198"/>
      <c r="FE72" s="198"/>
      <c r="FF72" s="198"/>
      <c r="FG72" s="198"/>
      <c r="FH72" s="198"/>
      <c r="FI72" s="198"/>
      <c r="FJ72" s="198"/>
      <c r="FK72" s="198"/>
      <c r="FL72" s="198"/>
      <c r="FM72" s="198"/>
      <c r="FN72" s="198"/>
      <c r="FO72" s="198"/>
      <c r="FP72" s="198"/>
      <c r="FQ72" s="198"/>
      <c r="FR72" s="198"/>
      <c r="FS72" s="198"/>
      <c r="FT72" s="198"/>
      <c r="FU72" s="198"/>
      <c r="FV72" s="198"/>
      <c r="FW72" s="198"/>
      <c r="FX72" s="198"/>
      <c r="FY72" s="198"/>
      <c r="FZ72" s="198"/>
      <c r="GA72" s="198"/>
      <c r="GB72" s="198"/>
      <c r="GC72" s="198"/>
      <c r="GD72" s="198"/>
      <c r="GE72" s="199"/>
      <c r="GF72" s="197"/>
      <c r="GG72" s="198"/>
      <c r="GH72" s="198"/>
      <c r="GI72" s="198"/>
      <c r="GJ72" s="198"/>
      <c r="GK72" s="198"/>
      <c r="GL72" s="198"/>
      <c r="GM72" s="198"/>
      <c r="GN72" s="198"/>
      <c r="GO72" s="198"/>
      <c r="GP72" s="198"/>
      <c r="GQ72" s="198"/>
      <c r="GR72" s="198"/>
      <c r="GS72" s="198"/>
      <c r="GT72" s="198"/>
      <c r="GU72" s="198"/>
      <c r="GV72" s="198"/>
      <c r="GW72" s="198"/>
      <c r="GX72" s="198"/>
      <c r="GY72" s="199"/>
      <c r="GZ72" s="452"/>
    </row>
    <row r="73" spans="1:208" ht="15" hidden="1" customHeight="1" thickBot="1" x14ac:dyDescent="0.4">
      <c r="A73" s="285"/>
      <c r="B73" s="286"/>
      <c r="C73" s="297"/>
      <c r="D73" s="204"/>
      <c r="E73" s="298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99"/>
      <c r="AG73" s="300"/>
      <c r="AH73" s="301"/>
      <c r="AI73" s="257"/>
      <c r="AJ73" s="257"/>
      <c r="AK73" s="257"/>
      <c r="AL73" s="257"/>
      <c r="AM73" s="257"/>
      <c r="AN73" s="257"/>
      <c r="AO73" s="257"/>
      <c r="AP73" s="257"/>
      <c r="AQ73" s="257"/>
      <c r="AR73" s="257"/>
      <c r="AS73" s="257"/>
      <c r="AT73" s="257"/>
      <c r="AU73" s="257"/>
      <c r="AV73" s="257"/>
      <c r="AW73" s="257"/>
      <c r="AX73" s="257"/>
      <c r="AY73" s="257"/>
      <c r="AZ73" s="257"/>
      <c r="BA73" s="257"/>
      <c r="BB73" s="257"/>
      <c r="BC73" s="257"/>
      <c r="BD73" s="257"/>
      <c r="BE73" s="257"/>
      <c r="BF73" s="257"/>
      <c r="BG73" s="257"/>
      <c r="BH73" s="257"/>
      <c r="BI73" s="257"/>
      <c r="BJ73" s="257"/>
      <c r="BK73" s="257"/>
      <c r="BL73" s="299"/>
      <c r="BM73" s="302"/>
      <c r="BN73" s="301"/>
      <c r="BO73" s="257"/>
      <c r="BP73" s="257"/>
      <c r="BQ73" s="257"/>
      <c r="BR73" s="257"/>
      <c r="BS73" s="257"/>
      <c r="BT73" s="257"/>
      <c r="BU73" s="257"/>
      <c r="BV73" s="257"/>
      <c r="BW73" s="257"/>
      <c r="BX73" s="257"/>
      <c r="BY73" s="257"/>
      <c r="BZ73" s="257"/>
      <c r="CA73" s="257"/>
      <c r="CB73" s="257"/>
      <c r="CC73" s="257"/>
      <c r="CD73" s="257"/>
      <c r="CE73" s="257"/>
      <c r="CF73" s="257"/>
      <c r="CG73" s="257"/>
      <c r="CH73" s="257"/>
      <c r="CI73" s="257"/>
      <c r="CJ73" s="257"/>
      <c r="CK73" s="257"/>
      <c r="CL73" s="257"/>
      <c r="CM73" s="257"/>
      <c r="CN73" s="257"/>
      <c r="CO73" s="257"/>
      <c r="CP73" s="257"/>
      <c r="CQ73" s="299"/>
      <c r="CR73" s="298"/>
      <c r="CS73" s="257"/>
      <c r="CT73" s="257"/>
      <c r="CU73" s="257"/>
      <c r="CV73" s="257"/>
      <c r="CW73" s="257"/>
      <c r="CX73" s="257"/>
      <c r="CY73" s="257"/>
      <c r="CZ73" s="257"/>
      <c r="DA73" s="299"/>
      <c r="DB73" s="289"/>
      <c r="DC73" s="289"/>
      <c r="DD73" s="289"/>
      <c r="DE73" s="289"/>
      <c r="DF73" s="289"/>
      <c r="DG73" s="289"/>
      <c r="DH73" s="289"/>
      <c r="DI73" s="289"/>
      <c r="DJ73" s="289"/>
      <c r="DK73" s="289"/>
      <c r="DL73" s="289"/>
      <c r="DM73" s="289"/>
      <c r="DN73" s="289"/>
      <c r="DO73" s="289"/>
      <c r="DP73" s="289"/>
      <c r="DQ73" s="289"/>
      <c r="DR73" s="289"/>
      <c r="DS73" s="289"/>
      <c r="DT73" s="289"/>
      <c r="DU73" s="289"/>
      <c r="DV73" s="352"/>
      <c r="DW73" s="288"/>
      <c r="DX73" s="289"/>
      <c r="DY73" s="289"/>
      <c r="DZ73" s="289"/>
      <c r="EA73" s="289"/>
      <c r="EB73" s="289"/>
      <c r="EC73" s="289"/>
      <c r="ED73" s="289"/>
      <c r="EE73" s="289"/>
      <c r="EF73" s="289"/>
      <c r="EG73" s="289"/>
      <c r="EH73" s="289"/>
      <c r="EI73" s="289"/>
      <c r="EJ73" s="289"/>
      <c r="EK73" s="289"/>
      <c r="EL73" s="289"/>
      <c r="EM73" s="289"/>
      <c r="EN73" s="289"/>
      <c r="EO73" s="289"/>
      <c r="EP73" s="289"/>
      <c r="EQ73" s="289"/>
      <c r="ER73" s="289"/>
      <c r="ES73" s="289"/>
      <c r="ET73" s="289"/>
      <c r="EU73" s="289"/>
      <c r="EV73" s="289"/>
      <c r="EW73" s="289"/>
      <c r="EX73" s="289"/>
      <c r="EY73" s="289"/>
      <c r="EZ73" s="289"/>
      <c r="FA73" s="288"/>
      <c r="FB73" s="289"/>
      <c r="FC73" s="289"/>
      <c r="FD73" s="289"/>
      <c r="FE73" s="289"/>
      <c r="FF73" s="289"/>
      <c r="FG73" s="289"/>
      <c r="FH73" s="289"/>
      <c r="FI73" s="289"/>
      <c r="FJ73" s="289"/>
      <c r="FK73" s="289"/>
      <c r="FL73" s="289"/>
      <c r="FM73" s="289"/>
      <c r="FN73" s="289"/>
      <c r="FO73" s="289"/>
      <c r="FP73" s="289"/>
      <c r="FQ73" s="289"/>
      <c r="FR73" s="289"/>
      <c r="FS73" s="289"/>
      <c r="FT73" s="289"/>
      <c r="FU73" s="289"/>
      <c r="FV73" s="289"/>
      <c r="FW73" s="289"/>
      <c r="FX73" s="289"/>
      <c r="FY73" s="289"/>
      <c r="FZ73" s="289"/>
      <c r="GA73" s="289"/>
      <c r="GB73" s="289"/>
      <c r="GC73" s="289"/>
      <c r="GD73" s="289"/>
      <c r="GE73" s="289"/>
      <c r="GF73" s="288"/>
      <c r="GG73" s="289"/>
      <c r="GH73" s="289"/>
      <c r="GI73" s="289"/>
      <c r="GJ73" s="289"/>
      <c r="GK73" s="289"/>
      <c r="GL73" s="289"/>
      <c r="GM73" s="289"/>
      <c r="GN73" s="289"/>
      <c r="GO73" s="289"/>
      <c r="GP73" s="289"/>
      <c r="GQ73" s="289"/>
      <c r="GR73" s="289"/>
      <c r="GS73" s="289"/>
      <c r="GT73" s="289"/>
      <c r="GU73" s="289"/>
      <c r="GV73" s="289"/>
      <c r="GW73" s="289"/>
      <c r="GX73" s="289"/>
      <c r="GY73" s="289"/>
      <c r="GZ73" s="448"/>
    </row>
    <row r="74" spans="1:208" ht="15" hidden="1" customHeight="1" thickBot="1" x14ac:dyDescent="0.4">
      <c r="A74" s="482"/>
      <c r="B74" s="481" t="s">
        <v>115</v>
      </c>
      <c r="C74" s="25" t="s">
        <v>82</v>
      </c>
      <c r="D74" s="32" t="s">
        <v>86</v>
      </c>
      <c r="E74" s="71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276"/>
      <c r="AG74" s="165"/>
      <c r="AH74" s="71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276"/>
      <c r="BM74" s="294"/>
      <c r="BN74" s="71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157"/>
      <c r="CR74" s="71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276"/>
      <c r="DW74" s="71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157"/>
      <c r="FA74" s="71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157"/>
      <c r="GF74" s="71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157"/>
      <c r="GZ74" s="450"/>
    </row>
    <row r="75" spans="1:208" ht="15" hidden="1" customHeight="1" thickBot="1" x14ac:dyDescent="0.4">
      <c r="A75" s="479"/>
      <c r="B75" s="474"/>
      <c r="C75" s="23" t="s">
        <v>81</v>
      </c>
      <c r="D75" s="2" t="s">
        <v>87</v>
      </c>
      <c r="E75" s="13">
        <f>+'Internal Wall'!O102</f>
        <v>0</v>
      </c>
      <c r="F75" s="13">
        <f>+'Internal Wall'!P102</f>
        <v>0</v>
      </c>
      <c r="G75" s="13">
        <f>+'Internal Wall'!Q102</f>
        <v>0</v>
      </c>
      <c r="H75" s="13">
        <f>+'Internal Wall'!R102</f>
        <v>0</v>
      </c>
      <c r="I75" s="13">
        <f>+'Internal Wall'!S102</f>
        <v>0</v>
      </c>
      <c r="J75" s="13">
        <f>+'Internal Wall'!T102</f>
        <v>0</v>
      </c>
      <c r="K75" s="13">
        <f>+'Internal Wall'!U102</f>
        <v>0</v>
      </c>
      <c r="L75" s="13">
        <f>+'Internal Wall'!V102</f>
        <v>0</v>
      </c>
      <c r="M75" s="13">
        <f>+'Internal Wall'!W102</f>
        <v>0</v>
      </c>
      <c r="N75" s="13">
        <f>+'Internal Wall'!X102</f>
        <v>0</v>
      </c>
      <c r="O75" s="13">
        <f>+'Internal Wall'!Y102</f>
        <v>0</v>
      </c>
      <c r="P75" s="13">
        <f>+'Internal Wall'!Z102</f>
        <v>0</v>
      </c>
      <c r="Q75" s="13">
        <f>+'Internal Wall'!AA102</f>
        <v>0</v>
      </c>
      <c r="R75" s="13">
        <f>+'Internal Wall'!AB102</f>
        <v>0</v>
      </c>
      <c r="S75" s="13">
        <f>+'Internal Wall'!AC102</f>
        <v>0</v>
      </c>
      <c r="T75" s="13">
        <f>+'Internal Wall'!AD102</f>
        <v>0</v>
      </c>
      <c r="U75" s="13">
        <f>+'Internal Wall'!AE102</f>
        <v>0</v>
      </c>
      <c r="V75" s="13">
        <f>+'Internal Wall'!AF102</f>
        <v>0</v>
      </c>
      <c r="W75" s="13">
        <f>+'Internal Wall'!AG102</f>
        <v>0</v>
      </c>
      <c r="X75" s="13">
        <f>+'Internal Wall'!AH102</f>
        <v>0</v>
      </c>
      <c r="Y75" s="13">
        <f>+'Internal Wall'!AI102</f>
        <v>0</v>
      </c>
      <c r="Z75" s="13">
        <f>+'Internal Wall'!AJ102</f>
        <v>0</v>
      </c>
      <c r="AA75" s="13">
        <f>+'Internal Wall'!AK102</f>
        <v>0</v>
      </c>
      <c r="AB75" s="13">
        <f>+'Internal Wall'!AL102</f>
        <v>0</v>
      </c>
      <c r="AC75" s="13">
        <f>+'Internal Wall'!AM102</f>
        <v>0</v>
      </c>
      <c r="AD75" s="13">
        <f>+'Internal Wall'!AN102</f>
        <v>0</v>
      </c>
      <c r="AE75" s="13">
        <f>+'Internal Wall'!AO102</f>
        <v>0</v>
      </c>
      <c r="AF75" s="13">
        <f>+'Internal Wall'!AP102</f>
        <v>0</v>
      </c>
      <c r="AG75" s="162">
        <f>+'Internal Wall'!AQ104</f>
        <v>0</v>
      </c>
      <c r="AH75" s="13">
        <f>+'Internal Wall'!AR102</f>
        <v>0</v>
      </c>
      <c r="AI75" s="13">
        <f>+'Internal Wall'!AS102</f>
        <v>0</v>
      </c>
      <c r="AJ75" s="13">
        <f>+'Internal Wall'!AT102</f>
        <v>0</v>
      </c>
      <c r="AK75" s="13">
        <f>+'Internal Wall'!AU102</f>
        <v>0</v>
      </c>
      <c r="AL75" s="13">
        <f>+'Internal Wall'!AV102</f>
        <v>0</v>
      </c>
      <c r="AM75" s="13">
        <f>+'Internal Wall'!AW102</f>
        <v>0</v>
      </c>
      <c r="AN75" s="13">
        <f>+'Internal Wall'!AX102</f>
        <v>0</v>
      </c>
      <c r="AO75" s="13">
        <f>+'Internal Wall'!AY102</f>
        <v>0</v>
      </c>
      <c r="AP75" s="13">
        <f>+'Internal Wall'!AZ102</f>
        <v>0</v>
      </c>
      <c r="AQ75" s="13">
        <f>+'Internal Wall'!BA102</f>
        <v>0</v>
      </c>
      <c r="AR75" s="13">
        <f>+'Internal Wall'!BB102</f>
        <v>0</v>
      </c>
      <c r="AS75" s="13">
        <f>+'Internal Wall'!BC102</f>
        <v>0</v>
      </c>
      <c r="AT75" s="13">
        <f>+'Internal Wall'!BD102</f>
        <v>0</v>
      </c>
      <c r="AU75" s="13">
        <f>+'Internal Wall'!BE102</f>
        <v>0</v>
      </c>
      <c r="AV75" s="13">
        <f>+'Internal Wall'!BF102</f>
        <v>0</v>
      </c>
      <c r="AW75" s="13">
        <f>+'Internal Wall'!BG102</f>
        <v>0</v>
      </c>
      <c r="AX75" s="13">
        <f>+'Internal Wall'!BH102</f>
        <v>0</v>
      </c>
      <c r="AY75" s="13">
        <f>+'Internal Wall'!BI102</f>
        <v>0</v>
      </c>
      <c r="AZ75" s="13">
        <f>+'Internal Wall'!BJ102</f>
        <v>0</v>
      </c>
      <c r="BA75" s="13">
        <f>+'Internal Wall'!BK102</f>
        <v>0</v>
      </c>
      <c r="BB75" s="13">
        <f>+'Internal Wall'!BL102</f>
        <v>0</v>
      </c>
      <c r="BC75" s="13">
        <f>+'Internal Wall'!BM102</f>
        <v>0</v>
      </c>
      <c r="BD75" s="13">
        <f>+'Internal Wall'!BN102</f>
        <v>0</v>
      </c>
      <c r="BE75" s="13">
        <f>+'Internal Wall'!BO102</f>
        <v>0</v>
      </c>
      <c r="BF75" s="13">
        <f>+'Internal Wall'!BP102</f>
        <v>0</v>
      </c>
      <c r="BG75" s="13">
        <f>+'Internal Wall'!BQ102</f>
        <v>0</v>
      </c>
      <c r="BH75" s="13">
        <f>+'Internal Wall'!BR102</f>
        <v>0</v>
      </c>
      <c r="BI75" s="13">
        <f>+'Internal Wall'!BS102</f>
        <v>0</v>
      </c>
      <c r="BJ75" s="13">
        <f>+'Internal Wall'!BT102</f>
        <v>0</v>
      </c>
      <c r="BK75" s="13">
        <f>+'Internal Wall'!BU102</f>
        <v>0</v>
      </c>
      <c r="BL75" s="13">
        <f>+'Internal Wall'!BV102</f>
        <v>0</v>
      </c>
      <c r="BM75" s="295">
        <f>+'Internal Wall'!BW104</f>
        <v>0</v>
      </c>
      <c r="BN75" s="13">
        <f>+'Internal Wall'!BX102</f>
        <v>0</v>
      </c>
      <c r="BO75" s="13">
        <f>+'Internal Wall'!BY102</f>
        <v>0</v>
      </c>
      <c r="BP75" s="13">
        <f>+'Internal Wall'!BZ102</f>
        <v>0</v>
      </c>
      <c r="BQ75" s="13">
        <f>+'Internal Wall'!CA102</f>
        <v>0</v>
      </c>
      <c r="BR75" s="13">
        <f>+'Internal Wall'!CB102</f>
        <v>0</v>
      </c>
      <c r="BS75" s="13">
        <f>+'Internal Wall'!CC102</f>
        <v>0</v>
      </c>
      <c r="BT75" s="13">
        <f>+'Internal Wall'!CD102</f>
        <v>0</v>
      </c>
      <c r="BU75" s="13">
        <f>+'Internal Wall'!CE102</f>
        <v>0</v>
      </c>
      <c r="BV75" s="13">
        <f>+'Internal Wall'!CF102</f>
        <v>0</v>
      </c>
      <c r="BW75" s="13">
        <f>+'Internal Wall'!CG102</f>
        <v>0</v>
      </c>
      <c r="BX75" s="13">
        <f>+'Internal Wall'!CH102</f>
        <v>0</v>
      </c>
      <c r="BY75" s="13">
        <f>+'Internal Wall'!CI102</f>
        <v>0</v>
      </c>
      <c r="BZ75" s="13">
        <f>+'Internal Wall'!CJ102</f>
        <v>0</v>
      </c>
      <c r="CA75" s="13">
        <f>+'Internal Wall'!CK102</f>
        <v>0</v>
      </c>
      <c r="CB75" s="13">
        <f>+'Internal Wall'!CL102</f>
        <v>0</v>
      </c>
      <c r="CC75" s="13">
        <f>+'Internal Wall'!CM102</f>
        <v>0</v>
      </c>
      <c r="CD75" s="13">
        <f>+'Internal Wall'!CN102</f>
        <v>0</v>
      </c>
      <c r="CE75" s="13">
        <f>+'Internal Wall'!CO102</f>
        <v>0</v>
      </c>
      <c r="CF75" s="13">
        <f>+'Internal Wall'!CP102</f>
        <v>0</v>
      </c>
      <c r="CG75" s="13">
        <f>+'Internal Wall'!CQ102</f>
        <v>0</v>
      </c>
      <c r="CH75" s="13">
        <f>+'Internal Wall'!CR102</f>
        <v>0</v>
      </c>
      <c r="CI75" s="13">
        <f>+'Internal Wall'!CS102</f>
        <v>0</v>
      </c>
      <c r="CJ75" s="13">
        <f>+'Internal Wall'!CT102</f>
        <v>0</v>
      </c>
      <c r="CK75" s="13">
        <f>+'Internal Wall'!CU102</f>
        <v>0</v>
      </c>
      <c r="CL75" s="13">
        <f>+'Internal Wall'!CV102</f>
        <v>0</v>
      </c>
      <c r="CM75" s="13">
        <f>+'Internal Wall'!CW102</f>
        <v>0</v>
      </c>
      <c r="CN75" s="13">
        <f>+'Internal Wall'!CX102</f>
        <v>0</v>
      </c>
      <c r="CO75" s="13">
        <f>+'Internal Wall'!CY102</f>
        <v>0</v>
      </c>
      <c r="CP75" s="13">
        <f>+'Internal Wall'!CZ102</f>
        <v>0</v>
      </c>
      <c r="CQ75" s="101">
        <f>+'Internal Wall'!DA102</f>
        <v>0</v>
      </c>
      <c r="CR75" s="73">
        <f>+'Internal Wall'!DB102</f>
        <v>0</v>
      </c>
      <c r="CS75" s="13">
        <f>+'Internal Wall'!DC102</f>
        <v>0</v>
      </c>
      <c r="CT75" s="13">
        <f>+'Internal Wall'!DD102</f>
        <v>0</v>
      </c>
      <c r="CU75" s="13">
        <f>+'Internal Wall'!DE102</f>
        <v>0</v>
      </c>
      <c r="CV75" s="13">
        <f>+'Internal Wall'!DF102</f>
        <v>0</v>
      </c>
      <c r="CW75" s="13">
        <f>+'Internal Wall'!DG102</f>
        <v>0</v>
      </c>
      <c r="CX75" s="13">
        <f>+'Internal Wall'!DH102</f>
        <v>0</v>
      </c>
      <c r="CY75" s="13">
        <f>+'Internal Wall'!DI102</f>
        <v>0</v>
      </c>
      <c r="CZ75" s="13">
        <f>+'Internal Wall'!DJ102</f>
        <v>0</v>
      </c>
      <c r="DA75" s="13">
        <f>+'Internal Wall'!DK102</f>
        <v>0</v>
      </c>
      <c r="DB75" s="13">
        <f>+'Internal Wall'!DL102</f>
        <v>0</v>
      </c>
      <c r="DC75" s="13">
        <f>+'Internal Wall'!DM102</f>
        <v>0</v>
      </c>
      <c r="DD75" s="13">
        <f>+'Internal Wall'!DN102</f>
        <v>0</v>
      </c>
      <c r="DE75" s="13">
        <f>+'Internal Wall'!DO102</f>
        <v>0</v>
      </c>
      <c r="DF75" s="13">
        <f>+'Internal Wall'!DP102</f>
        <v>0</v>
      </c>
      <c r="DG75" s="13">
        <f>+'Internal Wall'!DQ102</f>
        <v>0</v>
      </c>
      <c r="DH75" s="13">
        <f>+'Internal Wall'!DR102</f>
        <v>0</v>
      </c>
      <c r="DI75" s="13">
        <f>+'Internal Wall'!DS102</f>
        <v>0</v>
      </c>
      <c r="DJ75" s="13">
        <f>+'Internal Wall'!DT102</f>
        <v>0</v>
      </c>
      <c r="DK75" s="13">
        <f>+'Internal Wall'!DU102</f>
        <v>0</v>
      </c>
      <c r="DL75" s="13">
        <f>+'Internal Wall'!DV102</f>
        <v>0</v>
      </c>
      <c r="DM75" s="13">
        <f>+'Internal Wall'!DW102</f>
        <v>0</v>
      </c>
      <c r="DN75" s="13">
        <f>+'Internal Wall'!DX102</f>
        <v>0</v>
      </c>
      <c r="DO75" s="13">
        <f>+'Internal Wall'!DY102</f>
        <v>0</v>
      </c>
      <c r="DP75" s="13">
        <f>+'Internal Wall'!DZ102</f>
        <v>0</v>
      </c>
      <c r="DQ75" s="13">
        <f>+'Internal Wall'!EA102</f>
        <v>0</v>
      </c>
      <c r="DR75" s="13">
        <f>+'Internal Wall'!EB102</f>
        <v>0</v>
      </c>
      <c r="DS75" s="13">
        <f>+'Internal Wall'!EC102</f>
        <v>0</v>
      </c>
      <c r="DT75" s="13">
        <f>+'Internal Wall'!ED102</f>
        <v>0</v>
      </c>
      <c r="DU75" s="13">
        <f>+'Internal Wall'!EE102</f>
        <v>0</v>
      </c>
      <c r="DV75" s="274">
        <f>+'Internal Wall'!EF102</f>
        <v>0</v>
      </c>
      <c r="DW75" s="73">
        <f>+'Internal Wall'!EG102</f>
        <v>0</v>
      </c>
      <c r="DX75" s="13">
        <f>+'Internal Wall'!EH102</f>
        <v>0</v>
      </c>
      <c r="DY75" s="13">
        <f>+'Internal Wall'!EI102</f>
        <v>0</v>
      </c>
      <c r="DZ75" s="13">
        <f>+'Internal Wall'!EJ102</f>
        <v>0</v>
      </c>
      <c r="EA75" s="13">
        <f>+'Internal Wall'!EK102</f>
        <v>0</v>
      </c>
      <c r="EB75" s="13">
        <f>+'Internal Wall'!EL102</f>
        <v>0</v>
      </c>
      <c r="EC75" s="13">
        <f>+'Internal Wall'!EM102</f>
        <v>0</v>
      </c>
      <c r="ED75" s="13">
        <f>+'Internal Wall'!EN102</f>
        <v>0</v>
      </c>
      <c r="EE75" s="13">
        <f>+'Internal Wall'!EO102</f>
        <v>0</v>
      </c>
      <c r="EF75" s="13">
        <f>+'Internal Wall'!EP102</f>
        <v>0</v>
      </c>
      <c r="EG75" s="13">
        <f>+'Internal Wall'!EQ102</f>
        <v>0</v>
      </c>
      <c r="EH75" s="13">
        <f>+'Internal Wall'!ER102</f>
        <v>0</v>
      </c>
      <c r="EI75" s="13">
        <f>+'Internal Wall'!ES102</f>
        <v>0</v>
      </c>
      <c r="EJ75" s="13">
        <f>+'Internal Wall'!ET102</f>
        <v>0</v>
      </c>
      <c r="EK75" s="13">
        <f>+'Internal Wall'!EU102</f>
        <v>0</v>
      </c>
      <c r="EL75" s="13">
        <f>+'Internal Wall'!EV102</f>
        <v>0</v>
      </c>
      <c r="EM75" s="13">
        <f>+'Internal Wall'!EW102</f>
        <v>0</v>
      </c>
      <c r="EN75" s="13">
        <f>+'Internal Wall'!EX102</f>
        <v>0</v>
      </c>
      <c r="EO75" s="13">
        <f>+'Internal Wall'!EY102</f>
        <v>0</v>
      </c>
      <c r="EP75" s="13">
        <f>+'Internal Wall'!EZ102</f>
        <v>0</v>
      </c>
      <c r="EQ75" s="13">
        <f>+'Internal Wall'!FA102</f>
        <v>0</v>
      </c>
      <c r="ER75" s="13">
        <f>+'Internal Wall'!FB102</f>
        <v>0</v>
      </c>
      <c r="ES75" s="13">
        <f>+'Internal Wall'!FC102</f>
        <v>0</v>
      </c>
      <c r="ET75" s="13">
        <f>+'Internal Wall'!FD102</f>
        <v>0</v>
      </c>
      <c r="EU75" s="13">
        <f>+'Internal Wall'!FE102</f>
        <v>0</v>
      </c>
      <c r="EV75" s="13">
        <f>+'Internal Wall'!FF102</f>
        <v>0</v>
      </c>
      <c r="EW75" s="13">
        <f>+'Internal Wall'!FG102</f>
        <v>0</v>
      </c>
      <c r="EX75" s="13">
        <f>+'Internal Wall'!FH102</f>
        <v>0</v>
      </c>
      <c r="EY75" s="13">
        <f>+'Internal Wall'!FI102</f>
        <v>0</v>
      </c>
      <c r="EZ75" s="101">
        <f>+'Internal Wall'!FJ102</f>
        <v>0</v>
      </c>
      <c r="FA75" s="73">
        <f>+'Internal Wall'!FK102</f>
        <v>0</v>
      </c>
      <c r="FB75" s="13">
        <f>+'Internal Wall'!FL102</f>
        <v>6.5</v>
      </c>
      <c r="FC75" s="13">
        <f>+'Internal Wall'!FM102</f>
        <v>0</v>
      </c>
      <c r="FD75" s="13">
        <f>+'Internal Wall'!FN102</f>
        <v>0</v>
      </c>
      <c r="FE75" s="13">
        <f>+'Internal Wall'!FO102</f>
        <v>0</v>
      </c>
      <c r="FF75" s="13">
        <f>+'Internal Wall'!FP102</f>
        <v>0</v>
      </c>
      <c r="FG75" s="13">
        <f>+'Internal Wall'!FQ102</f>
        <v>0</v>
      </c>
      <c r="FH75" s="13">
        <f>+'Internal Wall'!FR102</f>
        <v>0</v>
      </c>
      <c r="FI75" s="13">
        <f>+'Internal Wall'!FS102</f>
        <v>5.75</v>
      </c>
      <c r="FJ75" s="13">
        <f>+'Internal Wall'!FT102</f>
        <v>0</v>
      </c>
      <c r="FK75" s="13">
        <f>+'Internal Wall'!FU102</f>
        <v>0</v>
      </c>
      <c r="FL75" s="13">
        <f>+'Internal Wall'!FV102</f>
        <v>0</v>
      </c>
      <c r="FM75" s="13">
        <f>+'Internal Wall'!FW102</f>
        <v>0</v>
      </c>
      <c r="FN75" s="13">
        <f>+'Internal Wall'!FX102</f>
        <v>0</v>
      </c>
      <c r="FO75" s="13">
        <f>+'Internal Wall'!FY102</f>
        <v>0</v>
      </c>
      <c r="FP75" s="13">
        <f>+'Internal Wall'!FZ102</f>
        <v>0</v>
      </c>
      <c r="FQ75" s="13">
        <f>+'Internal Wall'!GA102</f>
        <v>0</v>
      </c>
      <c r="FR75" s="13">
        <f>+'Internal Wall'!GB102</f>
        <v>0</v>
      </c>
      <c r="FS75" s="13">
        <f>+'Internal Wall'!GC102</f>
        <v>0</v>
      </c>
      <c r="FT75" s="13">
        <f>+'Internal Wall'!GD102</f>
        <v>0</v>
      </c>
      <c r="FU75" s="13">
        <f>+'Internal Wall'!GE102</f>
        <v>0</v>
      </c>
      <c r="FV75" s="13">
        <f>+'Internal Wall'!GF102</f>
        <v>0</v>
      </c>
      <c r="FW75" s="13">
        <f>+'Internal Wall'!GG102</f>
        <v>0</v>
      </c>
      <c r="FX75" s="13">
        <f>+'Internal Wall'!GH102</f>
        <v>0</v>
      </c>
      <c r="FY75" s="13">
        <f>+'Internal Wall'!GI102</f>
        <v>0</v>
      </c>
      <c r="FZ75" s="13">
        <f>+'Internal Wall'!GJ102</f>
        <v>3.25</v>
      </c>
      <c r="GA75" s="13">
        <f>+'Internal Wall'!GK102</f>
        <v>0</v>
      </c>
      <c r="GB75" s="13">
        <f>+'Internal Wall'!GL102</f>
        <v>0</v>
      </c>
      <c r="GC75" s="13">
        <f>+'Internal Wall'!GM102</f>
        <v>0</v>
      </c>
      <c r="GD75" s="13">
        <f>+'Internal Wall'!GN102</f>
        <v>0</v>
      </c>
      <c r="GE75" s="101">
        <f>+'Internal Wall'!GO102</f>
        <v>0</v>
      </c>
      <c r="GF75" s="73">
        <f>+'Internal Wall'!GP102</f>
        <v>0</v>
      </c>
      <c r="GG75" s="13">
        <f>+'Internal Wall'!GQ102</f>
        <v>0</v>
      </c>
      <c r="GH75" s="13">
        <f>+'Internal Wall'!GR102</f>
        <v>0</v>
      </c>
      <c r="GI75" s="13">
        <f>+'Internal Wall'!GS102</f>
        <v>0</v>
      </c>
      <c r="GJ75" s="13">
        <f>+'Internal Wall'!GT102</f>
        <v>0</v>
      </c>
      <c r="GK75" s="13">
        <f>+'Internal Wall'!GU102</f>
        <v>0</v>
      </c>
      <c r="GL75" s="13">
        <f>+'Internal Wall'!GV102</f>
        <v>0</v>
      </c>
      <c r="GM75" s="13">
        <f>+'Internal Wall'!GW102</f>
        <v>0</v>
      </c>
      <c r="GN75" s="13">
        <f>+'Internal Wall'!GX102</f>
        <v>0</v>
      </c>
      <c r="GO75" s="13">
        <f>+'Internal Wall'!GY102</f>
        <v>0</v>
      </c>
      <c r="GP75" s="13">
        <f>+'Internal Wall'!GZ102</f>
        <v>0</v>
      </c>
      <c r="GQ75" s="13">
        <f>+'Internal Wall'!HA102</f>
        <v>0</v>
      </c>
      <c r="GR75" s="13">
        <f>+'Internal Wall'!HB102</f>
        <v>0</v>
      </c>
      <c r="GS75" s="13">
        <f>+'Internal Wall'!HC102</f>
        <v>0</v>
      </c>
      <c r="GT75" s="13">
        <f>+'Internal Wall'!HD102</f>
        <v>5</v>
      </c>
      <c r="GU75" s="13">
        <f>+'Internal Wall'!HE102</f>
        <v>0</v>
      </c>
      <c r="GV75" s="13">
        <f>+'Internal Wall'!HF102</f>
        <v>5</v>
      </c>
      <c r="GW75" s="13">
        <f>+'Internal Wall'!HG102</f>
        <v>0</v>
      </c>
      <c r="GX75" s="13">
        <f>+'Internal Wall'!HH102</f>
        <v>0</v>
      </c>
      <c r="GY75" s="101">
        <f>+'Internal Wall'!HI102</f>
        <v>0</v>
      </c>
      <c r="GZ75" s="451"/>
    </row>
    <row r="76" spans="1:208" ht="15" hidden="1" customHeight="1" thickBot="1" x14ac:dyDescent="0.4">
      <c r="A76" s="479"/>
      <c r="B76" s="474"/>
      <c r="C76" s="23" t="s">
        <v>83</v>
      </c>
      <c r="D76" s="2" t="s">
        <v>87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274"/>
      <c r="AG76" s="162"/>
      <c r="AH76" s="7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274"/>
      <c r="BM76" s="295"/>
      <c r="BN76" s="7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01"/>
      <c r="CR76" s="7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274"/>
      <c r="DW76" s="7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01"/>
      <c r="FA76" s="7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01"/>
      <c r="GF76" s="7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01"/>
      <c r="GZ76" s="451"/>
    </row>
    <row r="77" spans="1:208" ht="15" hidden="1" customHeight="1" thickBot="1" x14ac:dyDescent="0.4">
      <c r="A77" s="480"/>
      <c r="B77" s="475"/>
      <c r="C77" s="196" t="s">
        <v>84</v>
      </c>
      <c r="D77" s="195" t="s">
        <v>88</v>
      </c>
      <c r="E77" s="197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287"/>
      <c r="AG77" s="200"/>
      <c r="AH77" s="197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287"/>
      <c r="BM77" s="284"/>
      <c r="BN77" s="197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9"/>
      <c r="CR77" s="197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E77" s="198"/>
      <c r="DF77" s="198"/>
      <c r="DG77" s="198"/>
      <c r="DH77" s="198"/>
      <c r="DI77" s="198"/>
      <c r="DJ77" s="198"/>
      <c r="DK77" s="198"/>
      <c r="DL77" s="198"/>
      <c r="DM77" s="198"/>
      <c r="DN77" s="198"/>
      <c r="DO77" s="198"/>
      <c r="DP77" s="198"/>
      <c r="DQ77" s="198"/>
      <c r="DR77" s="198"/>
      <c r="DS77" s="198"/>
      <c r="DT77" s="198"/>
      <c r="DU77" s="198"/>
      <c r="DV77" s="287"/>
      <c r="DW77" s="197"/>
      <c r="DX77" s="198"/>
      <c r="DY77" s="198"/>
      <c r="DZ77" s="198"/>
      <c r="EA77" s="198"/>
      <c r="EB77" s="198"/>
      <c r="EC77" s="198"/>
      <c r="ED77" s="198"/>
      <c r="EE77" s="198"/>
      <c r="EF77" s="198"/>
      <c r="EG77" s="198"/>
      <c r="EH77" s="198"/>
      <c r="EI77" s="198"/>
      <c r="EJ77" s="198"/>
      <c r="EK77" s="198"/>
      <c r="EL77" s="198"/>
      <c r="EM77" s="198"/>
      <c r="EN77" s="198"/>
      <c r="EO77" s="198"/>
      <c r="EP77" s="198"/>
      <c r="EQ77" s="198"/>
      <c r="ER77" s="198"/>
      <c r="ES77" s="198"/>
      <c r="ET77" s="198"/>
      <c r="EU77" s="198"/>
      <c r="EV77" s="198"/>
      <c r="EW77" s="198"/>
      <c r="EX77" s="198"/>
      <c r="EY77" s="198"/>
      <c r="EZ77" s="199"/>
      <c r="FA77" s="197"/>
      <c r="FB77" s="198"/>
      <c r="FC77" s="198"/>
      <c r="FD77" s="198"/>
      <c r="FE77" s="198"/>
      <c r="FF77" s="198"/>
      <c r="FG77" s="198"/>
      <c r="FH77" s="198"/>
      <c r="FI77" s="198"/>
      <c r="FJ77" s="198"/>
      <c r="FK77" s="198"/>
      <c r="FL77" s="198"/>
      <c r="FM77" s="198"/>
      <c r="FN77" s="198"/>
      <c r="FO77" s="198"/>
      <c r="FP77" s="198"/>
      <c r="FQ77" s="198"/>
      <c r="FR77" s="198"/>
      <c r="FS77" s="198"/>
      <c r="FT77" s="198"/>
      <c r="FU77" s="198"/>
      <c r="FV77" s="198"/>
      <c r="FW77" s="198"/>
      <c r="FX77" s="198"/>
      <c r="FY77" s="198"/>
      <c r="FZ77" s="198"/>
      <c r="GA77" s="198"/>
      <c r="GB77" s="198"/>
      <c r="GC77" s="198"/>
      <c r="GD77" s="198"/>
      <c r="GE77" s="199"/>
      <c r="GF77" s="197"/>
      <c r="GG77" s="198"/>
      <c r="GH77" s="198"/>
      <c r="GI77" s="198"/>
      <c r="GJ77" s="198"/>
      <c r="GK77" s="198"/>
      <c r="GL77" s="198"/>
      <c r="GM77" s="198"/>
      <c r="GN77" s="198"/>
      <c r="GO77" s="198"/>
      <c r="GP77" s="198"/>
      <c r="GQ77" s="198"/>
      <c r="GR77" s="198"/>
      <c r="GS77" s="198"/>
      <c r="GT77" s="198"/>
      <c r="GU77" s="198"/>
      <c r="GV77" s="198"/>
      <c r="GW77" s="198"/>
      <c r="GX77" s="198"/>
      <c r="GY77" s="199"/>
      <c r="GZ77" s="452"/>
    </row>
    <row r="78" spans="1:208" ht="15" customHeight="1" thickBot="1" x14ac:dyDescent="0.4">
      <c r="A78" s="339"/>
      <c r="B78" s="340"/>
      <c r="C78" s="297"/>
      <c r="D78" s="204"/>
      <c r="E78" s="298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99"/>
      <c r="AG78" s="300"/>
      <c r="AH78" s="301"/>
      <c r="AI78" s="257"/>
      <c r="AJ78" s="257"/>
      <c r="AK78" s="257"/>
      <c r="AL78" s="257"/>
      <c r="AM78" s="257"/>
      <c r="AN78" s="257"/>
      <c r="AO78" s="257"/>
      <c r="AP78" s="257"/>
      <c r="AQ78" s="257"/>
      <c r="AR78" s="257"/>
      <c r="AS78" s="257"/>
      <c r="AT78" s="257"/>
      <c r="AU78" s="257"/>
      <c r="AV78" s="257"/>
      <c r="AW78" s="257"/>
      <c r="AX78" s="257"/>
      <c r="AY78" s="257"/>
      <c r="AZ78" s="257"/>
      <c r="BA78" s="257"/>
      <c r="BB78" s="257"/>
      <c r="BC78" s="257"/>
      <c r="BD78" s="257"/>
      <c r="BE78" s="257"/>
      <c r="BF78" s="257"/>
      <c r="BG78" s="257"/>
      <c r="BH78" s="257"/>
      <c r="BI78" s="257"/>
      <c r="BJ78" s="257"/>
      <c r="BK78" s="257"/>
      <c r="BL78" s="299"/>
      <c r="BM78" s="302"/>
      <c r="BN78" s="301"/>
      <c r="BO78" s="257"/>
      <c r="BP78" s="257"/>
      <c r="BQ78" s="257"/>
      <c r="BR78" s="257"/>
      <c r="BS78" s="257"/>
      <c r="BT78" s="257"/>
      <c r="BU78" s="257"/>
      <c r="BV78" s="257"/>
      <c r="BW78" s="257"/>
      <c r="BX78" s="257"/>
      <c r="BY78" s="257"/>
      <c r="BZ78" s="257"/>
      <c r="CA78" s="257"/>
      <c r="CB78" s="257"/>
      <c r="CC78" s="257"/>
      <c r="CD78" s="257"/>
      <c r="CE78" s="257"/>
      <c r="CF78" s="257"/>
      <c r="CG78" s="257"/>
      <c r="CH78" s="257"/>
      <c r="CI78" s="257"/>
      <c r="CJ78" s="257"/>
      <c r="CK78" s="257"/>
      <c r="CL78" s="257"/>
      <c r="CM78" s="257"/>
      <c r="CN78" s="257"/>
      <c r="CO78" s="257"/>
      <c r="CP78" s="257"/>
      <c r="CQ78" s="299"/>
      <c r="CR78" s="298"/>
      <c r="CS78" s="257"/>
      <c r="CT78" s="257"/>
      <c r="CU78" s="257"/>
      <c r="CV78" s="257"/>
      <c r="CW78" s="257"/>
      <c r="CX78" s="257"/>
      <c r="CY78" s="257"/>
      <c r="CZ78" s="257"/>
      <c r="DA78" s="299"/>
      <c r="DB78" s="289"/>
      <c r="DC78" s="289"/>
      <c r="DD78" s="289"/>
      <c r="DE78" s="289"/>
      <c r="DF78" s="289"/>
      <c r="DG78" s="289"/>
      <c r="DH78" s="289"/>
      <c r="DI78" s="289"/>
      <c r="DJ78" s="289"/>
      <c r="DK78" s="289"/>
      <c r="DL78" s="289"/>
      <c r="DM78" s="289"/>
      <c r="DN78" s="289"/>
      <c r="DO78" s="289"/>
      <c r="DP78" s="289"/>
      <c r="DQ78" s="289"/>
      <c r="DR78" s="289"/>
      <c r="DS78" s="289"/>
      <c r="DT78" s="289"/>
      <c r="DU78" s="289"/>
      <c r="DV78" s="352"/>
      <c r="DW78" s="288"/>
      <c r="DX78" s="289"/>
      <c r="DY78" s="289"/>
      <c r="DZ78" s="289"/>
      <c r="EA78" s="289"/>
      <c r="EB78" s="289"/>
      <c r="EC78" s="289"/>
      <c r="ED78" s="289"/>
      <c r="EE78" s="289"/>
      <c r="EF78" s="289"/>
      <c r="EG78" s="289"/>
      <c r="EH78" s="289"/>
      <c r="EI78" s="289"/>
      <c r="EJ78" s="289"/>
      <c r="EK78" s="289"/>
      <c r="EL78" s="289"/>
      <c r="EM78" s="289"/>
      <c r="EN78" s="289"/>
      <c r="EO78" s="289"/>
      <c r="EP78" s="289"/>
      <c r="EQ78" s="289"/>
      <c r="ER78" s="289"/>
      <c r="ES78" s="289"/>
      <c r="ET78" s="289"/>
      <c r="EU78" s="289"/>
      <c r="EV78" s="289"/>
      <c r="EW78" s="289"/>
      <c r="EX78" s="289"/>
      <c r="EY78" s="289"/>
      <c r="EZ78" s="289"/>
      <c r="FA78" s="288"/>
      <c r="FB78" s="289"/>
      <c r="FC78" s="289"/>
      <c r="FD78" s="289"/>
      <c r="FE78" s="289"/>
      <c r="FF78" s="289"/>
      <c r="FG78" s="289"/>
      <c r="FH78" s="289"/>
      <c r="FI78" s="289"/>
      <c r="FJ78" s="289"/>
      <c r="FK78" s="289"/>
      <c r="FL78" s="289"/>
      <c r="FM78" s="289"/>
      <c r="FN78" s="289"/>
      <c r="FO78" s="289"/>
      <c r="FP78" s="289"/>
      <c r="FQ78" s="289"/>
      <c r="FR78" s="289"/>
      <c r="FS78" s="289"/>
      <c r="FT78" s="289"/>
      <c r="FU78" s="289"/>
      <c r="FV78" s="289"/>
      <c r="FW78" s="289"/>
      <c r="FX78" s="289"/>
      <c r="FY78" s="289"/>
      <c r="FZ78" s="289"/>
      <c r="GA78" s="289"/>
      <c r="GB78" s="289"/>
      <c r="GC78" s="289"/>
      <c r="GD78" s="289"/>
      <c r="GE78" s="289"/>
      <c r="GF78" s="288"/>
      <c r="GG78" s="289"/>
      <c r="GH78" s="289"/>
      <c r="GI78" s="289"/>
      <c r="GJ78" s="289"/>
      <c r="GK78" s="289"/>
      <c r="GL78" s="289"/>
      <c r="GM78" s="289"/>
      <c r="GN78" s="289"/>
      <c r="GO78" s="289"/>
      <c r="GP78" s="289"/>
      <c r="GQ78" s="289"/>
      <c r="GR78" s="289"/>
      <c r="GS78" s="289"/>
      <c r="GT78" s="289"/>
      <c r="GU78" s="289"/>
      <c r="GV78" s="289"/>
      <c r="GW78" s="289"/>
      <c r="GX78" s="289"/>
      <c r="GY78" s="289"/>
      <c r="GZ78" s="448"/>
    </row>
    <row r="79" spans="1:208" s="225" customFormat="1" ht="20.25" customHeight="1" x14ac:dyDescent="0.25">
      <c r="A79" s="468"/>
      <c r="B79" s="471" t="s">
        <v>109</v>
      </c>
      <c r="C79" s="220" t="s">
        <v>82</v>
      </c>
      <c r="D79" s="221" t="s">
        <v>86</v>
      </c>
      <c r="E79" s="222">
        <f>+E59+E64+E69</f>
        <v>0</v>
      </c>
      <c r="F79" s="223">
        <f t="shared" ref="F79:AF79" si="82">+F59+F64+F69</f>
        <v>0</v>
      </c>
      <c r="G79" s="223">
        <f t="shared" si="82"/>
        <v>0</v>
      </c>
      <c r="H79" s="223">
        <f t="shared" si="82"/>
        <v>0</v>
      </c>
      <c r="I79" s="223">
        <f t="shared" si="82"/>
        <v>0</v>
      </c>
      <c r="J79" s="223">
        <f t="shared" si="82"/>
        <v>0</v>
      </c>
      <c r="K79" s="223">
        <f t="shared" si="82"/>
        <v>0</v>
      </c>
      <c r="L79" s="223">
        <f t="shared" si="82"/>
        <v>0</v>
      </c>
      <c r="M79" s="223">
        <f t="shared" si="82"/>
        <v>0.5</v>
      </c>
      <c r="N79" s="223">
        <f t="shared" si="82"/>
        <v>0</v>
      </c>
      <c r="O79" s="223">
        <f t="shared" si="82"/>
        <v>8</v>
      </c>
      <c r="P79" s="223">
        <f t="shared" si="82"/>
        <v>2</v>
      </c>
      <c r="Q79" s="223">
        <f t="shared" si="82"/>
        <v>0</v>
      </c>
      <c r="R79" s="223">
        <f t="shared" si="82"/>
        <v>5.5</v>
      </c>
      <c r="S79" s="223">
        <f t="shared" si="82"/>
        <v>6</v>
      </c>
      <c r="T79" s="223">
        <f t="shared" si="82"/>
        <v>0</v>
      </c>
      <c r="U79" s="223">
        <f t="shared" si="82"/>
        <v>1</v>
      </c>
      <c r="V79" s="223">
        <f t="shared" si="82"/>
        <v>0</v>
      </c>
      <c r="W79" s="223">
        <f t="shared" si="82"/>
        <v>0</v>
      </c>
      <c r="X79" s="223">
        <f t="shared" si="82"/>
        <v>0</v>
      </c>
      <c r="Y79" s="223">
        <f t="shared" si="82"/>
        <v>0</v>
      </c>
      <c r="Z79" s="223">
        <f t="shared" si="82"/>
        <v>0</v>
      </c>
      <c r="AA79" s="223">
        <f t="shared" si="82"/>
        <v>0</v>
      </c>
      <c r="AB79" s="223">
        <f t="shared" si="82"/>
        <v>0</v>
      </c>
      <c r="AC79" s="223">
        <f t="shared" si="82"/>
        <v>0</v>
      </c>
      <c r="AD79" s="223">
        <f t="shared" si="82"/>
        <v>0</v>
      </c>
      <c r="AE79" s="223">
        <f t="shared" si="82"/>
        <v>0</v>
      </c>
      <c r="AF79" s="223">
        <f t="shared" si="82"/>
        <v>0</v>
      </c>
      <c r="AG79" s="308">
        <f t="shared" ref="AG79" si="83">+AG59+AG64</f>
        <v>0</v>
      </c>
      <c r="AH79" s="223">
        <f t="shared" ref="AH79:BL79" si="84">+AH59+AH64+AH69</f>
        <v>0</v>
      </c>
      <c r="AI79" s="223">
        <f t="shared" si="84"/>
        <v>0</v>
      </c>
      <c r="AJ79" s="223">
        <f t="shared" si="84"/>
        <v>0</v>
      </c>
      <c r="AK79" s="223">
        <f t="shared" si="84"/>
        <v>0</v>
      </c>
      <c r="AL79" s="223">
        <f t="shared" si="84"/>
        <v>0.5</v>
      </c>
      <c r="AM79" s="223">
        <f t="shared" si="84"/>
        <v>0</v>
      </c>
      <c r="AN79" s="223">
        <f t="shared" si="84"/>
        <v>0</v>
      </c>
      <c r="AO79" s="223">
        <f t="shared" si="84"/>
        <v>0</v>
      </c>
      <c r="AP79" s="223">
        <f t="shared" si="84"/>
        <v>0</v>
      </c>
      <c r="AQ79" s="223">
        <f t="shared" si="84"/>
        <v>4</v>
      </c>
      <c r="AR79" s="223">
        <f t="shared" si="84"/>
        <v>0</v>
      </c>
      <c r="AS79" s="223">
        <f t="shared" si="84"/>
        <v>0</v>
      </c>
      <c r="AT79" s="223">
        <f t="shared" si="84"/>
        <v>0</v>
      </c>
      <c r="AU79" s="223">
        <f t="shared" si="84"/>
        <v>0</v>
      </c>
      <c r="AV79" s="223">
        <f t="shared" si="84"/>
        <v>0</v>
      </c>
      <c r="AW79" s="223">
        <f t="shared" si="84"/>
        <v>0</v>
      </c>
      <c r="AX79" s="223">
        <f t="shared" si="84"/>
        <v>0</v>
      </c>
      <c r="AY79" s="223">
        <f t="shared" si="84"/>
        <v>0</v>
      </c>
      <c r="AZ79" s="223">
        <f t="shared" si="84"/>
        <v>0</v>
      </c>
      <c r="BA79" s="223">
        <f t="shared" si="84"/>
        <v>0</v>
      </c>
      <c r="BB79" s="223">
        <f t="shared" si="84"/>
        <v>0</v>
      </c>
      <c r="BC79" s="223">
        <f t="shared" si="84"/>
        <v>0</v>
      </c>
      <c r="BD79" s="223">
        <f t="shared" si="84"/>
        <v>0</v>
      </c>
      <c r="BE79" s="223">
        <f t="shared" si="84"/>
        <v>0</v>
      </c>
      <c r="BF79" s="223">
        <f t="shared" si="84"/>
        <v>0</v>
      </c>
      <c r="BG79" s="223">
        <f t="shared" si="84"/>
        <v>3</v>
      </c>
      <c r="BH79" s="223">
        <f t="shared" si="84"/>
        <v>0</v>
      </c>
      <c r="BI79" s="223">
        <f t="shared" si="84"/>
        <v>1.5</v>
      </c>
      <c r="BJ79" s="223">
        <f t="shared" si="84"/>
        <v>0</v>
      </c>
      <c r="BK79" s="223">
        <f t="shared" si="84"/>
        <v>0</v>
      </c>
      <c r="BL79" s="223">
        <f t="shared" si="84"/>
        <v>0</v>
      </c>
      <c r="BM79" s="253">
        <f>+BM59+BM64</f>
        <v>0</v>
      </c>
      <c r="BN79" s="223">
        <f t="shared" ref="BN79:BR79" si="85">+BN59+BN64+BN69</f>
        <v>0</v>
      </c>
      <c r="BO79" s="223">
        <f t="shared" si="85"/>
        <v>0</v>
      </c>
      <c r="BP79" s="223">
        <f t="shared" si="85"/>
        <v>0</v>
      </c>
      <c r="BQ79" s="223">
        <f t="shared" si="85"/>
        <v>0</v>
      </c>
      <c r="BR79" s="223">
        <f t="shared" si="85"/>
        <v>0</v>
      </c>
      <c r="BS79" s="223">
        <f t="shared" ref="BS79:CS79" si="86">+BS59+BS64+BS69</f>
        <v>0</v>
      </c>
      <c r="BT79" s="223">
        <f t="shared" si="86"/>
        <v>0.5</v>
      </c>
      <c r="BU79" s="223">
        <f t="shared" si="86"/>
        <v>0</v>
      </c>
      <c r="BV79" s="223">
        <f t="shared" si="86"/>
        <v>0</v>
      </c>
      <c r="BW79" s="223">
        <f t="shared" si="86"/>
        <v>0</v>
      </c>
      <c r="BX79" s="223">
        <f t="shared" si="86"/>
        <v>0</v>
      </c>
      <c r="BY79" s="223">
        <f t="shared" si="86"/>
        <v>3.5</v>
      </c>
      <c r="BZ79" s="223">
        <f t="shared" si="86"/>
        <v>0</v>
      </c>
      <c r="CA79" s="223">
        <f t="shared" si="86"/>
        <v>0</v>
      </c>
      <c r="CB79" s="223">
        <f t="shared" si="86"/>
        <v>0.5</v>
      </c>
      <c r="CC79" s="223">
        <f t="shared" si="86"/>
        <v>0</v>
      </c>
      <c r="CD79" s="223">
        <f t="shared" si="86"/>
        <v>0</v>
      </c>
      <c r="CE79" s="223">
        <f t="shared" si="86"/>
        <v>2.5</v>
      </c>
      <c r="CF79" s="223">
        <f t="shared" si="86"/>
        <v>0</v>
      </c>
      <c r="CG79" s="223">
        <f t="shared" si="86"/>
        <v>1</v>
      </c>
      <c r="CH79" s="223">
        <f t="shared" si="86"/>
        <v>0</v>
      </c>
      <c r="CI79" s="223">
        <f t="shared" si="86"/>
        <v>0</v>
      </c>
      <c r="CJ79" s="223">
        <f t="shared" si="86"/>
        <v>0</v>
      </c>
      <c r="CK79" s="223">
        <f t="shared" si="86"/>
        <v>0</v>
      </c>
      <c r="CL79" s="223">
        <f t="shared" si="86"/>
        <v>0.5</v>
      </c>
      <c r="CM79" s="223">
        <f t="shared" si="86"/>
        <v>3</v>
      </c>
      <c r="CN79" s="223">
        <f t="shared" si="86"/>
        <v>1.5</v>
      </c>
      <c r="CO79" s="223">
        <f t="shared" si="86"/>
        <v>0</v>
      </c>
      <c r="CP79" s="223">
        <f t="shared" si="86"/>
        <v>1.5</v>
      </c>
      <c r="CQ79" s="224">
        <f t="shared" si="86"/>
        <v>1.5</v>
      </c>
      <c r="CR79" s="228">
        <f t="shared" si="86"/>
        <v>0</v>
      </c>
      <c r="CS79" s="229">
        <f t="shared" si="86"/>
        <v>0</v>
      </c>
      <c r="CT79" s="229">
        <f t="shared" ref="CT79:DH79" si="87">+CT59+CT64+CT69</f>
        <v>5.5</v>
      </c>
      <c r="CU79" s="229">
        <f t="shared" si="87"/>
        <v>0</v>
      </c>
      <c r="CV79" s="229">
        <f t="shared" si="87"/>
        <v>0</v>
      </c>
      <c r="CW79" s="229">
        <f t="shared" si="87"/>
        <v>3.5</v>
      </c>
      <c r="CX79" s="229">
        <f t="shared" si="87"/>
        <v>0.5</v>
      </c>
      <c r="CY79" s="229">
        <f t="shared" si="87"/>
        <v>0</v>
      </c>
      <c r="CZ79" s="229">
        <f t="shared" si="87"/>
        <v>0</v>
      </c>
      <c r="DA79" s="229">
        <f t="shared" si="87"/>
        <v>0</v>
      </c>
      <c r="DB79" s="229">
        <f t="shared" ref="DB79" si="88">+DB59+DB64+DB69</f>
        <v>3</v>
      </c>
      <c r="DC79" s="229">
        <f t="shared" si="87"/>
        <v>0</v>
      </c>
      <c r="DD79" s="229">
        <f t="shared" si="87"/>
        <v>0.5</v>
      </c>
      <c r="DE79" s="229">
        <f t="shared" si="87"/>
        <v>0</v>
      </c>
      <c r="DF79" s="229">
        <f t="shared" si="87"/>
        <v>0</v>
      </c>
      <c r="DG79" s="229">
        <f t="shared" si="87"/>
        <v>0</v>
      </c>
      <c r="DH79" s="229">
        <f t="shared" si="87"/>
        <v>0.5</v>
      </c>
      <c r="DI79" s="229">
        <f t="shared" ref="DI79" si="89">+DI59+DI64+DI69</f>
        <v>0</v>
      </c>
      <c r="DJ79" s="229">
        <f t="shared" ref="DJ79:DM79" si="90">+DJ59+DJ64+DJ69</f>
        <v>0</v>
      </c>
      <c r="DK79" s="229">
        <f t="shared" si="90"/>
        <v>3</v>
      </c>
      <c r="DL79" s="229">
        <f t="shared" si="90"/>
        <v>0</v>
      </c>
      <c r="DM79" s="229">
        <f t="shared" si="90"/>
        <v>0</v>
      </c>
      <c r="DN79" s="229">
        <f t="shared" ref="DN79:DZ79" si="91">+DN59+DN64+DN69</f>
        <v>0</v>
      </c>
      <c r="DO79" s="229">
        <f t="shared" si="91"/>
        <v>0</v>
      </c>
      <c r="DP79" s="229">
        <f t="shared" si="91"/>
        <v>0</v>
      </c>
      <c r="DQ79" s="229">
        <f t="shared" si="91"/>
        <v>0</v>
      </c>
      <c r="DR79" s="229">
        <f t="shared" si="91"/>
        <v>0</v>
      </c>
      <c r="DS79" s="229">
        <f t="shared" si="91"/>
        <v>0</v>
      </c>
      <c r="DT79" s="229">
        <f t="shared" si="91"/>
        <v>0</v>
      </c>
      <c r="DU79" s="229">
        <f t="shared" si="91"/>
        <v>0</v>
      </c>
      <c r="DV79" s="354">
        <f t="shared" si="91"/>
        <v>0</v>
      </c>
      <c r="DW79" s="228">
        <f t="shared" si="91"/>
        <v>0</v>
      </c>
      <c r="DX79" s="229">
        <f t="shared" si="91"/>
        <v>0</v>
      </c>
      <c r="DY79" s="229">
        <f t="shared" si="91"/>
        <v>0</v>
      </c>
      <c r="DZ79" s="229">
        <f t="shared" si="91"/>
        <v>0</v>
      </c>
      <c r="EA79" s="229">
        <f t="shared" ref="EA79:EN79" si="92">+EA59+EA64+EA69</f>
        <v>0</v>
      </c>
      <c r="EB79" s="229">
        <f t="shared" si="92"/>
        <v>0</v>
      </c>
      <c r="EC79" s="229">
        <f t="shared" si="92"/>
        <v>0</v>
      </c>
      <c r="ED79" s="229">
        <f t="shared" si="92"/>
        <v>1</v>
      </c>
      <c r="EE79" s="229">
        <f t="shared" si="92"/>
        <v>0</v>
      </c>
      <c r="EF79" s="229">
        <f t="shared" si="92"/>
        <v>0</v>
      </c>
      <c r="EG79" s="229">
        <f t="shared" si="92"/>
        <v>0</v>
      </c>
      <c r="EH79" s="229">
        <f t="shared" si="92"/>
        <v>0</v>
      </c>
      <c r="EI79" s="229">
        <f t="shared" si="92"/>
        <v>0</v>
      </c>
      <c r="EJ79" s="229">
        <f t="shared" si="92"/>
        <v>1</v>
      </c>
      <c r="EK79" s="229">
        <f t="shared" si="92"/>
        <v>0</v>
      </c>
      <c r="EL79" s="229">
        <f t="shared" si="92"/>
        <v>0</v>
      </c>
      <c r="EM79" s="229">
        <f t="shared" si="92"/>
        <v>0</v>
      </c>
      <c r="EN79" s="229">
        <f t="shared" si="92"/>
        <v>0</v>
      </c>
      <c r="EO79" s="229">
        <f t="shared" ref="EO79:EZ79" si="93">+EO59+EO64+EO69</f>
        <v>0</v>
      </c>
      <c r="EP79" s="229">
        <f t="shared" si="93"/>
        <v>0</v>
      </c>
      <c r="EQ79" s="229">
        <f t="shared" si="93"/>
        <v>0</v>
      </c>
      <c r="ER79" s="229">
        <f t="shared" si="93"/>
        <v>0</v>
      </c>
      <c r="ES79" s="229">
        <f t="shared" si="93"/>
        <v>0</v>
      </c>
      <c r="ET79" s="229">
        <f t="shared" si="93"/>
        <v>0</v>
      </c>
      <c r="EU79" s="229">
        <f t="shared" si="93"/>
        <v>0</v>
      </c>
      <c r="EV79" s="229">
        <f t="shared" si="93"/>
        <v>0</v>
      </c>
      <c r="EW79" s="229">
        <f t="shared" si="93"/>
        <v>0</v>
      </c>
      <c r="EX79" s="229">
        <f t="shared" si="93"/>
        <v>0</v>
      </c>
      <c r="EY79" s="229">
        <f t="shared" si="93"/>
        <v>0</v>
      </c>
      <c r="EZ79" s="390">
        <f t="shared" si="93"/>
        <v>0</v>
      </c>
      <c r="FA79" s="228">
        <f t="shared" ref="FA79:FL79" si="94">+FA59+FA64+FA69</f>
        <v>0</v>
      </c>
      <c r="FB79" s="229">
        <f t="shared" si="94"/>
        <v>0</v>
      </c>
      <c r="FC79" s="229">
        <f t="shared" si="94"/>
        <v>0</v>
      </c>
      <c r="FD79" s="229">
        <f t="shared" si="94"/>
        <v>0</v>
      </c>
      <c r="FE79" s="229">
        <f t="shared" si="94"/>
        <v>0</v>
      </c>
      <c r="FF79" s="229">
        <f t="shared" si="94"/>
        <v>0</v>
      </c>
      <c r="FG79" s="229">
        <f t="shared" si="94"/>
        <v>0</v>
      </c>
      <c r="FH79" s="229">
        <f t="shared" si="94"/>
        <v>0</v>
      </c>
      <c r="FI79" s="229">
        <f t="shared" si="94"/>
        <v>0</v>
      </c>
      <c r="FJ79" s="229">
        <f t="shared" si="94"/>
        <v>0</v>
      </c>
      <c r="FK79" s="229">
        <f t="shared" si="94"/>
        <v>0</v>
      </c>
      <c r="FL79" s="229">
        <f t="shared" si="94"/>
        <v>0</v>
      </c>
      <c r="FM79" s="229">
        <f t="shared" ref="FM79:GC79" si="95">+FM59+FM64+FM69</f>
        <v>0</v>
      </c>
      <c r="FN79" s="229">
        <f t="shared" si="95"/>
        <v>0</v>
      </c>
      <c r="FO79" s="229">
        <f t="shared" si="95"/>
        <v>0</v>
      </c>
      <c r="FP79" s="229">
        <f t="shared" si="95"/>
        <v>0</v>
      </c>
      <c r="FQ79" s="229">
        <f t="shared" si="95"/>
        <v>0</v>
      </c>
      <c r="FR79" s="229">
        <f t="shared" si="95"/>
        <v>0</v>
      </c>
      <c r="FS79" s="229">
        <f t="shared" si="95"/>
        <v>0</v>
      </c>
      <c r="FT79" s="229">
        <f t="shared" si="95"/>
        <v>0</v>
      </c>
      <c r="FU79" s="229">
        <f t="shared" si="95"/>
        <v>0</v>
      </c>
      <c r="FV79" s="229">
        <f t="shared" si="95"/>
        <v>0</v>
      </c>
      <c r="FW79" s="229">
        <f t="shared" si="95"/>
        <v>0</v>
      </c>
      <c r="FX79" s="229">
        <f t="shared" si="95"/>
        <v>0</v>
      </c>
      <c r="FY79" s="229">
        <f t="shared" si="95"/>
        <v>0</v>
      </c>
      <c r="FZ79" s="229">
        <f t="shared" si="95"/>
        <v>0</v>
      </c>
      <c r="GA79" s="229">
        <f t="shared" si="95"/>
        <v>0</v>
      </c>
      <c r="GB79" s="229">
        <f t="shared" si="95"/>
        <v>0</v>
      </c>
      <c r="GC79" s="229">
        <f t="shared" si="95"/>
        <v>0</v>
      </c>
      <c r="GD79" s="229">
        <f t="shared" ref="GD79:GT79" si="96">+GD59+GD64+GD69</f>
        <v>0</v>
      </c>
      <c r="GE79" s="390">
        <f t="shared" si="96"/>
        <v>0</v>
      </c>
      <c r="GF79" s="228">
        <f t="shared" si="96"/>
        <v>0</v>
      </c>
      <c r="GG79" s="229">
        <f t="shared" si="96"/>
        <v>0</v>
      </c>
      <c r="GH79" s="229">
        <f t="shared" si="96"/>
        <v>0</v>
      </c>
      <c r="GI79" s="229">
        <f t="shared" si="96"/>
        <v>0</v>
      </c>
      <c r="GJ79" s="229">
        <f t="shared" si="96"/>
        <v>0</v>
      </c>
      <c r="GK79" s="229">
        <f t="shared" si="96"/>
        <v>0</v>
      </c>
      <c r="GL79" s="229">
        <f t="shared" si="96"/>
        <v>0</v>
      </c>
      <c r="GM79" s="229">
        <f t="shared" si="96"/>
        <v>0</v>
      </c>
      <c r="GN79" s="229">
        <f t="shared" si="96"/>
        <v>0</v>
      </c>
      <c r="GO79" s="229">
        <f t="shared" si="96"/>
        <v>0</v>
      </c>
      <c r="GP79" s="229">
        <f t="shared" si="96"/>
        <v>0</v>
      </c>
      <c r="GQ79" s="229">
        <f t="shared" si="96"/>
        <v>0</v>
      </c>
      <c r="GR79" s="229">
        <f t="shared" si="96"/>
        <v>0</v>
      </c>
      <c r="GS79" s="229">
        <f t="shared" si="96"/>
        <v>0</v>
      </c>
      <c r="GT79" s="229">
        <f t="shared" si="96"/>
        <v>0</v>
      </c>
      <c r="GU79" s="229">
        <f t="shared" ref="GU79:GY79" si="97">+GU59+GU64+GU69</f>
        <v>0</v>
      </c>
      <c r="GV79" s="229">
        <f t="shared" si="97"/>
        <v>0</v>
      </c>
      <c r="GW79" s="229">
        <f t="shared" si="97"/>
        <v>0</v>
      </c>
      <c r="GX79" s="229">
        <f t="shared" si="97"/>
        <v>0</v>
      </c>
      <c r="GY79" s="390">
        <f t="shared" si="97"/>
        <v>0</v>
      </c>
      <c r="GZ79" s="445">
        <f>SUM(E79:CZ79)</f>
        <v>57.5</v>
      </c>
    </row>
    <row r="80" spans="1:208" s="225" customFormat="1" ht="20.25" customHeight="1" x14ac:dyDescent="0.25">
      <c r="A80" s="469"/>
      <c r="B80" s="472"/>
      <c r="C80" s="226" t="s">
        <v>102</v>
      </c>
      <c r="D80" s="227" t="s">
        <v>87</v>
      </c>
      <c r="E80" s="228">
        <f>E60+E61+E65+E66+E70+E71+E75</f>
        <v>0</v>
      </c>
      <c r="F80" s="228">
        <f t="shared" ref="F80:BQ80" si="98">F60+F61+F65+F66+F70+F71+F75</f>
        <v>0</v>
      </c>
      <c r="G80" s="228">
        <f t="shared" si="98"/>
        <v>0</v>
      </c>
      <c r="H80" s="228">
        <f t="shared" si="98"/>
        <v>0</v>
      </c>
      <c r="I80" s="228">
        <f t="shared" si="98"/>
        <v>0</v>
      </c>
      <c r="J80" s="228">
        <f t="shared" si="98"/>
        <v>0</v>
      </c>
      <c r="K80" s="228">
        <f t="shared" si="98"/>
        <v>0</v>
      </c>
      <c r="L80" s="228">
        <f t="shared" si="98"/>
        <v>24</v>
      </c>
      <c r="M80" s="228">
        <f t="shared" si="98"/>
        <v>8.5500000000000007</v>
      </c>
      <c r="N80" s="228">
        <f t="shared" si="98"/>
        <v>0</v>
      </c>
      <c r="O80" s="228">
        <f t="shared" si="98"/>
        <v>0</v>
      </c>
      <c r="P80" s="228">
        <f t="shared" si="98"/>
        <v>0</v>
      </c>
      <c r="Q80" s="228">
        <f t="shared" si="98"/>
        <v>0</v>
      </c>
      <c r="R80" s="228">
        <f t="shared" si="98"/>
        <v>11.399999999999999</v>
      </c>
      <c r="S80" s="228">
        <f t="shared" si="98"/>
        <v>2.75</v>
      </c>
      <c r="T80" s="228">
        <f t="shared" si="98"/>
        <v>32.9</v>
      </c>
      <c r="U80" s="228">
        <f t="shared" si="98"/>
        <v>0</v>
      </c>
      <c r="V80" s="228">
        <f t="shared" si="98"/>
        <v>0</v>
      </c>
      <c r="W80" s="228">
        <f t="shared" si="98"/>
        <v>123</v>
      </c>
      <c r="X80" s="228">
        <f t="shared" si="98"/>
        <v>0</v>
      </c>
      <c r="Y80" s="228">
        <f t="shared" si="98"/>
        <v>7.5</v>
      </c>
      <c r="Z80" s="228">
        <f t="shared" si="98"/>
        <v>0</v>
      </c>
      <c r="AA80" s="228">
        <f t="shared" si="98"/>
        <v>29</v>
      </c>
      <c r="AB80" s="228">
        <f t="shared" si="98"/>
        <v>7</v>
      </c>
      <c r="AC80" s="228">
        <f t="shared" si="98"/>
        <v>0</v>
      </c>
      <c r="AD80" s="228">
        <f t="shared" si="98"/>
        <v>21</v>
      </c>
      <c r="AE80" s="228">
        <f t="shared" si="98"/>
        <v>0</v>
      </c>
      <c r="AF80" s="228">
        <f t="shared" si="98"/>
        <v>3</v>
      </c>
      <c r="AG80" s="303">
        <f t="shared" ref="AG80" si="99">AG60+AG61+AG65+AG66</f>
        <v>0</v>
      </c>
      <c r="AH80" s="228">
        <f t="shared" si="98"/>
        <v>0</v>
      </c>
      <c r="AI80" s="228">
        <f t="shared" si="98"/>
        <v>7.85</v>
      </c>
      <c r="AJ80" s="228">
        <f t="shared" si="98"/>
        <v>0</v>
      </c>
      <c r="AK80" s="228">
        <f t="shared" si="98"/>
        <v>0</v>
      </c>
      <c r="AL80" s="228">
        <f t="shared" si="98"/>
        <v>6</v>
      </c>
      <c r="AM80" s="228">
        <f t="shared" si="98"/>
        <v>0</v>
      </c>
      <c r="AN80" s="228">
        <f t="shared" si="98"/>
        <v>0</v>
      </c>
      <c r="AO80" s="228">
        <f t="shared" si="98"/>
        <v>32.549999999999997</v>
      </c>
      <c r="AP80" s="228">
        <f t="shared" si="98"/>
        <v>0</v>
      </c>
      <c r="AQ80" s="228">
        <f t="shared" si="98"/>
        <v>14</v>
      </c>
      <c r="AR80" s="228">
        <f t="shared" si="98"/>
        <v>10.5</v>
      </c>
      <c r="AS80" s="228">
        <f t="shared" si="98"/>
        <v>7.2</v>
      </c>
      <c r="AT80" s="228">
        <f t="shared" si="98"/>
        <v>0</v>
      </c>
      <c r="AU80" s="228">
        <f t="shared" si="98"/>
        <v>36</v>
      </c>
      <c r="AV80" s="228">
        <f t="shared" si="98"/>
        <v>8.1</v>
      </c>
      <c r="AW80" s="228">
        <f t="shared" si="98"/>
        <v>0</v>
      </c>
      <c r="AX80" s="228">
        <f t="shared" si="98"/>
        <v>12.8</v>
      </c>
      <c r="AY80" s="228">
        <f t="shared" si="98"/>
        <v>13.1</v>
      </c>
      <c r="AZ80" s="228">
        <f t="shared" si="98"/>
        <v>0</v>
      </c>
      <c r="BA80" s="228">
        <f t="shared" si="98"/>
        <v>0</v>
      </c>
      <c r="BB80" s="228">
        <f t="shared" si="98"/>
        <v>0</v>
      </c>
      <c r="BC80" s="228">
        <f t="shared" si="98"/>
        <v>0</v>
      </c>
      <c r="BD80" s="228">
        <f t="shared" si="98"/>
        <v>0</v>
      </c>
      <c r="BE80" s="228">
        <f t="shared" si="98"/>
        <v>8.1999999999999993</v>
      </c>
      <c r="BF80" s="228">
        <f t="shared" si="98"/>
        <v>11</v>
      </c>
      <c r="BG80" s="228">
        <f t="shared" si="98"/>
        <v>5.5</v>
      </c>
      <c r="BH80" s="228">
        <f t="shared" si="98"/>
        <v>0</v>
      </c>
      <c r="BI80" s="228">
        <f t="shared" si="98"/>
        <v>19.149999999999999</v>
      </c>
      <c r="BJ80" s="228">
        <f t="shared" si="98"/>
        <v>8</v>
      </c>
      <c r="BK80" s="228">
        <f t="shared" si="98"/>
        <v>0</v>
      </c>
      <c r="BL80" s="228">
        <f t="shared" si="98"/>
        <v>9.25</v>
      </c>
      <c r="BM80" s="254">
        <f>BM60+BM61+BM65+BM66</f>
        <v>0</v>
      </c>
      <c r="BN80" s="228">
        <f t="shared" si="98"/>
        <v>28.6</v>
      </c>
      <c r="BO80" s="228">
        <f t="shared" si="98"/>
        <v>28.45</v>
      </c>
      <c r="BP80" s="228">
        <f t="shared" si="98"/>
        <v>0</v>
      </c>
      <c r="BQ80" s="228">
        <f t="shared" si="98"/>
        <v>11.5</v>
      </c>
      <c r="BR80" s="228">
        <f t="shared" ref="BR80:DI80" si="100">BR60+BR61+BR65+BR66+BR70+BR71+BR75</f>
        <v>20.7</v>
      </c>
      <c r="BS80" s="228">
        <f t="shared" si="100"/>
        <v>11.7</v>
      </c>
      <c r="BT80" s="228">
        <f t="shared" si="100"/>
        <v>7</v>
      </c>
      <c r="BU80" s="228">
        <f t="shared" si="100"/>
        <v>6.65</v>
      </c>
      <c r="BV80" s="228">
        <f t="shared" si="100"/>
        <v>0</v>
      </c>
      <c r="BW80" s="228">
        <f t="shared" si="100"/>
        <v>0</v>
      </c>
      <c r="BX80" s="228">
        <f t="shared" si="100"/>
        <v>0</v>
      </c>
      <c r="BY80" s="228">
        <f t="shared" si="100"/>
        <v>70.599999999999994</v>
      </c>
      <c r="BZ80" s="228">
        <f t="shared" si="100"/>
        <v>30.55</v>
      </c>
      <c r="CA80" s="228">
        <f t="shared" si="100"/>
        <v>0</v>
      </c>
      <c r="CB80" s="228">
        <f t="shared" si="100"/>
        <v>35.1</v>
      </c>
      <c r="CC80" s="228">
        <f t="shared" si="100"/>
        <v>26</v>
      </c>
      <c r="CD80" s="228">
        <f t="shared" si="100"/>
        <v>0</v>
      </c>
      <c r="CE80" s="228">
        <f t="shared" si="100"/>
        <v>36.5</v>
      </c>
      <c r="CF80" s="228">
        <f t="shared" si="100"/>
        <v>7.9</v>
      </c>
      <c r="CG80" s="228">
        <f t="shared" si="100"/>
        <v>7.5</v>
      </c>
      <c r="CH80" s="228">
        <f t="shared" si="100"/>
        <v>0</v>
      </c>
      <c r="CI80" s="228">
        <f t="shared" si="100"/>
        <v>7.55</v>
      </c>
      <c r="CJ80" s="228">
        <f t="shared" si="100"/>
        <v>16.45</v>
      </c>
      <c r="CK80" s="228">
        <f t="shared" si="100"/>
        <v>0</v>
      </c>
      <c r="CL80" s="228">
        <f t="shared" si="100"/>
        <v>5</v>
      </c>
      <c r="CM80" s="228">
        <f t="shared" si="100"/>
        <v>2.5</v>
      </c>
      <c r="CN80" s="228">
        <f t="shared" si="100"/>
        <v>25</v>
      </c>
      <c r="CO80" s="228">
        <f t="shared" si="100"/>
        <v>4</v>
      </c>
      <c r="CP80" s="228">
        <f t="shared" si="100"/>
        <v>69.599999999999994</v>
      </c>
      <c r="CQ80" s="341">
        <f t="shared" si="100"/>
        <v>23.5</v>
      </c>
      <c r="CR80" s="228">
        <f t="shared" si="100"/>
        <v>0</v>
      </c>
      <c r="CS80" s="229">
        <f t="shared" si="100"/>
        <v>0</v>
      </c>
      <c r="CT80" s="229">
        <f t="shared" si="100"/>
        <v>33.5</v>
      </c>
      <c r="CU80" s="229">
        <f t="shared" si="100"/>
        <v>69.5</v>
      </c>
      <c r="CV80" s="229">
        <f t="shared" si="100"/>
        <v>3.5</v>
      </c>
      <c r="CW80" s="229">
        <f t="shared" si="100"/>
        <v>10.85</v>
      </c>
      <c r="CX80" s="229">
        <f t="shared" si="100"/>
        <v>0</v>
      </c>
      <c r="CY80" s="229">
        <f t="shared" si="100"/>
        <v>0</v>
      </c>
      <c r="CZ80" s="229">
        <f t="shared" si="100"/>
        <v>26</v>
      </c>
      <c r="DA80" s="229">
        <f t="shared" si="100"/>
        <v>21</v>
      </c>
      <c r="DB80" s="229">
        <f t="shared" si="100"/>
        <v>10.5</v>
      </c>
      <c r="DC80" s="229">
        <f t="shared" si="100"/>
        <v>18</v>
      </c>
      <c r="DD80" s="229">
        <f t="shared" si="100"/>
        <v>6.05</v>
      </c>
      <c r="DE80" s="229">
        <f t="shared" si="100"/>
        <v>13.75</v>
      </c>
      <c r="DF80" s="229">
        <f t="shared" si="100"/>
        <v>0</v>
      </c>
      <c r="DG80" s="229">
        <f t="shared" si="100"/>
        <v>23.5</v>
      </c>
      <c r="DH80" s="229">
        <f t="shared" si="100"/>
        <v>1.5</v>
      </c>
      <c r="DI80" s="229">
        <f t="shared" si="100"/>
        <v>3.5</v>
      </c>
      <c r="DJ80" s="229">
        <f t="shared" ref="DJ80:DM80" si="101">DJ60+DJ61+DJ65+DJ66+DJ70+DJ71+DJ75</f>
        <v>0</v>
      </c>
      <c r="DK80" s="229">
        <f t="shared" si="101"/>
        <v>6.6</v>
      </c>
      <c r="DL80" s="229">
        <f t="shared" si="101"/>
        <v>3</v>
      </c>
      <c r="DM80" s="229">
        <f t="shared" si="101"/>
        <v>0</v>
      </c>
      <c r="DN80" s="229">
        <f t="shared" ref="DN80:DZ80" si="102">DN60+DN61+DN65+DN66+DN70+DN71+DN75</f>
        <v>33.6</v>
      </c>
      <c r="DO80" s="229">
        <f t="shared" si="102"/>
        <v>9</v>
      </c>
      <c r="DP80" s="229">
        <f t="shared" si="102"/>
        <v>23.2</v>
      </c>
      <c r="DQ80" s="229">
        <f t="shared" si="102"/>
        <v>0</v>
      </c>
      <c r="DR80" s="229">
        <f t="shared" si="102"/>
        <v>0</v>
      </c>
      <c r="DS80" s="229">
        <f t="shared" si="102"/>
        <v>0</v>
      </c>
      <c r="DT80" s="229">
        <f t="shared" si="102"/>
        <v>0</v>
      </c>
      <c r="DU80" s="229">
        <f t="shared" si="102"/>
        <v>0</v>
      </c>
      <c r="DV80" s="354">
        <f t="shared" si="102"/>
        <v>14.3</v>
      </c>
      <c r="DW80" s="228">
        <f t="shared" si="102"/>
        <v>10</v>
      </c>
      <c r="DX80" s="229">
        <f t="shared" si="102"/>
        <v>12.25</v>
      </c>
      <c r="DY80" s="229">
        <f t="shared" si="102"/>
        <v>0</v>
      </c>
      <c r="DZ80" s="229">
        <f t="shared" si="102"/>
        <v>11.05</v>
      </c>
      <c r="EA80" s="229">
        <f t="shared" ref="EA80:EN80" si="103">EA60+EA61+EA65+EA66+EA70+EA71+EA75</f>
        <v>0</v>
      </c>
      <c r="EB80" s="229">
        <f t="shared" si="103"/>
        <v>9.5</v>
      </c>
      <c r="EC80" s="229">
        <f t="shared" si="103"/>
        <v>9.85</v>
      </c>
      <c r="ED80" s="229">
        <f t="shared" si="103"/>
        <v>14</v>
      </c>
      <c r="EE80" s="229">
        <f t="shared" si="103"/>
        <v>8.5</v>
      </c>
      <c r="EF80" s="229">
        <f t="shared" si="103"/>
        <v>0</v>
      </c>
      <c r="EG80" s="229">
        <f t="shared" si="103"/>
        <v>14</v>
      </c>
      <c r="EH80" s="229">
        <f t="shared" si="103"/>
        <v>0</v>
      </c>
      <c r="EI80" s="229">
        <f t="shared" si="103"/>
        <v>30</v>
      </c>
      <c r="EJ80" s="229">
        <f t="shared" si="103"/>
        <v>13.5</v>
      </c>
      <c r="EK80" s="229">
        <f t="shared" si="103"/>
        <v>0</v>
      </c>
      <c r="EL80" s="229">
        <f t="shared" si="103"/>
        <v>24.55</v>
      </c>
      <c r="EM80" s="229">
        <f t="shared" si="103"/>
        <v>11.4</v>
      </c>
      <c r="EN80" s="229">
        <f t="shared" si="103"/>
        <v>24</v>
      </c>
      <c r="EO80" s="229">
        <f t="shared" ref="EO80:EZ80" si="104">EO60+EO61+EO65+EO66+EO70+EO71+EO75</f>
        <v>0</v>
      </c>
      <c r="EP80" s="229">
        <f t="shared" si="104"/>
        <v>19.8</v>
      </c>
      <c r="EQ80" s="229">
        <f t="shared" si="104"/>
        <v>0</v>
      </c>
      <c r="ER80" s="229">
        <f t="shared" si="104"/>
        <v>12</v>
      </c>
      <c r="ES80" s="229">
        <f t="shared" si="104"/>
        <v>9.5</v>
      </c>
      <c r="ET80" s="229">
        <f t="shared" si="104"/>
        <v>8.75</v>
      </c>
      <c r="EU80" s="229">
        <f t="shared" si="104"/>
        <v>3.5</v>
      </c>
      <c r="EV80" s="229">
        <f t="shared" si="104"/>
        <v>0</v>
      </c>
      <c r="EW80" s="229">
        <f t="shared" si="104"/>
        <v>33.299999999999997</v>
      </c>
      <c r="EX80" s="229">
        <f t="shared" si="104"/>
        <v>0</v>
      </c>
      <c r="EY80" s="229">
        <f t="shared" si="104"/>
        <v>0</v>
      </c>
      <c r="EZ80" s="390">
        <f t="shared" si="104"/>
        <v>28</v>
      </c>
      <c r="FA80" s="228">
        <f t="shared" ref="FA80:FL80" si="105">FA60+FA61+FA65+FA66+FA70+FA71+FA75</f>
        <v>11.4</v>
      </c>
      <c r="FB80" s="229">
        <f t="shared" si="105"/>
        <v>14</v>
      </c>
      <c r="FC80" s="229">
        <f t="shared" si="105"/>
        <v>0</v>
      </c>
      <c r="FD80" s="229">
        <f t="shared" si="105"/>
        <v>9.5</v>
      </c>
      <c r="FE80" s="229">
        <f t="shared" si="105"/>
        <v>0</v>
      </c>
      <c r="FF80" s="229">
        <f t="shared" si="105"/>
        <v>0</v>
      </c>
      <c r="FG80" s="229">
        <f t="shared" si="105"/>
        <v>0</v>
      </c>
      <c r="FH80" s="229">
        <f t="shared" si="105"/>
        <v>10</v>
      </c>
      <c r="FI80" s="229">
        <f t="shared" si="105"/>
        <v>5.75</v>
      </c>
      <c r="FJ80" s="229">
        <f t="shared" si="105"/>
        <v>0</v>
      </c>
      <c r="FK80" s="229">
        <f t="shared" si="105"/>
        <v>0</v>
      </c>
      <c r="FL80" s="229">
        <f t="shared" si="105"/>
        <v>13.5</v>
      </c>
      <c r="FM80" s="229">
        <f t="shared" ref="FM80:GC80" si="106">FM60+FM61+FM65+FM66+FM70+FM71+FM75</f>
        <v>11.5</v>
      </c>
      <c r="FN80" s="229">
        <f t="shared" si="106"/>
        <v>8.75</v>
      </c>
      <c r="FO80" s="229">
        <f t="shared" si="106"/>
        <v>26</v>
      </c>
      <c r="FP80" s="229">
        <f t="shared" si="106"/>
        <v>0</v>
      </c>
      <c r="FQ80" s="229">
        <f t="shared" si="106"/>
        <v>4.75</v>
      </c>
      <c r="FR80" s="229">
        <f t="shared" si="106"/>
        <v>0</v>
      </c>
      <c r="FS80" s="229">
        <f t="shared" si="106"/>
        <v>0</v>
      </c>
      <c r="FT80" s="229">
        <f t="shared" si="106"/>
        <v>0</v>
      </c>
      <c r="FU80" s="229">
        <f t="shared" si="106"/>
        <v>0</v>
      </c>
      <c r="FV80" s="229">
        <f t="shared" si="106"/>
        <v>10</v>
      </c>
      <c r="FW80" s="229">
        <f t="shared" si="106"/>
        <v>5.5</v>
      </c>
      <c r="FX80" s="229">
        <f t="shared" si="106"/>
        <v>0</v>
      </c>
      <c r="FY80" s="229">
        <f t="shared" si="106"/>
        <v>0</v>
      </c>
      <c r="FZ80" s="229">
        <f t="shared" si="106"/>
        <v>8.25</v>
      </c>
      <c r="GA80" s="229">
        <f t="shared" si="106"/>
        <v>0</v>
      </c>
      <c r="GB80" s="229">
        <f t="shared" si="106"/>
        <v>8</v>
      </c>
      <c r="GC80" s="229">
        <f t="shared" si="106"/>
        <v>1.55</v>
      </c>
      <c r="GD80" s="229">
        <f t="shared" ref="GD80:GT80" si="107">GD60+GD61+GD65+GD66+GD70+GD71+GD75</f>
        <v>34</v>
      </c>
      <c r="GE80" s="390">
        <f t="shared" si="107"/>
        <v>0</v>
      </c>
      <c r="GF80" s="228">
        <f t="shared" si="107"/>
        <v>0</v>
      </c>
      <c r="GG80" s="229">
        <f t="shared" si="107"/>
        <v>10.199999999999999</v>
      </c>
      <c r="GH80" s="229">
        <f t="shared" si="107"/>
        <v>3</v>
      </c>
      <c r="GI80" s="229">
        <f t="shared" si="107"/>
        <v>0</v>
      </c>
      <c r="GJ80" s="229">
        <f t="shared" si="107"/>
        <v>0</v>
      </c>
      <c r="GK80" s="229">
        <f t="shared" si="107"/>
        <v>9.4</v>
      </c>
      <c r="GL80" s="229">
        <f t="shared" si="107"/>
        <v>0</v>
      </c>
      <c r="GM80" s="229">
        <f t="shared" si="107"/>
        <v>0</v>
      </c>
      <c r="GN80" s="229">
        <f t="shared" si="107"/>
        <v>0</v>
      </c>
      <c r="GO80" s="229">
        <f t="shared" si="107"/>
        <v>0</v>
      </c>
      <c r="GP80" s="229">
        <f t="shared" si="107"/>
        <v>14.05</v>
      </c>
      <c r="GQ80" s="229">
        <f t="shared" si="107"/>
        <v>0</v>
      </c>
      <c r="GR80" s="229">
        <f t="shared" si="107"/>
        <v>0</v>
      </c>
      <c r="GS80" s="229">
        <f t="shared" si="107"/>
        <v>0</v>
      </c>
      <c r="GT80" s="229">
        <f t="shared" si="107"/>
        <v>5</v>
      </c>
      <c r="GU80" s="229">
        <f t="shared" ref="GU80:GY80" si="108">GU60+GU61+GU65+GU66+GU70+GU71+GU75</f>
        <v>0</v>
      </c>
      <c r="GV80" s="229">
        <f t="shared" si="108"/>
        <v>15.5</v>
      </c>
      <c r="GW80" s="229">
        <f t="shared" si="108"/>
        <v>0</v>
      </c>
      <c r="GX80" s="229">
        <f t="shared" si="108"/>
        <v>7</v>
      </c>
      <c r="GY80" s="390">
        <f t="shared" si="108"/>
        <v>0</v>
      </c>
      <c r="GZ80" s="446">
        <f>SUM(E80:CZ80)</f>
        <v>1105</v>
      </c>
    </row>
    <row r="81" spans="1:208" s="225" customFormat="1" ht="20.25" customHeight="1" thickBot="1" x14ac:dyDescent="0.3">
      <c r="A81" s="470"/>
      <c r="B81" s="473"/>
      <c r="C81" s="231" t="s">
        <v>84</v>
      </c>
      <c r="D81" s="232" t="s">
        <v>88</v>
      </c>
      <c r="E81" s="233">
        <f>+E62+E67+E72</f>
        <v>0</v>
      </c>
      <c r="F81" s="234">
        <f t="shared" ref="F81:AF81" si="109">+F62+F67+F72</f>
        <v>0</v>
      </c>
      <c r="G81" s="234">
        <f t="shared" si="109"/>
        <v>0</v>
      </c>
      <c r="H81" s="234">
        <f t="shared" si="109"/>
        <v>975</v>
      </c>
      <c r="I81" s="234">
        <f t="shared" si="109"/>
        <v>0</v>
      </c>
      <c r="J81" s="234">
        <f t="shared" si="109"/>
        <v>0</v>
      </c>
      <c r="K81" s="234">
        <f t="shared" si="109"/>
        <v>0</v>
      </c>
      <c r="L81" s="234">
        <f t="shared" si="109"/>
        <v>0</v>
      </c>
      <c r="M81" s="234">
        <f t="shared" si="109"/>
        <v>0</v>
      </c>
      <c r="N81" s="234">
        <f t="shared" si="109"/>
        <v>0</v>
      </c>
      <c r="O81" s="234">
        <f t="shared" si="109"/>
        <v>0</v>
      </c>
      <c r="P81" s="234">
        <f t="shared" si="109"/>
        <v>0</v>
      </c>
      <c r="Q81" s="234">
        <f t="shared" si="109"/>
        <v>0</v>
      </c>
      <c r="R81" s="234">
        <f t="shared" si="109"/>
        <v>0</v>
      </c>
      <c r="S81" s="234">
        <f t="shared" si="109"/>
        <v>0</v>
      </c>
      <c r="T81" s="234">
        <f t="shared" si="109"/>
        <v>0</v>
      </c>
      <c r="U81" s="234">
        <f t="shared" si="109"/>
        <v>0</v>
      </c>
      <c r="V81" s="234">
        <f t="shared" si="109"/>
        <v>0</v>
      </c>
      <c r="W81" s="234">
        <f t="shared" si="109"/>
        <v>0</v>
      </c>
      <c r="X81" s="234">
        <f t="shared" si="109"/>
        <v>0</v>
      </c>
      <c r="Y81" s="234">
        <f t="shared" si="109"/>
        <v>0</v>
      </c>
      <c r="Z81" s="234">
        <f t="shared" si="109"/>
        <v>0</v>
      </c>
      <c r="AA81" s="234">
        <f t="shared" si="109"/>
        <v>0</v>
      </c>
      <c r="AB81" s="234">
        <f t="shared" si="109"/>
        <v>0</v>
      </c>
      <c r="AC81" s="234">
        <f t="shared" si="109"/>
        <v>683</v>
      </c>
      <c r="AD81" s="234">
        <f t="shared" si="109"/>
        <v>0</v>
      </c>
      <c r="AE81" s="234">
        <f t="shared" si="109"/>
        <v>0</v>
      </c>
      <c r="AF81" s="234">
        <f t="shared" si="109"/>
        <v>0</v>
      </c>
      <c r="AG81" s="309">
        <f t="shared" ref="AG81" si="110">+AG62+AG67</f>
        <v>0</v>
      </c>
      <c r="AH81" s="234">
        <f t="shared" ref="AH81:BL81" si="111">+AH62+AH67+AH72</f>
        <v>0</v>
      </c>
      <c r="AI81" s="234">
        <f t="shared" si="111"/>
        <v>0</v>
      </c>
      <c r="AJ81" s="234">
        <f t="shared" si="111"/>
        <v>0</v>
      </c>
      <c r="AK81" s="234">
        <f t="shared" si="111"/>
        <v>0</v>
      </c>
      <c r="AL81" s="234">
        <f t="shared" si="111"/>
        <v>0</v>
      </c>
      <c r="AM81" s="234">
        <f t="shared" si="111"/>
        <v>0</v>
      </c>
      <c r="AN81" s="234">
        <f t="shared" si="111"/>
        <v>0</v>
      </c>
      <c r="AO81" s="234">
        <f t="shared" si="111"/>
        <v>0</v>
      </c>
      <c r="AP81" s="234">
        <f t="shared" si="111"/>
        <v>168</v>
      </c>
      <c r="AQ81" s="234">
        <f t="shared" si="111"/>
        <v>0</v>
      </c>
      <c r="AR81" s="234">
        <f t="shared" si="111"/>
        <v>0</v>
      </c>
      <c r="AS81" s="234">
        <f t="shared" si="111"/>
        <v>0</v>
      </c>
      <c r="AT81" s="234">
        <f t="shared" si="111"/>
        <v>0</v>
      </c>
      <c r="AU81" s="234">
        <f t="shared" si="111"/>
        <v>0</v>
      </c>
      <c r="AV81" s="234">
        <f t="shared" si="111"/>
        <v>0</v>
      </c>
      <c r="AW81" s="234">
        <f t="shared" si="111"/>
        <v>0</v>
      </c>
      <c r="AX81" s="234">
        <f t="shared" si="111"/>
        <v>0</v>
      </c>
      <c r="AY81" s="234">
        <f t="shared" si="111"/>
        <v>0</v>
      </c>
      <c r="AZ81" s="234">
        <f t="shared" si="111"/>
        <v>0</v>
      </c>
      <c r="BA81" s="234">
        <f t="shared" si="111"/>
        <v>0</v>
      </c>
      <c r="BB81" s="234">
        <f t="shared" si="111"/>
        <v>0</v>
      </c>
      <c r="BC81" s="234">
        <f t="shared" si="111"/>
        <v>0</v>
      </c>
      <c r="BD81" s="234">
        <f t="shared" si="111"/>
        <v>0</v>
      </c>
      <c r="BE81" s="234">
        <f t="shared" si="111"/>
        <v>0</v>
      </c>
      <c r="BF81" s="234">
        <f t="shared" si="111"/>
        <v>0</v>
      </c>
      <c r="BG81" s="234">
        <f t="shared" si="111"/>
        <v>0</v>
      </c>
      <c r="BH81" s="234">
        <f t="shared" si="111"/>
        <v>0</v>
      </c>
      <c r="BI81" s="234">
        <f t="shared" si="111"/>
        <v>0</v>
      </c>
      <c r="BJ81" s="234">
        <f t="shared" si="111"/>
        <v>0</v>
      </c>
      <c r="BK81" s="234">
        <f t="shared" si="111"/>
        <v>0</v>
      </c>
      <c r="BL81" s="234">
        <f t="shared" si="111"/>
        <v>0</v>
      </c>
      <c r="BM81" s="255">
        <f>+BM62+BM67</f>
        <v>0</v>
      </c>
      <c r="BN81" s="234">
        <f t="shared" ref="BN81:BR81" si="112">+BN62+BN67+BN72</f>
        <v>0</v>
      </c>
      <c r="BO81" s="234">
        <f t="shared" si="112"/>
        <v>0</v>
      </c>
      <c r="BP81" s="234">
        <f t="shared" si="112"/>
        <v>0</v>
      </c>
      <c r="BQ81" s="234">
        <f t="shared" si="112"/>
        <v>0</v>
      </c>
      <c r="BR81" s="234">
        <f t="shared" si="112"/>
        <v>0</v>
      </c>
      <c r="BS81" s="234">
        <f t="shared" ref="BS81:CS81" si="113">+BS62+BS67+BS72</f>
        <v>0</v>
      </c>
      <c r="BT81" s="234">
        <f t="shared" si="113"/>
        <v>0</v>
      </c>
      <c r="BU81" s="234">
        <f t="shared" si="113"/>
        <v>350</v>
      </c>
      <c r="BV81" s="234">
        <f t="shared" si="113"/>
        <v>62.5</v>
      </c>
      <c r="BW81" s="234">
        <f t="shared" si="113"/>
        <v>0</v>
      </c>
      <c r="BX81" s="234">
        <f t="shared" si="113"/>
        <v>0</v>
      </c>
      <c r="BY81" s="234">
        <f t="shared" si="113"/>
        <v>600</v>
      </c>
      <c r="BZ81" s="234">
        <f t="shared" si="113"/>
        <v>0</v>
      </c>
      <c r="CA81" s="234">
        <f t="shared" si="113"/>
        <v>0</v>
      </c>
      <c r="CB81" s="234">
        <f t="shared" si="113"/>
        <v>0</v>
      </c>
      <c r="CC81" s="234">
        <f t="shared" si="113"/>
        <v>0</v>
      </c>
      <c r="CD81" s="234">
        <f t="shared" si="113"/>
        <v>0</v>
      </c>
      <c r="CE81" s="234">
        <f t="shared" si="113"/>
        <v>0</v>
      </c>
      <c r="CF81" s="234">
        <f t="shared" si="113"/>
        <v>80</v>
      </c>
      <c r="CG81" s="234">
        <f t="shared" si="113"/>
        <v>0</v>
      </c>
      <c r="CH81" s="234">
        <f t="shared" si="113"/>
        <v>1350</v>
      </c>
      <c r="CI81" s="234">
        <f t="shared" si="113"/>
        <v>0</v>
      </c>
      <c r="CJ81" s="234">
        <f t="shared" si="113"/>
        <v>0</v>
      </c>
      <c r="CK81" s="234">
        <f t="shared" si="113"/>
        <v>0</v>
      </c>
      <c r="CL81" s="234">
        <f t="shared" si="113"/>
        <v>0</v>
      </c>
      <c r="CM81" s="234">
        <f t="shared" si="113"/>
        <v>0</v>
      </c>
      <c r="CN81" s="234">
        <f t="shared" si="113"/>
        <v>165</v>
      </c>
      <c r="CO81" s="234">
        <f t="shared" si="113"/>
        <v>0</v>
      </c>
      <c r="CP81" s="234">
        <f t="shared" si="113"/>
        <v>0</v>
      </c>
      <c r="CQ81" s="235">
        <f t="shared" si="113"/>
        <v>0</v>
      </c>
      <c r="CR81" s="233">
        <f t="shared" si="113"/>
        <v>0</v>
      </c>
      <c r="CS81" s="234">
        <f t="shared" si="113"/>
        <v>0</v>
      </c>
      <c r="CT81" s="234">
        <f t="shared" ref="CT81:DH81" si="114">+CT62+CT67+CT72</f>
        <v>90</v>
      </c>
      <c r="CU81" s="234">
        <f t="shared" si="114"/>
        <v>0</v>
      </c>
      <c r="CV81" s="234">
        <f t="shared" si="114"/>
        <v>0</v>
      </c>
      <c r="CW81" s="234">
        <f t="shared" si="114"/>
        <v>0</v>
      </c>
      <c r="CX81" s="234">
        <f t="shared" si="114"/>
        <v>90</v>
      </c>
      <c r="CY81" s="234">
        <f t="shared" si="114"/>
        <v>0</v>
      </c>
      <c r="CZ81" s="234">
        <f t="shared" si="114"/>
        <v>400</v>
      </c>
      <c r="DA81" s="234">
        <f t="shared" si="114"/>
        <v>0</v>
      </c>
      <c r="DB81" s="234">
        <f t="shared" ref="DB81" si="115">+DB62+DB67+DB72</f>
        <v>0</v>
      </c>
      <c r="DC81" s="234">
        <f t="shared" si="114"/>
        <v>0</v>
      </c>
      <c r="DD81" s="234">
        <f t="shared" si="114"/>
        <v>160</v>
      </c>
      <c r="DE81" s="234">
        <f t="shared" si="114"/>
        <v>0</v>
      </c>
      <c r="DF81" s="234">
        <f t="shared" si="114"/>
        <v>0</v>
      </c>
      <c r="DG81" s="234">
        <f t="shared" si="114"/>
        <v>0</v>
      </c>
      <c r="DH81" s="234">
        <f t="shared" si="114"/>
        <v>0</v>
      </c>
      <c r="DI81" s="234">
        <f t="shared" ref="DI81" si="116">+DI62+DI67+DI72</f>
        <v>0</v>
      </c>
      <c r="DJ81" s="234">
        <f t="shared" ref="DJ81:DM81" si="117">+DJ62+DJ67+DJ72</f>
        <v>0</v>
      </c>
      <c r="DK81" s="234">
        <f t="shared" si="117"/>
        <v>0</v>
      </c>
      <c r="DL81" s="234">
        <f t="shared" si="117"/>
        <v>5</v>
      </c>
      <c r="DM81" s="234">
        <f t="shared" si="117"/>
        <v>0</v>
      </c>
      <c r="DN81" s="234">
        <f t="shared" ref="DN81:DZ81" si="118">+DN62+DN67+DN72</f>
        <v>0</v>
      </c>
      <c r="DO81" s="234">
        <f t="shared" si="118"/>
        <v>400</v>
      </c>
      <c r="DP81" s="234">
        <f t="shared" si="118"/>
        <v>275</v>
      </c>
      <c r="DQ81" s="234">
        <f t="shared" si="118"/>
        <v>0</v>
      </c>
      <c r="DR81" s="234">
        <f t="shared" si="118"/>
        <v>0</v>
      </c>
      <c r="DS81" s="234">
        <f t="shared" si="118"/>
        <v>0</v>
      </c>
      <c r="DT81" s="234">
        <f t="shared" si="118"/>
        <v>0</v>
      </c>
      <c r="DU81" s="234">
        <f t="shared" si="118"/>
        <v>0</v>
      </c>
      <c r="DV81" s="291">
        <f t="shared" si="118"/>
        <v>0</v>
      </c>
      <c r="DW81" s="233">
        <f t="shared" si="118"/>
        <v>0</v>
      </c>
      <c r="DX81" s="234">
        <f t="shared" si="118"/>
        <v>0</v>
      </c>
      <c r="DY81" s="234">
        <f t="shared" si="118"/>
        <v>0</v>
      </c>
      <c r="DZ81" s="234">
        <f t="shared" si="118"/>
        <v>155</v>
      </c>
      <c r="EA81" s="234">
        <f t="shared" ref="EA81:EN81" si="119">+EA62+EA67+EA72</f>
        <v>0</v>
      </c>
      <c r="EB81" s="234">
        <f t="shared" si="119"/>
        <v>107.5</v>
      </c>
      <c r="EC81" s="234">
        <f t="shared" si="119"/>
        <v>0</v>
      </c>
      <c r="ED81" s="234">
        <f t="shared" si="119"/>
        <v>0</v>
      </c>
      <c r="EE81" s="234">
        <f t="shared" si="119"/>
        <v>0</v>
      </c>
      <c r="EF81" s="234">
        <f t="shared" si="119"/>
        <v>0</v>
      </c>
      <c r="EG81" s="234">
        <f t="shared" si="119"/>
        <v>525</v>
      </c>
      <c r="EH81" s="234">
        <f t="shared" si="119"/>
        <v>0</v>
      </c>
      <c r="EI81" s="234">
        <f t="shared" si="119"/>
        <v>0</v>
      </c>
      <c r="EJ81" s="234">
        <f t="shared" si="119"/>
        <v>0</v>
      </c>
      <c r="EK81" s="234">
        <f t="shared" si="119"/>
        <v>0</v>
      </c>
      <c r="EL81" s="234">
        <f t="shared" si="119"/>
        <v>0</v>
      </c>
      <c r="EM81" s="234">
        <f t="shared" si="119"/>
        <v>0</v>
      </c>
      <c r="EN81" s="234">
        <f t="shared" si="119"/>
        <v>0</v>
      </c>
      <c r="EO81" s="234">
        <f t="shared" ref="EO81:EZ81" si="120">+EO62+EO67+EO72</f>
        <v>0</v>
      </c>
      <c r="EP81" s="234">
        <f t="shared" si="120"/>
        <v>0</v>
      </c>
      <c r="EQ81" s="234">
        <f t="shared" si="120"/>
        <v>0</v>
      </c>
      <c r="ER81" s="234">
        <f t="shared" si="120"/>
        <v>0</v>
      </c>
      <c r="ES81" s="234">
        <f t="shared" si="120"/>
        <v>0</v>
      </c>
      <c r="ET81" s="234">
        <f t="shared" si="120"/>
        <v>0</v>
      </c>
      <c r="EU81" s="234">
        <f t="shared" si="120"/>
        <v>53</v>
      </c>
      <c r="EV81" s="234">
        <f t="shared" si="120"/>
        <v>0</v>
      </c>
      <c r="EW81" s="234">
        <f t="shared" si="120"/>
        <v>0</v>
      </c>
      <c r="EX81" s="234">
        <f t="shared" si="120"/>
        <v>115</v>
      </c>
      <c r="EY81" s="234">
        <f t="shared" si="120"/>
        <v>0</v>
      </c>
      <c r="EZ81" s="235">
        <f t="shared" si="120"/>
        <v>14.5</v>
      </c>
      <c r="FA81" s="233">
        <f t="shared" ref="FA81:FL81" si="121">+FA62+FA67+FA72</f>
        <v>12.5</v>
      </c>
      <c r="FB81" s="234">
        <f t="shared" si="121"/>
        <v>287.5</v>
      </c>
      <c r="FC81" s="234">
        <f t="shared" si="121"/>
        <v>0</v>
      </c>
      <c r="FD81" s="234">
        <f t="shared" si="121"/>
        <v>0</v>
      </c>
      <c r="FE81" s="234">
        <f t="shared" si="121"/>
        <v>0</v>
      </c>
      <c r="FF81" s="234">
        <f t="shared" si="121"/>
        <v>0</v>
      </c>
      <c r="FG81" s="234">
        <f t="shared" si="121"/>
        <v>0</v>
      </c>
      <c r="FH81" s="234">
        <f t="shared" si="121"/>
        <v>0</v>
      </c>
      <c r="FI81" s="234">
        <f t="shared" si="121"/>
        <v>350</v>
      </c>
      <c r="FJ81" s="234">
        <f t="shared" si="121"/>
        <v>0</v>
      </c>
      <c r="FK81" s="234">
        <f t="shared" si="121"/>
        <v>0</v>
      </c>
      <c r="FL81" s="234">
        <f t="shared" si="121"/>
        <v>0</v>
      </c>
      <c r="FM81" s="234">
        <f t="shared" ref="FM81:GC81" si="122">+FM62+FM67+FM72</f>
        <v>0</v>
      </c>
      <c r="FN81" s="234">
        <f t="shared" si="122"/>
        <v>200</v>
      </c>
      <c r="FO81" s="234">
        <f t="shared" si="122"/>
        <v>140</v>
      </c>
      <c r="FP81" s="234">
        <f t="shared" si="122"/>
        <v>150</v>
      </c>
      <c r="FQ81" s="234">
        <f t="shared" si="122"/>
        <v>0</v>
      </c>
      <c r="FR81" s="234">
        <f t="shared" si="122"/>
        <v>0</v>
      </c>
      <c r="FS81" s="234">
        <f t="shared" si="122"/>
        <v>0</v>
      </c>
      <c r="FT81" s="234">
        <f t="shared" si="122"/>
        <v>75</v>
      </c>
      <c r="FU81" s="234">
        <f t="shared" si="122"/>
        <v>0</v>
      </c>
      <c r="FV81" s="234">
        <f t="shared" si="122"/>
        <v>130</v>
      </c>
      <c r="FW81" s="234">
        <f t="shared" si="122"/>
        <v>0</v>
      </c>
      <c r="FX81" s="234">
        <f t="shared" si="122"/>
        <v>0</v>
      </c>
      <c r="FY81" s="234">
        <f t="shared" si="122"/>
        <v>125</v>
      </c>
      <c r="FZ81" s="234">
        <f t="shared" si="122"/>
        <v>0</v>
      </c>
      <c r="GA81" s="234">
        <f t="shared" si="122"/>
        <v>0</v>
      </c>
      <c r="GB81" s="234">
        <f t="shared" si="122"/>
        <v>0</v>
      </c>
      <c r="GC81" s="234">
        <f t="shared" si="122"/>
        <v>150</v>
      </c>
      <c r="GD81" s="234">
        <f t="shared" ref="GD81:GT81" si="123">+GD62+GD67+GD72</f>
        <v>0</v>
      </c>
      <c r="GE81" s="235">
        <f t="shared" si="123"/>
        <v>0</v>
      </c>
      <c r="GF81" s="233">
        <f t="shared" si="123"/>
        <v>0</v>
      </c>
      <c r="GG81" s="234">
        <f t="shared" si="123"/>
        <v>0</v>
      </c>
      <c r="GH81" s="234">
        <f t="shared" si="123"/>
        <v>220</v>
      </c>
      <c r="GI81" s="234">
        <f t="shared" si="123"/>
        <v>23</v>
      </c>
      <c r="GJ81" s="234">
        <f t="shared" si="123"/>
        <v>60</v>
      </c>
      <c r="GK81" s="234">
        <f t="shared" si="123"/>
        <v>15</v>
      </c>
      <c r="GL81" s="234">
        <f t="shared" si="123"/>
        <v>0</v>
      </c>
      <c r="GM81" s="234">
        <f t="shared" si="123"/>
        <v>0</v>
      </c>
      <c r="GN81" s="234">
        <f t="shared" si="123"/>
        <v>0</v>
      </c>
      <c r="GO81" s="234">
        <f t="shared" si="123"/>
        <v>0</v>
      </c>
      <c r="GP81" s="234">
        <f t="shared" si="123"/>
        <v>0</v>
      </c>
      <c r="GQ81" s="234">
        <f t="shared" si="123"/>
        <v>0</v>
      </c>
      <c r="GR81" s="234">
        <f t="shared" si="123"/>
        <v>0</v>
      </c>
      <c r="GS81" s="234">
        <f t="shared" si="123"/>
        <v>0</v>
      </c>
      <c r="GT81" s="234">
        <f t="shared" si="123"/>
        <v>243</v>
      </c>
      <c r="GU81" s="234">
        <f t="shared" ref="GU81:GY81" si="124">+GU62+GU67+GU72</f>
        <v>29</v>
      </c>
      <c r="GV81" s="234">
        <f t="shared" si="124"/>
        <v>0</v>
      </c>
      <c r="GW81" s="234">
        <f t="shared" si="124"/>
        <v>0</v>
      </c>
      <c r="GX81" s="234">
        <f t="shared" si="124"/>
        <v>0</v>
      </c>
      <c r="GY81" s="235">
        <f t="shared" si="124"/>
        <v>0</v>
      </c>
      <c r="GZ81" s="447">
        <f>SUM(E81:CZ81)</f>
        <v>5013.5</v>
      </c>
    </row>
    <row r="82" spans="1:208" x14ac:dyDescent="0.25">
      <c r="E82" s="194"/>
    </row>
    <row r="83" spans="1:208" ht="15.75" thickBot="1" x14ac:dyDescent="0.3"/>
    <row r="84" spans="1:208" s="214" customFormat="1" ht="43.5" customHeight="1" x14ac:dyDescent="0.25">
      <c r="B84" s="213" t="s">
        <v>90</v>
      </c>
      <c r="C84" s="484" t="s">
        <v>98</v>
      </c>
      <c r="D84" s="484"/>
      <c r="E84" s="484" t="s">
        <v>99</v>
      </c>
      <c r="F84" s="484"/>
      <c r="G84" s="484"/>
      <c r="H84" s="484"/>
      <c r="I84" s="484"/>
      <c r="J84" s="484"/>
      <c r="K84" s="484" t="s">
        <v>100</v>
      </c>
      <c r="L84" s="484"/>
      <c r="M84" s="484"/>
      <c r="N84" s="484"/>
      <c r="O84" s="484"/>
      <c r="P84" s="484"/>
      <c r="Q84" s="486"/>
      <c r="GZ84" s="215"/>
    </row>
    <row r="85" spans="1:208" s="216" customFormat="1" ht="19.5" customHeight="1" x14ac:dyDescent="0.25">
      <c r="B85" s="217" t="s">
        <v>91</v>
      </c>
      <c r="C85" s="485">
        <v>51</v>
      </c>
      <c r="D85" s="485"/>
      <c r="E85" s="485">
        <v>21</v>
      </c>
      <c r="F85" s="485"/>
      <c r="G85" s="485"/>
      <c r="H85" s="485"/>
      <c r="I85" s="485"/>
      <c r="J85" s="485"/>
      <c r="K85" s="485">
        <v>17</v>
      </c>
      <c r="L85" s="485"/>
      <c r="M85" s="485"/>
      <c r="N85" s="485"/>
      <c r="O85" s="485"/>
      <c r="P85" s="485"/>
      <c r="Q85" s="487"/>
      <c r="GZ85" s="218"/>
    </row>
    <row r="86" spans="1:208" s="216" customFormat="1" ht="19.5" customHeight="1" x14ac:dyDescent="0.25">
      <c r="B86" s="217" t="s">
        <v>104</v>
      </c>
      <c r="C86" s="485">
        <v>68</v>
      </c>
      <c r="D86" s="485"/>
      <c r="E86" s="485">
        <v>25</v>
      </c>
      <c r="F86" s="485"/>
      <c r="G86" s="485"/>
      <c r="H86" s="485"/>
      <c r="I86" s="485"/>
      <c r="J86" s="485"/>
      <c r="K86" s="485">
        <v>24</v>
      </c>
      <c r="L86" s="485"/>
      <c r="M86" s="485"/>
      <c r="N86" s="485"/>
      <c r="O86" s="485"/>
      <c r="P86" s="485"/>
      <c r="Q86" s="487"/>
      <c r="DA86" s="338"/>
      <c r="GZ86" s="218"/>
    </row>
    <row r="87" spans="1:208" s="216" customFormat="1" ht="19.5" customHeight="1" x14ac:dyDescent="0.25">
      <c r="B87" s="217" t="s">
        <v>92</v>
      </c>
      <c r="C87" s="485">
        <v>326</v>
      </c>
      <c r="D87" s="485"/>
      <c r="E87" s="485">
        <v>262</v>
      </c>
      <c r="F87" s="485"/>
      <c r="G87" s="485"/>
      <c r="H87" s="485"/>
      <c r="I87" s="485"/>
      <c r="J87" s="485"/>
      <c r="K87" s="485">
        <v>233</v>
      </c>
      <c r="L87" s="485"/>
      <c r="M87" s="485"/>
      <c r="N87" s="485"/>
      <c r="O87" s="485"/>
      <c r="P87" s="485"/>
      <c r="Q87" s="487"/>
      <c r="GZ87" s="218"/>
    </row>
    <row r="88" spans="1:208" s="216" customFormat="1" ht="19.5" customHeight="1" x14ac:dyDescent="0.25">
      <c r="B88" s="217" t="s">
        <v>93</v>
      </c>
      <c r="C88" s="485">
        <v>231</v>
      </c>
      <c r="D88" s="485"/>
      <c r="E88" s="485">
        <v>166</v>
      </c>
      <c r="F88" s="485"/>
      <c r="G88" s="485"/>
      <c r="H88" s="485"/>
      <c r="I88" s="485"/>
      <c r="J88" s="485"/>
      <c r="K88" s="485">
        <v>164</v>
      </c>
      <c r="L88" s="485"/>
      <c r="M88" s="485"/>
      <c r="N88" s="485"/>
      <c r="O88" s="485"/>
      <c r="P88" s="485"/>
      <c r="Q88" s="487"/>
      <c r="GZ88" s="218"/>
    </row>
    <row r="89" spans="1:208" s="216" customFormat="1" ht="19.5" customHeight="1" x14ac:dyDescent="0.25">
      <c r="B89" s="217" t="s">
        <v>94</v>
      </c>
      <c r="C89" s="485">
        <v>63</v>
      </c>
      <c r="D89" s="485"/>
      <c r="E89" s="485">
        <v>26</v>
      </c>
      <c r="F89" s="485"/>
      <c r="G89" s="485"/>
      <c r="H89" s="485"/>
      <c r="I89" s="485"/>
      <c r="J89" s="485"/>
      <c r="K89" s="485">
        <v>29</v>
      </c>
      <c r="L89" s="485"/>
      <c r="M89" s="485"/>
      <c r="N89" s="485"/>
      <c r="O89" s="485"/>
      <c r="P89" s="485"/>
      <c r="Q89" s="487"/>
      <c r="GZ89" s="218"/>
    </row>
    <row r="90" spans="1:208" s="216" customFormat="1" ht="19.5" customHeight="1" x14ac:dyDescent="0.25">
      <c r="B90" s="217" t="s">
        <v>95</v>
      </c>
      <c r="C90" s="485">
        <v>86</v>
      </c>
      <c r="D90" s="485"/>
      <c r="E90" s="485">
        <v>21</v>
      </c>
      <c r="F90" s="485"/>
      <c r="G90" s="485"/>
      <c r="H90" s="485"/>
      <c r="I90" s="485"/>
      <c r="J90" s="485"/>
      <c r="K90" s="485">
        <v>20</v>
      </c>
      <c r="L90" s="485"/>
      <c r="M90" s="485"/>
      <c r="N90" s="485"/>
      <c r="O90" s="485"/>
      <c r="P90" s="485"/>
      <c r="Q90" s="487"/>
      <c r="GZ90" s="218"/>
    </row>
    <row r="91" spans="1:208" s="216" customFormat="1" ht="19.5" customHeight="1" x14ac:dyDescent="0.25">
      <c r="B91" s="217" t="s">
        <v>96</v>
      </c>
      <c r="C91" s="485">
        <v>16</v>
      </c>
      <c r="D91" s="485"/>
      <c r="E91" s="485">
        <v>73</v>
      </c>
      <c r="F91" s="485"/>
      <c r="G91" s="485"/>
      <c r="H91" s="485"/>
      <c r="I91" s="485"/>
      <c r="J91" s="485"/>
      <c r="K91" s="485">
        <v>67</v>
      </c>
      <c r="L91" s="485"/>
      <c r="M91" s="485"/>
      <c r="N91" s="485"/>
      <c r="O91" s="485"/>
      <c r="P91" s="485"/>
      <c r="Q91" s="487"/>
      <c r="GZ91" s="218"/>
    </row>
    <row r="92" spans="1:208" s="216" customFormat="1" ht="19.5" customHeight="1" x14ac:dyDescent="0.25">
      <c r="B92" s="217" t="s">
        <v>97</v>
      </c>
      <c r="C92" s="485">
        <v>1</v>
      </c>
      <c r="D92" s="485"/>
      <c r="E92" s="485"/>
      <c r="F92" s="485"/>
      <c r="G92" s="485"/>
      <c r="H92" s="485"/>
      <c r="I92" s="485"/>
      <c r="J92" s="485"/>
      <c r="K92" s="485">
        <v>2</v>
      </c>
      <c r="L92" s="485"/>
      <c r="M92" s="485"/>
      <c r="N92" s="485"/>
      <c r="O92" s="485"/>
      <c r="P92" s="485"/>
      <c r="Q92" s="487"/>
      <c r="GZ92" s="218"/>
    </row>
    <row r="93" spans="1:208" s="216" customFormat="1" ht="19.5" customHeight="1" thickBot="1" x14ac:dyDescent="0.3">
      <c r="B93" s="219" t="s">
        <v>101</v>
      </c>
      <c r="C93" s="483">
        <f>SUM(C85:D92)</f>
        <v>842</v>
      </c>
      <c r="D93" s="483"/>
      <c r="E93" s="483">
        <f>SUM(E85:J92)</f>
        <v>594</v>
      </c>
      <c r="F93" s="483"/>
      <c r="G93" s="483"/>
      <c r="H93" s="483"/>
      <c r="I93" s="483"/>
      <c r="J93" s="483"/>
      <c r="K93" s="483">
        <f>SUM(K85:Q92)</f>
        <v>556</v>
      </c>
      <c r="L93" s="483"/>
      <c r="M93" s="483"/>
      <c r="N93" s="483"/>
      <c r="O93" s="483"/>
      <c r="P93" s="483"/>
      <c r="Q93" s="488"/>
      <c r="GZ93" s="218"/>
    </row>
  </sheetData>
  <mergeCells count="76">
    <mergeCell ref="A74:A77"/>
    <mergeCell ref="B74:B77"/>
    <mergeCell ref="A69:A72"/>
    <mergeCell ref="B69:B72"/>
    <mergeCell ref="E92:J92"/>
    <mergeCell ref="C92:D92"/>
    <mergeCell ref="E89:J89"/>
    <mergeCell ref="E90:J90"/>
    <mergeCell ref="E91:J91"/>
    <mergeCell ref="A79:A81"/>
    <mergeCell ref="B79:B81"/>
    <mergeCell ref="E93:J93"/>
    <mergeCell ref="K84:Q84"/>
    <mergeCell ref="K85:Q85"/>
    <mergeCell ref="K86:Q86"/>
    <mergeCell ref="K87:Q87"/>
    <mergeCell ref="K88:Q88"/>
    <mergeCell ref="K89:Q89"/>
    <mergeCell ref="K90:Q90"/>
    <mergeCell ref="K91:Q91"/>
    <mergeCell ref="K92:Q92"/>
    <mergeCell ref="K93:Q93"/>
    <mergeCell ref="E84:J84"/>
    <mergeCell ref="E85:J85"/>
    <mergeCell ref="E86:J86"/>
    <mergeCell ref="E87:J87"/>
    <mergeCell ref="E88:J88"/>
    <mergeCell ref="C93:D93"/>
    <mergeCell ref="C84:D84"/>
    <mergeCell ref="C85:D85"/>
    <mergeCell ref="C86:D86"/>
    <mergeCell ref="C87:D87"/>
    <mergeCell ref="C88:D88"/>
    <mergeCell ref="C89:D89"/>
    <mergeCell ref="C90:D90"/>
    <mergeCell ref="C91:D91"/>
    <mergeCell ref="A64:A67"/>
    <mergeCell ref="B64:B67"/>
    <mergeCell ref="A33:D33"/>
    <mergeCell ref="A34:A37"/>
    <mergeCell ref="B34:B37"/>
    <mergeCell ref="A39:A42"/>
    <mergeCell ref="B39:B42"/>
    <mergeCell ref="A54:A56"/>
    <mergeCell ref="B54:B56"/>
    <mergeCell ref="A58:D58"/>
    <mergeCell ref="A59:A62"/>
    <mergeCell ref="B59:B62"/>
    <mergeCell ref="A44:A47"/>
    <mergeCell ref="B44:B47"/>
    <mergeCell ref="A49:A52"/>
    <mergeCell ref="B49:B52"/>
    <mergeCell ref="A29:A31"/>
    <mergeCell ref="B29:B31"/>
    <mergeCell ref="B9:B12"/>
    <mergeCell ref="A8:D8"/>
    <mergeCell ref="A9:A12"/>
    <mergeCell ref="B14:B17"/>
    <mergeCell ref="A14:A17"/>
    <mergeCell ref="A19:A22"/>
    <mergeCell ref="B19:B22"/>
    <mergeCell ref="A24:A27"/>
    <mergeCell ref="B24:B27"/>
    <mergeCell ref="A1:C5"/>
    <mergeCell ref="D1:GZ5"/>
    <mergeCell ref="A6:A7"/>
    <mergeCell ref="B6:B7"/>
    <mergeCell ref="C6:C7"/>
    <mergeCell ref="D6:D7"/>
    <mergeCell ref="E6:AF6"/>
    <mergeCell ref="AH6:BL6"/>
    <mergeCell ref="BN6:CQ6"/>
    <mergeCell ref="CR6:DV6"/>
    <mergeCell ref="DW6:EZ6"/>
    <mergeCell ref="FA6:GE6"/>
    <mergeCell ref="GF6:GY6"/>
  </mergeCells>
  <pageMargins left="0.7" right="0.7" top="0.75" bottom="0.75" header="0.3" footer="0.3"/>
  <pageSetup paperSize="8" scale="1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884E-0B86-4EB4-AE0A-8F4169B4D97F}">
  <sheetPr>
    <pageSetUpPr fitToPage="1"/>
  </sheetPr>
  <dimension ref="A1:HU82"/>
  <sheetViews>
    <sheetView zoomScale="85" zoomScaleNormal="85" zoomScaleSheetLayoutView="82" workbookViewId="0">
      <pane xSplit="4" ySplit="7" topLeftCell="GL28" activePane="bottomRight" state="frozen"/>
      <selection pane="topRight" activeCell="F1" sqref="F1"/>
      <selection pane="bottomLeft" activeCell="A2" sqref="A2"/>
      <selection pane="bottomRight" activeCell="HM11" sqref="HM11"/>
    </sheetView>
  </sheetViews>
  <sheetFormatPr defaultRowHeight="15" x14ac:dyDescent="0.25"/>
  <cols>
    <col min="1" max="1" width="11.5703125" customWidth="1"/>
    <col min="2" max="2" width="21.5703125" customWidth="1"/>
    <col min="3" max="3" width="14.7109375" style="8" customWidth="1"/>
    <col min="4" max="4" width="8" customWidth="1"/>
    <col min="5" max="5" width="6.28515625" hidden="1" customWidth="1"/>
    <col min="6" max="12" width="5.28515625" hidden="1" customWidth="1"/>
    <col min="13" max="13" width="9.5703125" style="112" hidden="1" customWidth="1"/>
    <col min="14" max="14" width="0.7109375" style="112" customWidth="1"/>
    <col min="15" max="42" width="5.28515625" customWidth="1"/>
    <col min="43" max="43" width="1.5703125" customWidth="1"/>
    <col min="44" max="74" width="5.28515625" customWidth="1"/>
    <col min="75" max="75" width="1.7109375" customWidth="1"/>
    <col min="76" max="139" width="5.28515625" customWidth="1"/>
    <col min="140" max="140" width="5.42578125" customWidth="1"/>
    <col min="141" max="228" width="5.28515625" customWidth="1"/>
    <col min="229" max="229" width="11.7109375" style="112" customWidth="1"/>
  </cols>
  <sheetData>
    <row r="1" spans="1:229" ht="15.75" customHeight="1" x14ac:dyDescent="0.25">
      <c r="A1" s="454" t="e" vm="1">
        <v>#VALUE!</v>
      </c>
      <c r="B1" s="454"/>
      <c r="C1" s="454"/>
      <c r="D1" s="489" t="s">
        <v>31</v>
      </c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  <c r="AP1" s="489"/>
      <c r="AQ1" s="489"/>
      <c r="AR1" s="489"/>
      <c r="AS1" s="489"/>
      <c r="AT1" s="489"/>
      <c r="AU1" s="489"/>
      <c r="AV1" s="489"/>
      <c r="AW1" s="489"/>
      <c r="AX1" s="489"/>
      <c r="AY1" s="489"/>
      <c r="AZ1" s="489"/>
      <c r="BA1" s="489"/>
      <c r="BB1" s="489"/>
      <c r="BC1" s="489"/>
      <c r="BD1" s="489"/>
      <c r="BE1" s="489"/>
      <c r="BF1" s="489"/>
      <c r="BG1" s="489"/>
      <c r="BH1" s="489"/>
      <c r="BI1" s="489"/>
      <c r="BJ1" s="489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89"/>
      <c r="BV1" s="489"/>
      <c r="BW1" s="489"/>
      <c r="BX1" s="489"/>
      <c r="BY1" s="489"/>
      <c r="BZ1" s="489"/>
      <c r="CA1" s="489"/>
      <c r="CB1" s="489"/>
      <c r="CC1" s="489"/>
      <c r="CD1" s="489"/>
      <c r="CE1" s="489"/>
      <c r="CF1" s="489"/>
      <c r="CG1" s="489"/>
      <c r="CH1" s="489"/>
      <c r="CI1" s="489"/>
      <c r="CJ1" s="489"/>
      <c r="CK1" s="489"/>
      <c r="CL1" s="489"/>
      <c r="CM1" s="489"/>
      <c r="CN1" s="489"/>
      <c r="CO1" s="489"/>
      <c r="CP1" s="489"/>
      <c r="CQ1" s="489"/>
      <c r="CR1" s="489"/>
      <c r="CS1" s="489"/>
      <c r="CT1" s="489"/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89"/>
      <c r="DO1" s="489"/>
      <c r="DP1" s="489"/>
      <c r="DQ1" s="489"/>
      <c r="DR1" s="489"/>
      <c r="DS1" s="489"/>
      <c r="DT1" s="489"/>
      <c r="DU1" s="489"/>
      <c r="DV1" s="489"/>
      <c r="DW1" s="489"/>
      <c r="DX1" s="489"/>
      <c r="DY1" s="489"/>
      <c r="DZ1" s="489"/>
      <c r="EA1" s="489"/>
      <c r="EB1" s="489"/>
      <c r="EC1" s="489"/>
      <c r="ED1" s="489"/>
      <c r="EE1" s="489"/>
      <c r="EF1" s="489"/>
      <c r="EG1" s="489"/>
      <c r="EH1" s="489"/>
      <c r="EI1" s="489"/>
      <c r="EJ1" s="489"/>
      <c r="EK1" s="489"/>
      <c r="EL1" s="489"/>
      <c r="EM1" s="489"/>
      <c r="EN1" s="489"/>
      <c r="EO1" s="489"/>
      <c r="EP1" s="489"/>
      <c r="EQ1" s="489"/>
      <c r="ER1" s="489"/>
      <c r="ES1" s="489"/>
      <c r="ET1" s="489"/>
      <c r="EU1" s="489"/>
      <c r="EV1" s="489"/>
      <c r="EW1" s="489"/>
      <c r="EX1" s="489"/>
      <c r="EY1" s="489"/>
      <c r="EZ1" s="489"/>
      <c r="FA1" s="489"/>
      <c r="FB1" s="489"/>
      <c r="FC1" s="489"/>
      <c r="FD1" s="489"/>
      <c r="FE1" s="489"/>
      <c r="FF1" s="489"/>
      <c r="FG1" s="489"/>
      <c r="FH1" s="489"/>
      <c r="FI1" s="489"/>
      <c r="FJ1" s="489"/>
      <c r="FK1" s="489"/>
      <c r="FL1" s="489"/>
      <c r="FM1" s="489"/>
      <c r="FN1" s="489"/>
      <c r="FO1" s="489"/>
      <c r="FP1" s="489"/>
      <c r="FQ1" s="489"/>
      <c r="FR1" s="489"/>
      <c r="FS1" s="489"/>
      <c r="FT1" s="489"/>
      <c r="FU1" s="489"/>
      <c r="FV1" s="489"/>
      <c r="FW1" s="489"/>
      <c r="FX1" s="489"/>
      <c r="FY1" s="489"/>
      <c r="FZ1" s="489"/>
      <c r="GA1" s="489"/>
      <c r="GB1" s="489"/>
      <c r="GC1" s="489"/>
      <c r="GD1" s="489"/>
      <c r="GE1" s="489"/>
      <c r="GF1" s="489"/>
      <c r="GG1" s="489"/>
      <c r="GH1" s="489"/>
      <c r="GI1" s="489"/>
      <c r="GJ1" s="489"/>
      <c r="GK1" s="489"/>
      <c r="GL1" s="489"/>
      <c r="GM1" s="489"/>
      <c r="GN1" s="489"/>
      <c r="GO1" s="489"/>
      <c r="GP1" s="489"/>
      <c r="GQ1" s="489"/>
      <c r="GR1" s="489"/>
      <c r="GS1" s="489"/>
      <c r="GT1" s="489"/>
      <c r="GU1" s="489"/>
      <c r="GV1" s="489"/>
      <c r="GW1" s="489"/>
      <c r="GX1" s="489"/>
      <c r="GY1" s="489"/>
      <c r="GZ1" s="489"/>
      <c r="HA1" s="489"/>
      <c r="HB1" s="489"/>
      <c r="HC1" s="489"/>
      <c r="HD1" s="489"/>
      <c r="HE1" s="489"/>
      <c r="HF1" s="489"/>
      <c r="HG1" s="489"/>
      <c r="HH1" s="489"/>
      <c r="HI1" s="489"/>
      <c r="HJ1" s="489"/>
      <c r="HK1" s="489"/>
      <c r="HL1" s="489"/>
      <c r="HM1" s="489"/>
      <c r="HN1" s="489"/>
      <c r="HO1" s="489"/>
      <c r="HP1" s="489"/>
      <c r="HQ1" s="489"/>
      <c r="HR1" s="489"/>
      <c r="HS1" s="489"/>
      <c r="HT1" s="489"/>
      <c r="HU1" s="489"/>
    </row>
    <row r="2" spans="1:229" ht="15.75" customHeight="1" x14ac:dyDescent="0.25">
      <c r="A2" s="454"/>
      <c r="B2" s="454"/>
      <c r="C2" s="454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  <c r="AP2" s="489"/>
      <c r="AQ2" s="489"/>
      <c r="AR2" s="489"/>
      <c r="AS2" s="489"/>
      <c r="AT2" s="489"/>
      <c r="AU2" s="489"/>
      <c r="AV2" s="489"/>
      <c r="AW2" s="489"/>
      <c r="AX2" s="489"/>
      <c r="AY2" s="489"/>
      <c r="AZ2" s="489"/>
      <c r="BA2" s="489"/>
      <c r="BB2" s="489"/>
      <c r="BC2" s="489"/>
      <c r="BD2" s="489"/>
      <c r="BE2" s="489"/>
      <c r="BF2" s="489"/>
      <c r="BG2" s="489"/>
      <c r="BH2" s="489"/>
      <c r="BI2" s="489"/>
      <c r="BJ2" s="489"/>
      <c r="BK2" s="489"/>
      <c r="BL2" s="489"/>
      <c r="BM2" s="489"/>
      <c r="BN2" s="489"/>
      <c r="BO2" s="489"/>
      <c r="BP2" s="489"/>
      <c r="BQ2" s="489"/>
      <c r="BR2" s="489"/>
      <c r="BS2" s="489"/>
      <c r="BT2" s="489"/>
      <c r="BU2" s="489"/>
      <c r="BV2" s="489"/>
      <c r="BW2" s="489"/>
      <c r="BX2" s="489"/>
      <c r="BY2" s="489"/>
      <c r="BZ2" s="489"/>
      <c r="CA2" s="489"/>
      <c r="CB2" s="489"/>
      <c r="CC2" s="489"/>
      <c r="CD2" s="489"/>
      <c r="CE2" s="489"/>
      <c r="CF2" s="489"/>
      <c r="CG2" s="489"/>
      <c r="CH2" s="489"/>
      <c r="CI2" s="489"/>
      <c r="CJ2" s="489"/>
      <c r="CK2" s="489"/>
      <c r="CL2" s="489"/>
      <c r="CM2" s="489"/>
      <c r="CN2" s="489"/>
      <c r="CO2" s="489"/>
      <c r="CP2" s="489"/>
      <c r="CQ2" s="489"/>
      <c r="CR2" s="489"/>
      <c r="CS2" s="489"/>
      <c r="CT2" s="489"/>
      <c r="CU2" s="489"/>
      <c r="CV2" s="489"/>
      <c r="CW2" s="489"/>
      <c r="CX2" s="489"/>
      <c r="CY2" s="489"/>
      <c r="CZ2" s="489"/>
      <c r="DA2" s="489"/>
      <c r="DB2" s="489"/>
      <c r="DC2" s="489"/>
      <c r="DD2" s="489"/>
      <c r="DE2" s="489"/>
      <c r="DF2" s="489"/>
      <c r="DG2" s="489"/>
      <c r="DH2" s="489"/>
      <c r="DI2" s="489"/>
      <c r="DJ2" s="489"/>
      <c r="DK2" s="489"/>
      <c r="DL2" s="489"/>
      <c r="DM2" s="489"/>
      <c r="DN2" s="489"/>
      <c r="DO2" s="489"/>
      <c r="DP2" s="489"/>
      <c r="DQ2" s="489"/>
      <c r="DR2" s="489"/>
      <c r="DS2" s="489"/>
      <c r="DT2" s="489"/>
      <c r="DU2" s="489"/>
      <c r="DV2" s="489"/>
      <c r="DW2" s="489"/>
      <c r="DX2" s="489"/>
      <c r="DY2" s="489"/>
      <c r="DZ2" s="489"/>
      <c r="EA2" s="489"/>
      <c r="EB2" s="489"/>
      <c r="EC2" s="489"/>
      <c r="ED2" s="489"/>
      <c r="EE2" s="489"/>
      <c r="EF2" s="489"/>
      <c r="EG2" s="489"/>
      <c r="EH2" s="489"/>
      <c r="EI2" s="489"/>
      <c r="EJ2" s="489"/>
      <c r="EK2" s="489"/>
      <c r="EL2" s="489"/>
      <c r="EM2" s="489"/>
      <c r="EN2" s="489"/>
      <c r="EO2" s="489"/>
      <c r="EP2" s="489"/>
      <c r="EQ2" s="489"/>
      <c r="ER2" s="489"/>
      <c r="ES2" s="489"/>
      <c r="ET2" s="489"/>
      <c r="EU2" s="489"/>
      <c r="EV2" s="489"/>
      <c r="EW2" s="489"/>
      <c r="EX2" s="489"/>
      <c r="EY2" s="489"/>
      <c r="EZ2" s="489"/>
      <c r="FA2" s="489"/>
      <c r="FB2" s="489"/>
      <c r="FC2" s="489"/>
      <c r="FD2" s="489"/>
      <c r="FE2" s="489"/>
      <c r="FF2" s="489"/>
      <c r="FG2" s="489"/>
      <c r="FH2" s="489"/>
      <c r="FI2" s="489"/>
      <c r="FJ2" s="489"/>
      <c r="FK2" s="489"/>
      <c r="FL2" s="489"/>
      <c r="FM2" s="489"/>
      <c r="FN2" s="489"/>
      <c r="FO2" s="489"/>
      <c r="FP2" s="489"/>
      <c r="FQ2" s="489"/>
      <c r="FR2" s="489"/>
      <c r="FS2" s="489"/>
      <c r="FT2" s="489"/>
      <c r="FU2" s="489"/>
      <c r="FV2" s="489"/>
      <c r="FW2" s="489"/>
      <c r="FX2" s="489"/>
      <c r="FY2" s="489"/>
      <c r="FZ2" s="489"/>
      <c r="GA2" s="489"/>
      <c r="GB2" s="489"/>
      <c r="GC2" s="489"/>
      <c r="GD2" s="489"/>
      <c r="GE2" s="489"/>
      <c r="GF2" s="489"/>
      <c r="GG2" s="489"/>
      <c r="GH2" s="489"/>
      <c r="GI2" s="489"/>
      <c r="GJ2" s="489"/>
      <c r="GK2" s="489"/>
      <c r="GL2" s="489"/>
      <c r="GM2" s="489"/>
      <c r="GN2" s="489"/>
      <c r="GO2" s="489"/>
      <c r="GP2" s="489"/>
      <c r="GQ2" s="489"/>
      <c r="GR2" s="489"/>
      <c r="GS2" s="489"/>
      <c r="GT2" s="489"/>
      <c r="GU2" s="489"/>
      <c r="GV2" s="489"/>
      <c r="GW2" s="489"/>
      <c r="GX2" s="489"/>
      <c r="GY2" s="489"/>
      <c r="GZ2" s="489"/>
      <c r="HA2" s="489"/>
      <c r="HB2" s="489"/>
      <c r="HC2" s="489"/>
      <c r="HD2" s="489"/>
      <c r="HE2" s="489"/>
      <c r="HF2" s="489"/>
      <c r="HG2" s="489"/>
      <c r="HH2" s="489"/>
      <c r="HI2" s="489"/>
      <c r="HJ2" s="489"/>
      <c r="HK2" s="489"/>
      <c r="HL2" s="489"/>
      <c r="HM2" s="489"/>
      <c r="HN2" s="489"/>
      <c r="HO2" s="489"/>
      <c r="HP2" s="489"/>
      <c r="HQ2" s="489"/>
      <c r="HR2" s="489"/>
      <c r="HS2" s="489"/>
      <c r="HT2" s="489"/>
      <c r="HU2" s="489"/>
    </row>
    <row r="3" spans="1:229" ht="15.75" customHeight="1" x14ac:dyDescent="0.25">
      <c r="A3" s="454"/>
      <c r="B3" s="454"/>
      <c r="C3" s="454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89"/>
      <c r="AN3" s="489"/>
      <c r="AO3" s="489"/>
      <c r="AP3" s="489"/>
      <c r="AQ3" s="489"/>
      <c r="AR3" s="489"/>
      <c r="AS3" s="489"/>
      <c r="AT3" s="489"/>
      <c r="AU3" s="489"/>
      <c r="AV3" s="489"/>
      <c r="AW3" s="489"/>
      <c r="AX3" s="489"/>
      <c r="AY3" s="489"/>
      <c r="AZ3" s="489"/>
      <c r="BA3" s="489"/>
      <c r="BB3" s="489"/>
      <c r="BC3" s="489"/>
      <c r="BD3" s="489"/>
      <c r="BE3" s="489"/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89"/>
      <c r="CA3" s="489"/>
      <c r="CB3" s="489"/>
      <c r="CC3" s="489"/>
      <c r="CD3" s="489"/>
      <c r="CE3" s="489"/>
      <c r="CF3" s="489"/>
      <c r="CG3" s="489"/>
      <c r="CH3" s="489"/>
      <c r="CI3" s="489"/>
      <c r="CJ3" s="489"/>
      <c r="CK3" s="489"/>
      <c r="CL3" s="489"/>
      <c r="CM3" s="489"/>
      <c r="CN3" s="489"/>
      <c r="CO3" s="489"/>
      <c r="CP3" s="489"/>
      <c r="CQ3" s="489"/>
      <c r="CR3" s="489"/>
      <c r="CS3" s="489"/>
      <c r="CT3" s="489"/>
      <c r="CU3" s="489"/>
      <c r="CV3" s="489"/>
      <c r="CW3" s="489"/>
      <c r="CX3" s="489"/>
      <c r="CY3" s="489"/>
      <c r="CZ3" s="489"/>
      <c r="DA3" s="489"/>
      <c r="DB3" s="489"/>
      <c r="DC3" s="489"/>
      <c r="DD3" s="489"/>
      <c r="DE3" s="489"/>
      <c r="DF3" s="489"/>
      <c r="DG3" s="489"/>
      <c r="DH3" s="489"/>
      <c r="DI3" s="489"/>
      <c r="DJ3" s="489"/>
      <c r="DK3" s="489"/>
      <c r="DL3" s="489"/>
      <c r="DM3" s="489"/>
      <c r="DN3" s="489"/>
      <c r="DO3" s="489"/>
      <c r="DP3" s="489"/>
      <c r="DQ3" s="489"/>
      <c r="DR3" s="489"/>
      <c r="DS3" s="489"/>
      <c r="DT3" s="489"/>
      <c r="DU3" s="489"/>
      <c r="DV3" s="489"/>
      <c r="DW3" s="489"/>
      <c r="DX3" s="489"/>
      <c r="DY3" s="489"/>
      <c r="DZ3" s="489"/>
      <c r="EA3" s="489"/>
      <c r="EB3" s="489"/>
      <c r="EC3" s="489"/>
      <c r="ED3" s="489"/>
      <c r="EE3" s="489"/>
      <c r="EF3" s="489"/>
      <c r="EG3" s="489"/>
      <c r="EH3" s="489"/>
      <c r="EI3" s="489"/>
      <c r="EJ3" s="489"/>
      <c r="EK3" s="489"/>
      <c r="EL3" s="489"/>
      <c r="EM3" s="489"/>
      <c r="EN3" s="489"/>
      <c r="EO3" s="489"/>
      <c r="EP3" s="489"/>
      <c r="EQ3" s="489"/>
      <c r="ER3" s="489"/>
      <c r="ES3" s="489"/>
      <c r="ET3" s="489"/>
      <c r="EU3" s="489"/>
      <c r="EV3" s="489"/>
      <c r="EW3" s="489"/>
      <c r="EX3" s="489"/>
      <c r="EY3" s="489"/>
      <c r="EZ3" s="489"/>
      <c r="FA3" s="489"/>
      <c r="FB3" s="489"/>
      <c r="FC3" s="489"/>
      <c r="FD3" s="489"/>
      <c r="FE3" s="489"/>
      <c r="FF3" s="489"/>
      <c r="FG3" s="489"/>
      <c r="FH3" s="489"/>
      <c r="FI3" s="489"/>
      <c r="FJ3" s="489"/>
      <c r="FK3" s="489"/>
      <c r="FL3" s="489"/>
      <c r="FM3" s="489"/>
      <c r="FN3" s="489"/>
      <c r="FO3" s="489"/>
      <c r="FP3" s="489"/>
      <c r="FQ3" s="489"/>
      <c r="FR3" s="489"/>
      <c r="FS3" s="489"/>
      <c r="FT3" s="489"/>
      <c r="FU3" s="489"/>
      <c r="FV3" s="489"/>
      <c r="FW3" s="489"/>
      <c r="FX3" s="489"/>
      <c r="FY3" s="489"/>
      <c r="FZ3" s="489"/>
      <c r="GA3" s="489"/>
      <c r="GB3" s="489"/>
      <c r="GC3" s="489"/>
      <c r="GD3" s="489"/>
      <c r="GE3" s="489"/>
      <c r="GF3" s="489"/>
      <c r="GG3" s="489"/>
      <c r="GH3" s="489"/>
      <c r="GI3" s="489"/>
      <c r="GJ3" s="489"/>
      <c r="GK3" s="489"/>
      <c r="GL3" s="489"/>
      <c r="GM3" s="489"/>
      <c r="GN3" s="489"/>
      <c r="GO3" s="489"/>
      <c r="GP3" s="489"/>
      <c r="GQ3" s="489"/>
      <c r="GR3" s="489"/>
      <c r="GS3" s="489"/>
      <c r="GT3" s="489"/>
      <c r="GU3" s="489"/>
      <c r="GV3" s="489"/>
      <c r="GW3" s="489"/>
      <c r="GX3" s="489"/>
      <c r="GY3" s="489"/>
      <c r="GZ3" s="489"/>
      <c r="HA3" s="489"/>
      <c r="HB3" s="489"/>
      <c r="HC3" s="489"/>
      <c r="HD3" s="489"/>
      <c r="HE3" s="489"/>
      <c r="HF3" s="489"/>
      <c r="HG3" s="489"/>
      <c r="HH3" s="489"/>
      <c r="HI3" s="489"/>
      <c r="HJ3" s="489"/>
      <c r="HK3" s="489"/>
      <c r="HL3" s="489"/>
      <c r="HM3" s="489"/>
      <c r="HN3" s="489"/>
      <c r="HO3" s="489"/>
      <c r="HP3" s="489"/>
      <c r="HQ3" s="489"/>
      <c r="HR3" s="489"/>
      <c r="HS3" s="489"/>
      <c r="HT3" s="489"/>
      <c r="HU3" s="489"/>
    </row>
    <row r="4" spans="1:229" ht="15.75" customHeight="1" x14ac:dyDescent="0.25">
      <c r="A4" s="454"/>
      <c r="B4" s="454"/>
      <c r="C4" s="454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489"/>
      <c r="AL4" s="489"/>
      <c r="AM4" s="489"/>
      <c r="AN4" s="489"/>
      <c r="AO4" s="489"/>
      <c r="AP4" s="489"/>
      <c r="AQ4" s="489"/>
      <c r="AR4" s="489"/>
      <c r="AS4" s="489"/>
      <c r="AT4" s="489"/>
      <c r="AU4" s="489"/>
      <c r="AV4" s="489"/>
      <c r="AW4" s="489"/>
      <c r="AX4" s="489"/>
      <c r="AY4" s="489"/>
      <c r="AZ4" s="489"/>
      <c r="BA4" s="489"/>
      <c r="BB4" s="489"/>
      <c r="BC4" s="489"/>
      <c r="BD4" s="489"/>
      <c r="BE4" s="489"/>
      <c r="BF4" s="489"/>
      <c r="BG4" s="489"/>
      <c r="BH4" s="489"/>
      <c r="BI4" s="489"/>
      <c r="BJ4" s="489"/>
      <c r="BK4" s="489"/>
      <c r="BL4" s="489"/>
      <c r="BM4" s="489"/>
      <c r="BN4" s="489"/>
      <c r="BO4" s="489"/>
      <c r="BP4" s="489"/>
      <c r="BQ4" s="489"/>
      <c r="BR4" s="489"/>
      <c r="BS4" s="489"/>
      <c r="BT4" s="489"/>
      <c r="BU4" s="489"/>
      <c r="BV4" s="489"/>
      <c r="BW4" s="489"/>
      <c r="BX4" s="489"/>
      <c r="BY4" s="489"/>
      <c r="BZ4" s="489"/>
      <c r="CA4" s="489"/>
      <c r="CB4" s="489"/>
      <c r="CC4" s="489"/>
      <c r="CD4" s="489"/>
      <c r="CE4" s="489"/>
      <c r="CF4" s="489"/>
      <c r="CG4" s="489"/>
      <c r="CH4" s="489"/>
      <c r="CI4" s="489"/>
      <c r="CJ4" s="489"/>
      <c r="CK4" s="489"/>
      <c r="CL4" s="489"/>
      <c r="CM4" s="489"/>
      <c r="CN4" s="489"/>
      <c r="CO4" s="489"/>
      <c r="CP4" s="489"/>
      <c r="CQ4" s="489"/>
      <c r="CR4" s="489"/>
      <c r="CS4" s="489"/>
      <c r="CT4" s="489"/>
      <c r="CU4" s="489"/>
      <c r="CV4" s="489"/>
      <c r="CW4" s="489"/>
      <c r="CX4" s="489"/>
      <c r="CY4" s="489"/>
      <c r="CZ4" s="489"/>
      <c r="DA4" s="489"/>
      <c r="DB4" s="489"/>
      <c r="DC4" s="489"/>
      <c r="DD4" s="489"/>
      <c r="DE4" s="489"/>
      <c r="DF4" s="489"/>
      <c r="DG4" s="489"/>
      <c r="DH4" s="489"/>
      <c r="DI4" s="489"/>
      <c r="DJ4" s="489"/>
      <c r="DK4" s="489"/>
      <c r="DL4" s="489"/>
      <c r="DM4" s="489"/>
      <c r="DN4" s="489"/>
      <c r="DO4" s="489"/>
      <c r="DP4" s="489"/>
      <c r="DQ4" s="489"/>
      <c r="DR4" s="489"/>
      <c r="DS4" s="489"/>
      <c r="DT4" s="489"/>
      <c r="DU4" s="489"/>
      <c r="DV4" s="489"/>
      <c r="DW4" s="489"/>
      <c r="DX4" s="489"/>
      <c r="DY4" s="489"/>
      <c r="DZ4" s="489"/>
      <c r="EA4" s="489"/>
      <c r="EB4" s="489"/>
      <c r="EC4" s="489"/>
      <c r="ED4" s="489"/>
      <c r="EE4" s="489"/>
      <c r="EF4" s="489"/>
      <c r="EG4" s="489"/>
      <c r="EH4" s="489"/>
      <c r="EI4" s="489"/>
      <c r="EJ4" s="489"/>
      <c r="EK4" s="489"/>
      <c r="EL4" s="489"/>
      <c r="EM4" s="489"/>
      <c r="EN4" s="489"/>
      <c r="EO4" s="489"/>
      <c r="EP4" s="489"/>
      <c r="EQ4" s="489"/>
      <c r="ER4" s="489"/>
      <c r="ES4" s="489"/>
      <c r="ET4" s="489"/>
      <c r="EU4" s="489"/>
      <c r="EV4" s="489"/>
      <c r="EW4" s="489"/>
      <c r="EX4" s="489"/>
      <c r="EY4" s="489"/>
      <c r="EZ4" s="489"/>
      <c r="FA4" s="489"/>
      <c r="FB4" s="489"/>
      <c r="FC4" s="489"/>
      <c r="FD4" s="489"/>
      <c r="FE4" s="489"/>
      <c r="FF4" s="489"/>
      <c r="FG4" s="489"/>
      <c r="FH4" s="489"/>
      <c r="FI4" s="489"/>
      <c r="FJ4" s="489"/>
      <c r="FK4" s="489"/>
      <c r="FL4" s="489"/>
      <c r="FM4" s="489"/>
      <c r="FN4" s="489"/>
      <c r="FO4" s="489"/>
      <c r="FP4" s="489"/>
      <c r="FQ4" s="489"/>
      <c r="FR4" s="489"/>
      <c r="FS4" s="489"/>
      <c r="FT4" s="489"/>
      <c r="FU4" s="489"/>
      <c r="FV4" s="489"/>
      <c r="FW4" s="489"/>
      <c r="FX4" s="489"/>
      <c r="FY4" s="489"/>
      <c r="FZ4" s="489"/>
      <c r="GA4" s="489"/>
      <c r="GB4" s="489"/>
      <c r="GC4" s="489"/>
      <c r="GD4" s="489"/>
      <c r="GE4" s="489"/>
      <c r="GF4" s="489"/>
      <c r="GG4" s="489"/>
      <c r="GH4" s="489"/>
      <c r="GI4" s="489"/>
      <c r="GJ4" s="489"/>
      <c r="GK4" s="489"/>
      <c r="GL4" s="489"/>
      <c r="GM4" s="489"/>
      <c r="GN4" s="489"/>
      <c r="GO4" s="489"/>
      <c r="GP4" s="489"/>
      <c r="GQ4" s="489"/>
      <c r="GR4" s="489"/>
      <c r="GS4" s="489"/>
      <c r="GT4" s="489"/>
      <c r="GU4" s="489"/>
      <c r="GV4" s="489"/>
      <c r="GW4" s="489"/>
      <c r="GX4" s="489"/>
      <c r="GY4" s="489"/>
      <c r="GZ4" s="489"/>
      <c r="HA4" s="489"/>
      <c r="HB4" s="489"/>
      <c r="HC4" s="489"/>
      <c r="HD4" s="489"/>
      <c r="HE4" s="489"/>
      <c r="HF4" s="489"/>
      <c r="HG4" s="489"/>
      <c r="HH4" s="489"/>
      <c r="HI4" s="489"/>
      <c r="HJ4" s="489"/>
      <c r="HK4" s="489"/>
      <c r="HL4" s="489"/>
      <c r="HM4" s="489"/>
      <c r="HN4" s="489"/>
      <c r="HO4" s="489"/>
      <c r="HP4" s="489"/>
      <c r="HQ4" s="489"/>
      <c r="HR4" s="489"/>
      <c r="HS4" s="489"/>
      <c r="HT4" s="489"/>
      <c r="HU4" s="489"/>
    </row>
    <row r="5" spans="1:229" ht="15.75" customHeight="1" thickBot="1" x14ac:dyDescent="0.3">
      <c r="A5" s="454"/>
      <c r="B5" s="454"/>
      <c r="C5" s="454"/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9"/>
      <c r="Q5" s="489"/>
      <c r="R5" s="489"/>
      <c r="S5" s="489"/>
      <c r="T5" s="489"/>
      <c r="U5" s="489"/>
      <c r="V5" s="489"/>
      <c r="W5" s="489"/>
      <c r="X5" s="489"/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  <c r="AV5" s="489"/>
      <c r="AW5" s="489"/>
      <c r="AX5" s="489"/>
      <c r="AY5" s="489"/>
      <c r="AZ5" s="489"/>
      <c r="BA5" s="489"/>
      <c r="BB5" s="489"/>
      <c r="BC5" s="489"/>
      <c r="BD5" s="489"/>
      <c r="BE5" s="489"/>
      <c r="BF5" s="489"/>
      <c r="BG5" s="489"/>
      <c r="BH5" s="489"/>
      <c r="BI5" s="489"/>
      <c r="BJ5" s="489"/>
      <c r="BK5" s="489"/>
      <c r="BL5" s="489"/>
      <c r="BM5" s="489"/>
      <c r="BN5" s="489"/>
      <c r="BO5" s="489"/>
      <c r="BP5" s="489"/>
      <c r="BQ5" s="489"/>
      <c r="BR5" s="489"/>
      <c r="BS5" s="489"/>
      <c r="BT5" s="489"/>
      <c r="BU5" s="489"/>
      <c r="BV5" s="489"/>
      <c r="BW5" s="489"/>
      <c r="BX5" s="489"/>
      <c r="BY5" s="489"/>
      <c r="BZ5" s="489"/>
      <c r="CA5" s="489"/>
      <c r="CB5" s="489"/>
      <c r="CC5" s="489"/>
      <c r="CD5" s="489"/>
      <c r="CE5" s="489"/>
      <c r="CF5" s="489"/>
      <c r="CG5" s="489"/>
      <c r="CH5" s="489"/>
      <c r="CI5" s="489"/>
      <c r="CJ5" s="489"/>
      <c r="CK5" s="489"/>
      <c r="CL5" s="489"/>
      <c r="CM5" s="489"/>
      <c r="CN5" s="489"/>
      <c r="CO5" s="489"/>
      <c r="CP5" s="489"/>
      <c r="CQ5" s="489"/>
      <c r="CR5" s="489"/>
      <c r="CS5" s="489"/>
      <c r="CT5" s="489"/>
      <c r="CU5" s="489"/>
      <c r="CV5" s="489"/>
      <c r="CW5" s="489"/>
      <c r="CX5" s="489"/>
      <c r="CY5" s="489"/>
      <c r="CZ5" s="489"/>
      <c r="DA5" s="489"/>
      <c r="DB5" s="489"/>
      <c r="DC5" s="489"/>
      <c r="DD5" s="489"/>
      <c r="DE5" s="489"/>
      <c r="DF5" s="489"/>
      <c r="DG5" s="489"/>
      <c r="DH5" s="489"/>
      <c r="DI5" s="489"/>
      <c r="DJ5" s="489"/>
      <c r="DK5" s="489"/>
      <c r="DL5" s="489"/>
      <c r="DM5" s="489"/>
      <c r="DN5" s="489"/>
      <c r="DO5" s="489"/>
      <c r="DP5" s="489"/>
      <c r="DQ5" s="489"/>
      <c r="DR5" s="489"/>
      <c r="DS5" s="489"/>
      <c r="DT5" s="489"/>
      <c r="DU5" s="489"/>
      <c r="DV5" s="489"/>
      <c r="DW5" s="489"/>
      <c r="DX5" s="489"/>
      <c r="DY5" s="489"/>
      <c r="DZ5" s="489"/>
      <c r="EA5" s="489"/>
      <c r="EB5" s="489"/>
      <c r="EC5" s="489"/>
      <c r="ED5" s="489"/>
      <c r="EE5" s="489"/>
      <c r="EF5" s="489"/>
      <c r="EG5" s="489"/>
      <c r="EH5" s="489"/>
      <c r="EI5" s="489"/>
      <c r="EJ5" s="489"/>
      <c r="EK5" s="489"/>
      <c r="EL5" s="489"/>
      <c r="EM5" s="489"/>
      <c r="EN5" s="489"/>
      <c r="EO5" s="489"/>
      <c r="EP5" s="489"/>
      <c r="EQ5" s="489"/>
      <c r="ER5" s="489"/>
      <c r="ES5" s="489"/>
      <c r="ET5" s="489"/>
      <c r="EU5" s="489"/>
      <c r="EV5" s="489"/>
      <c r="EW5" s="489"/>
      <c r="EX5" s="489"/>
      <c r="EY5" s="489"/>
      <c r="EZ5" s="489"/>
      <c r="FA5" s="489"/>
      <c r="FB5" s="489"/>
      <c r="FC5" s="489"/>
      <c r="FD5" s="489"/>
      <c r="FE5" s="489"/>
      <c r="FF5" s="489"/>
      <c r="FG5" s="489"/>
      <c r="FH5" s="489"/>
      <c r="FI5" s="489"/>
      <c r="FJ5" s="489"/>
      <c r="FK5" s="489"/>
      <c r="FL5" s="489"/>
      <c r="FM5" s="489"/>
      <c r="FN5" s="489"/>
      <c r="FO5" s="489"/>
      <c r="FP5" s="489"/>
      <c r="FQ5" s="489"/>
      <c r="FR5" s="489"/>
      <c r="FS5" s="489"/>
      <c r="FT5" s="489"/>
      <c r="FU5" s="489"/>
      <c r="FV5" s="489"/>
      <c r="FW5" s="489"/>
      <c r="FX5" s="489"/>
      <c r="FY5" s="489"/>
      <c r="FZ5" s="489"/>
      <c r="GA5" s="489"/>
      <c r="GB5" s="489"/>
      <c r="GC5" s="489"/>
      <c r="GD5" s="489"/>
      <c r="GE5" s="489"/>
      <c r="GF5" s="489"/>
      <c r="GG5" s="489"/>
      <c r="GH5" s="489"/>
      <c r="GI5" s="489"/>
      <c r="GJ5" s="489"/>
      <c r="GK5" s="489"/>
      <c r="GL5" s="489"/>
      <c r="GM5" s="489"/>
      <c r="GN5" s="489"/>
      <c r="GO5" s="489"/>
      <c r="GP5" s="489"/>
      <c r="GQ5" s="489"/>
      <c r="GR5" s="489"/>
      <c r="GS5" s="489"/>
      <c r="GT5" s="489"/>
      <c r="GU5" s="489"/>
      <c r="GV5" s="489"/>
      <c r="GW5" s="489"/>
      <c r="GX5" s="489"/>
      <c r="GY5" s="489"/>
      <c r="GZ5" s="489"/>
      <c r="HA5" s="489"/>
      <c r="HB5" s="489"/>
      <c r="HC5" s="489"/>
      <c r="HD5" s="489"/>
      <c r="HE5" s="489"/>
      <c r="HF5" s="489"/>
      <c r="HG5" s="489"/>
      <c r="HH5" s="489"/>
      <c r="HI5" s="489"/>
      <c r="HJ5" s="489"/>
      <c r="HK5" s="489"/>
      <c r="HL5" s="489"/>
      <c r="HM5" s="489"/>
      <c r="HN5" s="489"/>
      <c r="HO5" s="489"/>
      <c r="HP5" s="489"/>
      <c r="HQ5" s="489"/>
      <c r="HR5" s="489"/>
      <c r="HS5" s="489"/>
      <c r="HT5" s="489"/>
      <c r="HU5" s="489"/>
    </row>
    <row r="6" spans="1:229" ht="17.100000000000001" customHeight="1" thickBot="1" x14ac:dyDescent="0.3">
      <c r="A6" s="456" t="s">
        <v>18</v>
      </c>
      <c r="B6" s="458" t="s">
        <v>14</v>
      </c>
      <c r="C6" s="458" t="s">
        <v>28</v>
      </c>
      <c r="D6" s="460" t="s">
        <v>0</v>
      </c>
      <c r="E6" s="490" t="s">
        <v>25</v>
      </c>
      <c r="F6" s="463"/>
      <c r="G6" s="463"/>
      <c r="H6" s="463"/>
      <c r="I6" s="463"/>
      <c r="J6" s="463"/>
      <c r="K6" s="463"/>
      <c r="L6" s="463"/>
      <c r="M6" s="491"/>
      <c r="N6" s="127"/>
      <c r="O6" s="490" t="s">
        <v>73</v>
      </c>
      <c r="P6" s="463"/>
      <c r="Q6" s="463"/>
      <c r="R6" s="463"/>
      <c r="S6" s="463"/>
      <c r="T6" s="463"/>
      <c r="U6" s="463"/>
      <c r="V6" s="463"/>
      <c r="W6" s="463"/>
      <c r="X6" s="463"/>
      <c r="Y6" s="463"/>
      <c r="Z6" s="463"/>
      <c r="AA6" s="463"/>
      <c r="AB6" s="463"/>
      <c r="AC6" s="463"/>
      <c r="AD6" s="463"/>
      <c r="AE6" s="463"/>
      <c r="AF6" s="463"/>
      <c r="AG6" s="463"/>
      <c r="AH6" s="463"/>
      <c r="AI6" s="463"/>
      <c r="AJ6" s="463"/>
      <c r="AK6" s="463"/>
      <c r="AL6" s="463"/>
      <c r="AM6" s="463"/>
      <c r="AN6" s="463"/>
      <c r="AO6" s="463"/>
      <c r="AP6" s="463"/>
      <c r="AQ6" s="127"/>
      <c r="AR6" s="490" t="s">
        <v>76</v>
      </c>
      <c r="AS6" s="463"/>
      <c r="AT6" s="463"/>
      <c r="AU6" s="463"/>
      <c r="AV6" s="463"/>
      <c r="AW6" s="463"/>
      <c r="AX6" s="463"/>
      <c r="AY6" s="463"/>
      <c r="AZ6" s="463"/>
      <c r="BA6" s="463"/>
      <c r="BB6" s="463"/>
      <c r="BC6" s="463"/>
      <c r="BD6" s="463"/>
      <c r="BE6" s="463"/>
      <c r="BF6" s="463"/>
      <c r="BG6" s="463"/>
      <c r="BH6" s="463"/>
      <c r="BI6" s="463"/>
      <c r="BJ6" s="463"/>
      <c r="BK6" s="463"/>
      <c r="BL6" s="463"/>
      <c r="BM6" s="463"/>
      <c r="BN6" s="463"/>
      <c r="BO6" s="463"/>
      <c r="BP6" s="463"/>
      <c r="BQ6" s="463"/>
      <c r="BR6" s="463"/>
      <c r="BS6" s="463"/>
      <c r="BT6" s="463"/>
      <c r="BU6" s="463"/>
      <c r="BV6" s="463"/>
      <c r="BW6" s="127"/>
      <c r="BX6" s="490" t="s">
        <v>105</v>
      </c>
      <c r="BY6" s="463"/>
      <c r="BZ6" s="463"/>
      <c r="CA6" s="463"/>
      <c r="CB6" s="463"/>
      <c r="CC6" s="463"/>
      <c r="CD6" s="463"/>
      <c r="CE6" s="463"/>
      <c r="CF6" s="463"/>
      <c r="CG6" s="463"/>
      <c r="CH6" s="463"/>
      <c r="CI6" s="463"/>
      <c r="CJ6" s="463"/>
      <c r="CK6" s="463"/>
      <c r="CL6" s="463"/>
      <c r="CM6" s="463"/>
      <c r="CN6" s="463"/>
      <c r="CO6" s="463"/>
      <c r="CP6" s="463"/>
      <c r="CQ6" s="463"/>
      <c r="CR6" s="463"/>
      <c r="CS6" s="463"/>
      <c r="CT6" s="463"/>
      <c r="CU6" s="463"/>
      <c r="CV6" s="463"/>
      <c r="CW6" s="463"/>
      <c r="CX6" s="463"/>
      <c r="CY6" s="463"/>
      <c r="CZ6" s="463"/>
      <c r="DA6" s="463"/>
      <c r="DB6" s="490" t="s">
        <v>111</v>
      </c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3"/>
      <c r="DS6" s="463"/>
      <c r="DT6" s="463"/>
      <c r="DU6" s="463"/>
      <c r="DV6" s="463"/>
      <c r="DW6" s="463"/>
      <c r="DX6" s="463"/>
      <c r="DY6" s="463"/>
      <c r="DZ6" s="463"/>
      <c r="EA6" s="463"/>
      <c r="EB6" s="463"/>
      <c r="EC6" s="463"/>
      <c r="ED6" s="463"/>
      <c r="EE6" s="463"/>
      <c r="EF6" s="463"/>
      <c r="EG6" s="490" t="s">
        <v>117</v>
      </c>
      <c r="EH6" s="463"/>
      <c r="EI6" s="463"/>
      <c r="EJ6" s="463"/>
      <c r="EK6" s="463"/>
      <c r="EL6" s="463"/>
      <c r="EM6" s="463"/>
      <c r="EN6" s="463"/>
      <c r="EO6" s="463"/>
      <c r="EP6" s="463"/>
      <c r="EQ6" s="463"/>
      <c r="ER6" s="463"/>
      <c r="ES6" s="463"/>
      <c r="ET6" s="463"/>
      <c r="EU6" s="463"/>
      <c r="EV6" s="463"/>
      <c r="EW6" s="463"/>
      <c r="EX6" s="463"/>
      <c r="EY6" s="463"/>
      <c r="EZ6" s="463"/>
      <c r="FA6" s="463"/>
      <c r="FB6" s="463"/>
      <c r="FC6" s="463"/>
      <c r="FD6" s="463"/>
      <c r="FE6" s="463"/>
      <c r="FF6" s="463"/>
      <c r="FG6" s="463"/>
      <c r="FH6" s="463"/>
      <c r="FI6" s="463"/>
      <c r="FJ6" s="463"/>
      <c r="FK6" s="490" t="s">
        <v>133</v>
      </c>
      <c r="FL6" s="463"/>
      <c r="FM6" s="463"/>
      <c r="FN6" s="463"/>
      <c r="FO6" s="463"/>
      <c r="FP6" s="463"/>
      <c r="FQ6" s="463"/>
      <c r="FR6" s="463"/>
      <c r="FS6" s="463"/>
      <c r="FT6" s="463"/>
      <c r="FU6" s="463"/>
      <c r="FV6" s="463"/>
      <c r="FW6" s="463"/>
      <c r="FX6" s="463"/>
      <c r="FY6" s="463"/>
      <c r="FZ6" s="463"/>
      <c r="GA6" s="463"/>
      <c r="GB6" s="463"/>
      <c r="GC6" s="463"/>
      <c r="GD6" s="463"/>
      <c r="GE6" s="463"/>
      <c r="GF6" s="463"/>
      <c r="GG6" s="463"/>
      <c r="GH6" s="463"/>
      <c r="GI6" s="463"/>
      <c r="GJ6" s="463"/>
      <c r="GK6" s="463"/>
      <c r="GL6" s="463"/>
      <c r="GM6" s="463"/>
      <c r="GN6" s="463"/>
      <c r="GO6" s="463"/>
      <c r="GP6" s="492" t="s">
        <v>142</v>
      </c>
      <c r="GQ6" s="493"/>
      <c r="GR6" s="493"/>
      <c r="GS6" s="493"/>
      <c r="GT6" s="493"/>
      <c r="GU6" s="493"/>
      <c r="GV6" s="493"/>
      <c r="GW6" s="493"/>
      <c r="GX6" s="493"/>
      <c r="GY6" s="493"/>
      <c r="GZ6" s="493"/>
      <c r="HA6" s="493"/>
      <c r="HB6" s="493"/>
      <c r="HC6" s="493"/>
      <c r="HD6" s="493"/>
      <c r="HE6" s="493"/>
      <c r="HF6" s="493"/>
      <c r="HG6" s="493"/>
      <c r="HH6" s="493"/>
      <c r="HI6" s="493"/>
      <c r="HJ6" s="493"/>
      <c r="HK6" s="493"/>
      <c r="HL6" s="493"/>
      <c r="HM6" s="493"/>
      <c r="HN6" s="493"/>
      <c r="HO6" s="493"/>
      <c r="HP6" s="493"/>
      <c r="HQ6" s="493"/>
      <c r="HR6" s="493"/>
      <c r="HS6" s="493"/>
      <c r="HT6" s="494"/>
      <c r="HU6" s="388"/>
    </row>
    <row r="7" spans="1:229" s="1" customFormat="1" ht="18.600000000000001" customHeight="1" thickBot="1" x14ac:dyDescent="0.3">
      <c r="A7" s="457"/>
      <c r="B7" s="459"/>
      <c r="C7" s="459"/>
      <c r="D7" s="461"/>
      <c r="E7" s="70">
        <v>24</v>
      </c>
      <c r="F7" s="12">
        <v>46047</v>
      </c>
      <c r="G7" s="12">
        <v>46048</v>
      </c>
      <c r="H7" s="12">
        <v>46049</v>
      </c>
      <c r="I7" s="12">
        <v>46050</v>
      </c>
      <c r="J7" s="12">
        <v>46051</v>
      </c>
      <c r="K7" s="12">
        <v>46052</v>
      </c>
      <c r="L7" s="14">
        <v>46053</v>
      </c>
      <c r="M7" s="87" t="s">
        <v>26</v>
      </c>
      <c r="N7" s="128"/>
      <c r="O7" s="70">
        <v>46054</v>
      </c>
      <c r="P7" s="12">
        <v>46055</v>
      </c>
      <c r="Q7" s="12">
        <v>46056</v>
      </c>
      <c r="R7" s="12">
        <v>46057</v>
      </c>
      <c r="S7" s="12">
        <v>46058</v>
      </c>
      <c r="T7" s="12">
        <v>46059</v>
      </c>
      <c r="U7" s="12">
        <v>46060</v>
      </c>
      <c r="V7" s="12">
        <v>46061</v>
      </c>
      <c r="W7" s="12">
        <v>46062</v>
      </c>
      <c r="X7" s="12">
        <v>46063</v>
      </c>
      <c r="Y7" s="12">
        <v>46064</v>
      </c>
      <c r="Z7" s="12">
        <v>46065</v>
      </c>
      <c r="AA7" s="12">
        <v>46066</v>
      </c>
      <c r="AB7" s="12">
        <v>46067</v>
      </c>
      <c r="AC7" s="12">
        <v>46068</v>
      </c>
      <c r="AD7" s="12">
        <v>46069</v>
      </c>
      <c r="AE7" s="12">
        <v>46070</v>
      </c>
      <c r="AF7" s="12">
        <v>46071</v>
      </c>
      <c r="AG7" s="12">
        <v>46072</v>
      </c>
      <c r="AH7" s="12">
        <v>46073</v>
      </c>
      <c r="AI7" s="12">
        <v>46074</v>
      </c>
      <c r="AJ7" s="12">
        <v>46075</v>
      </c>
      <c r="AK7" s="12">
        <v>46076</v>
      </c>
      <c r="AL7" s="12">
        <v>46077</v>
      </c>
      <c r="AM7" s="12">
        <v>46078</v>
      </c>
      <c r="AN7" s="12">
        <v>46079</v>
      </c>
      <c r="AO7" s="12">
        <v>46080</v>
      </c>
      <c r="AP7" s="51">
        <v>46081</v>
      </c>
      <c r="AQ7" s="145"/>
      <c r="AR7" s="12">
        <v>46082</v>
      </c>
      <c r="AS7" s="12">
        <v>46083</v>
      </c>
      <c r="AT7" s="12">
        <v>46084</v>
      </c>
      <c r="AU7" s="12">
        <v>46085</v>
      </c>
      <c r="AV7" s="12">
        <v>46086</v>
      </c>
      <c r="AW7" s="12">
        <v>46087</v>
      </c>
      <c r="AX7" s="12">
        <v>46088</v>
      </c>
      <c r="AY7" s="12">
        <v>46089</v>
      </c>
      <c r="AZ7" s="12">
        <v>46090</v>
      </c>
      <c r="BA7" s="12">
        <v>46091</v>
      </c>
      <c r="BB7" s="12">
        <v>46092</v>
      </c>
      <c r="BC7" s="12">
        <v>46093</v>
      </c>
      <c r="BD7" s="12">
        <v>46094</v>
      </c>
      <c r="BE7" s="12">
        <v>46095</v>
      </c>
      <c r="BF7" s="12">
        <v>46096</v>
      </c>
      <c r="BG7" s="12">
        <v>46097</v>
      </c>
      <c r="BH7" s="12">
        <v>46098</v>
      </c>
      <c r="BI7" s="12">
        <v>46099</v>
      </c>
      <c r="BJ7" s="12">
        <v>46100</v>
      </c>
      <c r="BK7" s="12">
        <v>46101</v>
      </c>
      <c r="BL7" s="12">
        <v>46102</v>
      </c>
      <c r="BM7" s="12">
        <v>46103</v>
      </c>
      <c r="BN7" s="12">
        <v>46104</v>
      </c>
      <c r="BO7" s="12">
        <v>46105</v>
      </c>
      <c r="BP7" s="12">
        <v>46106</v>
      </c>
      <c r="BQ7" s="12">
        <v>46107</v>
      </c>
      <c r="BR7" s="12">
        <v>46108</v>
      </c>
      <c r="BS7" s="12">
        <v>46109</v>
      </c>
      <c r="BT7" s="12">
        <v>46110</v>
      </c>
      <c r="BU7" s="12">
        <v>46111</v>
      </c>
      <c r="BV7" s="51">
        <v>46112</v>
      </c>
      <c r="BW7" s="145"/>
      <c r="BX7" s="12">
        <v>46113</v>
      </c>
      <c r="BY7" s="12">
        <v>46114</v>
      </c>
      <c r="BZ7" s="12">
        <v>46115</v>
      </c>
      <c r="CA7" s="12">
        <v>46116</v>
      </c>
      <c r="CB7" s="12">
        <v>46117</v>
      </c>
      <c r="CC7" s="12">
        <v>46118</v>
      </c>
      <c r="CD7" s="12">
        <v>46119</v>
      </c>
      <c r="CE7" s="12">
        <v>46120</v>
      </c>
      <c r="CF7" s="12">
        <v>46121</v>
      </c>
      <c r="CG7" s="12">
        <v>46122</v>
      </c>
      <c r="CH7" s="12">
        <v>46123</v>
      </c>
      <c r="CI7" s="12">
        <v>46124</v>
      </c>
      <c r="CJ7" s="12">
        <v>46125</v>
      </c>
      <c r="CK7" s="12">
        <v>46126</v>
      </c>
      <c r="CL7" s="12">
        <v>46127</v>
      </c>
      <c r="CM7" s="12">
        <v>46128</v>
      </c>
      <c r="CN7" s="12">
        <v>46129</v>
      </c>
      <c r="CO7" s="12">
        <v>46130</v>
      </c>
      <c r="CP7" s="12">
        <v>46131</v>
      </c>
      <c r="CQ7" s="12">
        <v>46132</v>
      </c>
      <c r="CR7" s="12">
        <v>46133</v>
      </c>
      <c r="CS7" s="12">
        <v>46134</v>
      </c>
      <c r="CT7" s="12">
        <v>46135</v>
      </c>
      <c r="CU7" s="12">
        <v>46136</v>
      </c>
      <c r="CV7" s="12">
        <v>46137</v>
      </c>
      <c r="CW7" s="12">
        <v>46138</v>
      </c>
      <c r="CX7" s="12">
        <v>46139</v>
      </c>
      <c r="CY7" s="12">
        <v>46140</v>
      </c>
      <c r="CZ7" s="12">
        <v>46141</v>
      </c>
      <c r="DA7" s="51">
        <v>46142</v>
      </c>
      <c r="DB7" s="70">
        <v>46143</v>
      </c>
      <c r="DC7" s="12">
        <v>46144</v>
      </c>
      <c r="DD7" s="12">
        <v>46145</v>
      </c>
      <c r="DE7" s="14">
        <v>46146</v>
      </c>
      <c r="DF7" s="14">
        <v>46147</v>
      </c>
      <c r="DG7" s="14">
        <v>46148</v>
      </c>
      <c r="DH7" s="14">
        <v>46149</v>
      </c>
      <c r="DI7" s="14">
        <v>46150</v>
      </c>
      <c r="DJ7" s="14">
        <v>46151</v>
      </c>
      <c r="DK7" s="14">
        <v>46152</v>
      </c>
      <c r="DL7" s="14">
        <v>46153</v>
      </c>
      <c r="DM7" s="14">
        <v>46154</v>
      </c>
      <c r="DN7" s="14">
        <v>46155</v>
      </c>
      <c r="DO7" s="14">
        <v>46156</v>
      </c>
      <c r="DP7" s="14">
        <v>46157</v>
      </c>
      <c r="DQ7" s="14">
        <v>46158</v>
      </c>
      <c r="DR7" s="14">
        <v>46159</v>
      </c>
      <c r="DS7" s="14">
        <v>46160</v>
      </c>
      <c r="DT7" s="14">
        <v>46161</v>
      </c>
      <c r="DU7" s="14">
        <v>46162</v>
      </c>
      <c r="DV7" s="14">
        <v>46163</v>
      </c>
      <c r="DW7" s="14">
        <v>46164</v>
      </c>
      <c r="DX7" s="14">
        <v>46165</v>
      </c>
      <c r="DY7" s="14">
        <v>46166</v>
      </c>
      <c r="DZ7" s="14">
        <v>46167</v>
      </c>
      <c r="EA7" s="14">
        <v>46168</v>
      </c>
      <c r="EB7" s="14">
        <v>46169</v>
      </c>
      <c r="EC7" s="14">
        <v>46170</v>
      </c>
      <c r="ED7" s="14">
        <v>46171</v>
      </c>
      <c r="EE7" s="14">
        <v>46172</v>
      </c>
      <c r="EF7" s="51">
        <v>46173</v>
      </c>
      <c r="EG7" s="181">
        <v>46174</v>
      </c>
      <c r="EH7" s="327">
        <v>46175</v>
      </c>
      <c r="EI7" s="327">
        <v>46176</v>
      </c>
      <c r="EJ7" s="327">
        <v>46177</v>
      </c>
      <c r="EK7" s="327">
        <v>46178</v>
      </c>
      <c r="EL7" s="327">
        <v>46179</v>
      </c>
      <c r="EM7" s="327">
        <v>46180</v>
      </c>
      <c r="EN7" s="327">
        <v>46181</v>
      </c>
      <c r="EO7" s="327">
        <v>46182</v>
      </c>
      <c r="EP7" s="327">
        <v>46183</v>
      </c>
      <c r="EQ7" s="327">
        <v>46184</v>
      </c>
      <c r="ER7" s="327">
        <v>46185</v>
      </c>
      <c r="ES7" s="327">
        <v>46186</v>
      </c>
      <c r="ET7" s="327">
        <v>46187</v>
      </c>
      <c r="EU7" s="327">
        <v>46188</v>
      </c>
      <c r="EV7" s="327">
        <v>46189</v>
      </c>
      <c r="EW7" s="327">
        <v>46190</v>
      </c>
      <c r="EX7" s="327">
        <v>46191</v>
      </c>
      <c r="EY7" s="327">
        <v>46192</v>
      </c>
      <c r="EZ7" s="327">
        <v>46193</v>
      </c>
      <c r="FA7" s="327">
        <v>46194</v>
      </c>
      <c r="FB7" s="327">
        <v>46195</v>
      </c>
      <c r="FC7" s="327">
        <v>46196</v>
      </c>
      <c r="FD7" s="327">
        <v>46197</v>
      </c>
      <c r="FE7" s="327">
        <v>46198</v>
      </c>
      <c r="FF7" s="327">
        <v>46199</v>
      </c>
      <c r="FG7" s="327">
        <v>46200</v>
      </c>
      <c r="FH7" s="327">
        <v>46201</v>
      </c>
      <c r="FI7" s="327">
        <v>46202</v>
      </c>
      <c r="FJ7" s="86">
        <v>46203</v>
      </c>
      <c r="FK7" s="181">
        <v>46204</v>
      </c>
      <c r="FL7" s="327">
        <v>46205</v>
      </c>
      <c r="FM7" s="327">
        <v>46206</v>
      </c>
      <c r="FN7" s="327">
        <v>46207</v>
      </c>
      <c r="FO7" s="327">
        <v>46208</v>
      </c>
      <c r="FP7" s="327">
        <v>46209</v>
      </c>
      <c r="FQ7" s="327">
        <v>46210</v>
      </c>
      <c r="FR7" s="327">
        <v>46211</v>
      </c>
      <c r="FS7" s="327">
        <v>46212</v>
      </c>
      <c r="FT7" s="327">
        <v>46213</v>
      </c>
      <c r="FU7" s="327">
        <v>46214</v>
      </c>
      <c r="FV7" s="327">
        <v>46215</v>
      </c>
      <c r="FW7" s="327">
        <v>46216</v>
      </c>
      <c r="FX7" s="327">
        <v>46217</v>
      </c>
      <c r="FY7" s="327">
        <v>46218</v>
      </c>
      <c r="FZ7" s="327">
        <v>46219</v>
      </c>
      <c r="GA7" s="327">
        <v>46220</v>
      </c>
      <c r="GB7" s="327">
        <v>46221</v>
      </c>
      <c r="GC7" s="327">
        <v>46222</v>
      </c>
      <c r="GD7" s="327">
        <v>46223</v>
      </c>
      <c r="GE7" s="327">
        <v>46224</v>
      </c>
      <c r="GF7" s="327">
        <v>46225</v>
      </c>
      <c r="GG7" s="327">
        <v>46226</v>
      </c>
      <c r="GH7" s="327">
        <v>46227</v>
      </c>
      <c r="GI7" s="327">
        <v>46228</v>
      </c>
      <c r="GJ7" s="327">
        <v>46229</v>
      </c>
      <c r="GK7" s="327">
        <v>46230</v>
      </c>
      <c r="GL7" s="327">
        <v>46231</v>
      </c>
      <c r="GM7" s="327">
        <v>46232</v>
      </c>
      <c r="GN7" s="327">
        <v>46233</v>
      </c>
      <c r="GO7" s="86">
        <v>46234</v>
      </c>
      <c r="GP7" s="374">
        <v>46235</v>
      </c>
      <c r="GQ7" s="375">
        <v>46236</v>
      </c>
      <c r="GR7" s="375">
        <v>46237</v>
      </c>
      <c r="GS7" s="375">
        <v>46238</v>
      </c>
      <c r="GT7" s="375">
        <v>46239</v>
      </c>
      <c r="GU7" s="375">
        <v>46240</v>
      </c>
      <c r="GV7" s="375">
        <v>46241</v>
      </c>
      <c r="GW7" s="375">
        <v>46242</v>
      </c>
      <c r="GX7" s="375">
        <v>46243</v>
      </c>
      <c r="GY7" s="375">
        <v>46244</v>
      </c>
      <c r="GZ7" s="375">
        <v>46245</v>
      </c>
      <c r="HA7" s="375">
        <v>46246</v>
      </c>
      <c r="HB7" s="375">
        <v>46247</v>
      </c>
      <c r="HC7" s="375">
        <v>46248</v>
      </c>
      <c r="HD7" s="375">
        <v>46249</v>
      </c>
      <c r="HE7" s="375">
        <v>46250</v>
      </c>
      <c r="HF7" s="375">
        <v>46251</v>
      </c>
      <c r="HG7" s="375">
        <v>46252</v>
      </c>
      <c r="HH7" s="375">
        <v>46253</v>
      </c>
      <c r="HI7" s="375">
        <v>46254</v>
      </c>
      <c r="HJ7" s="375">
        <v>46255</v>
      </c>
      <c r="HK7" s="375">
        <v>46256</v>
      </c>
      <c r="HL7" s="375">
        <v>46257</v>
      </c>
      <c r="HM7" s="375">
        <v>46258</v>
      </c>
      <c r="HN7" s="375">
        <v>46259</v>
      </c>
      <c r="HO7" s="375">
        <v>46260</v>
      </c>
      <c r="HP7" s="375">
        <v>46261</v>
      </c>
      <c r="HQ7" s="375">
        <v>46262</v>
      </c>
      <c r="HR7" s="375">
        <v>46263</v>
      </c>
      <c r="HS7" s="375">
        <v>46264</v>
      </c>
      <c r="HT7" s="373">
        <v>46265</v>
      </c>
      <c r="HU7" s="398" t="s">
        <v>26</v>
      </c>
    </row>
    <row r="8" spans="1:229" x14ac:dyDescent="0.25">
      <c r="A8" s="32">
        <v>1</v>
      </c>
      <c r="B8" s="481" t="s">
        <v>23</v>
      </c>
      <c r="C8" s="25" t="s">
        <v>1</v>
      </c>
      <c r="D8" s="69" t="s">
        <v>17</v>
      </c>
      <c r="E8" s="71">
        <v>0</v>
      </c>
      <c r="F8" s="33">
        <v>0</v>
      </c>
      <c r="G8" s="33">
        <v>0</v>
      </c>
      <c r="H8" s="33">
        <v>0</v>
      </c>
      <c r="I8" s="33">
        <v>0</v>
      </c>
      <c r="J8" s="33">
        <v>2</v>
      </c>
      <c r="K8" s="31">
        <v>0</v>
      </c>
      <c r="L8" s="72">
        <v>0</v>
      </c>
      <c r="M8" s="106">
        <f>SUM(E8:L8)</f>
        <v>2</v>
      </c>
      <c r="N8" s="129"/>
      <c r="O8" s="8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1</v>
      </c>
      <c r="X8" s="68">
        <v>0</v>
      </c>
      <c r="Y8" s="68">
        <v>0</v>
      </c>
      <c r="Z8" s="68">
        <v>4</v>
      </c>
      <c r="AA8" s="68">
        <v>0</v>
      </c>
      <c r="AB8" s="68">
        <v>1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01">
        <v>0</v>
      </c>
      <c r="AQ8" s="162"/>
      <c r="AR8" s="13">
        <v>0</v>
      </c>
      <c r="AS8" s="13">
        <v>0</v>
      </c>
      <c r="AT8" s="13">
        <v>0</v>
      </c>
      <c r="AU8" s="13">
        <v>0</v>
      </c>
      <c r="AV8" s="13">
        <v>1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3</v>
      </c>
      <c r="BT8" s="13">
        <v>0</v>
      </c>
      <c r="BU8" s="13">
        <v>0</v>
      </c>
      <c r="BV8" s="13">
        <v>0</v>
      </c>
      <c r="BW8" s="162"/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265">
        <v>0</v>
      </c>
      <c r="CR8" s="265">
        <v>0</v>
      </c>
      <c r="CS8" s="265">
        <v>0</v>
      </c>
      <c r="CT8" s="265">
        <v>0</v>
      </c>
      <c r="CU8" s="265">
        <v>0</v>
      </c>
      <c r="CV8" s="265">
        <v>1</v>
      </c>
      <c r="CW8" s="265">
        <v>0</v>
      </c>
      <c r="CX8" s="265">
        <v>0</v>
      </c>
      <c r="CY8" s="13">
        <v>0</v>
      </c>
      <c r="CZ8" s="13">
        <v>0</v>
      </c>
      <c r="DA8" s="101">
        <v>0</v>
      </c>
      <c r="DB8" s="7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265">
        <v>2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3">
        <v>0</v>
      </c>
      <c r="EF8" s="101">
        <v>0</v>
      </c>
      <c r="EG8" s="71">
        <v>0</v>
      </c>
      <c r="EH8" s="37">
        <v>0</v>
      </c>
      <c r="EI8" s="37">
        <v>0</v>
      </c>
      <c r="EJ8" s="37">
        <v>0</v>
      </c>
      <c r="EK8" s="37">
        <v>0</v>
      </c>
      <c r="EL8" s="37">
        <v>0</v>
      </c>
      <c r="EM8" s="37">
        <v>0</v>
      </c>
      <c r="EN8" s="37">
        <v>0</v>
      </c>
      <c r="EO8" s="37">
        <v>0</v>
      </c>
      <c r="EP8" s="37">
        <v>0</v>
      </c>
      <c r="EQ8" s="37">
        <v>0</v>
      </c>
      <c r="ER8" s="37">
        <v>0</v>
      </c>
      <c r="ES8" s="37">
        <v>0</v>
      </c>
      <c r="ET8" s="37">
        <v>0</v>
      </c>
      <c r="EU8" s="37">
        <v>0</v>
      </c>
      <c r="EV8" s="37">
        <v>0</v>
      </c>
      <c r="EW8" s="37">
        <v>0</v>
      </c>
      <c r="EX8" s="37">
        <v>0</v>
      </c>
      <c r="EY8" s="37">
        <v>0</v>
      </c>
      <c r="EZ8" s="37">
        <v>0</v>
      </c>
      <c r="FA8" s="37">
        <v>0</v>
      </c>
      <c r="FB8" s="37">
        <v>0</v>
      </c>
      <c r="FC8" s="37">
        <v>0</v>
      </c>
      <c r="FD8" s="37">
        <v>0</v>
      </c>
      <c r="FE8" s="37">
        <v>0</v>
      </c>
      <c r="FF8" s="37">
        <v>0</v>
      </c>
      <c r="FG8" s="37">
        <v>0</v>
      </c>
      <c r="FH8" s="37">
        <v>0</v>
      </c>
      <c r="FI8" s="37">
        <v>0</v>
      </c>
      <c r="FJ8" s="157">
        <v>0</v>
      </c>
      <c r="FK8" s="71">
        <v>0</v>
      </c>
      <c r="FL8" s="37">
        <v>0</v>
      </c>
      <c r="FM8" s="37">
        <v>0</v>
      </c>
      <c r="FN8" s="37">
        <v>0</v>
      </c>
      <c r="FO8" s="37">
        <v>0</v>
      </c>
      <c r="FP8" s="37">
        <v>0</v>
      </c>
      <c r="FQ8" s="37">
        <v>0</v>
      </c>
      <c r="FR8" s="37">
        <v>0</v>
      </c>
      <c r="FS8" s="37">
        <v>0</v>
      </c>
      <c r="FT8" s="37">
        <v>0</v>
      </c>
      <c r="FU8" s="37">
        <v>0</v>
      </c>
      <c r="FV8" s="37">
        <v>0</v>
      </c>
      <c r="FW8" s="37">
        <v>0</v>
      </c>
      <c r="FX8" s="37">
        <v>0</v>
      </c>
      <c r="FY8" s="37">
        <v>0</v>
      </c>
      <c r="FZ8" s="37">
        <v>0</v>
      </c>
      <c r="GA8" s="37">
        <v>0</v>
      </c>
      <c r="GB8" s="37">
        <v>0</v>
      </c>
      <c r="GC8" s="37">
        <v>0</v>
      </c>
      <c r="GD8" s="37">
        <v>0</v>
      </c>
      <c r="GE8" s="37">
        <v>0</v>
      </c>
      <c r="GF8" s="37">
        <v>0</v>
      </c>
      <c r="GG8" s="37">
        <v>0</v>
      </c>
      <c r="GH8" s="37">
        <v>0</v>
      </c>
      <c r="GI8" s="37">
        <v>0</v>
      </c>
      <c r="GJ8" s="37">
        <v>0</v>
      </c>
      <c r="GK8" s="37">
        <v>0</v>
      </c>
      <c r="GL8" s="37">
        <v>0</v>
      </c>
      <c r="GM8" s="37">
        <v>0</v>
      </c>
      <c r="GN8" s="37">
        <v>0</v>
      </c>
      <c r="GO8" s="157">
        <v>0</v>
      </c>
      <c r="GP8" s="7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0</v>
      </c>
      <c r="HE8" s="13">
        <v>0</v>
      </c>
      <c r="HF8" s="13">
        <v>0</v>
      </c>
      <c r="HG8" s="13">
        <v>0</v>
      </c>
      <c r="HH8" s="13">
        <v>0</v>
      </c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274"/>
      <c r="HU8" s="329">
        <f>SUM(O8:HT8)</f>
        <v>14</v>
      </c>
    </row>
    <row r="9" spans="1:229" x14ac:dyDescent="0.25">
      <c r="A9" s="2">
        <v>2</v>
      </c>
      <c r="B9" s="474"/>
      <c r="C9" s="23" t="s">
        <v>2</v>
      </c>
      <c r="D9" s="2" t="s">
        <v>17</v>
      </c>
      <c r="E9" s="73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72">
        <v>0</v>
      </c>
      <c r="M9" s="106">
        <f t="shared" ref="M9:M18" si="0">SUM(E9:L9)</f>
        <v>0</v>
      </c>
      <c r="N9" s="129"/>
      <c r="O9" s="7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01">
        <v>0</v>
      </c>
      <c r="AQ9" s="162"/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62"/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265">
        <v>0</v>
      </c>
      <c r="CR9" s="265">
        <v>0</v>
      </c>
      <c r="CS9" s="265">
        <v>0</v>
      </c>
      <c r="CT9" s="265">
        <v>0</v>
      </c>
      <c r="CU9" s="265">
        <v>0</v>
      </c>
      <c r="CV9" s="265">
        <v>0</v>
      </c>
      <c r="CW9" s="265">
        <v>0</v>
      </c>
      <c r="CX9" s="265">
        <v>0</v>
      </c>
      <c r="CY9" s="13">
        <v>0</v>
      </c>
      <c r="CZ9" s="13">
        <v>0</v>
      </c>
      <c r="DA9" s="101">
        <v>0</v>
      </c>
      <c r="DB9" s="7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01">
        <v>0</v>
      </c>
      <c r="EG9" s="7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01">
        <v>0</v>
      </c>
      <c r="FK9" s="7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01">
        <v>0</v>
      </c>
      <c r="GP9" s="7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0</v>
      </c>
      <c r="HE9" s="13">
        <v>0</v>
      </c>
      <c r="HF9" s="13">
        <v>0</v>
      </c>
      <c r="HG9" s="13">
        <v>0</v>
      </c>
      <c r="HH9" s="13">
        <v>0</v>
      </c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274"/>
      <c r="HU9" s="55">
        <f t="shared" ref="HU9:HU18" si="1">SUM(O9:HT9)</f>
        <v>0</v>
      </c>
    </row>
    <row r="10" spans="1:229" x14ac:dyDescent="0.25">
      <c r="A10" s="2">
        <v>3</v>
      </c>
      <c r="B10" s="474"/>
      <c r="C10" s="23" t="s">
        <v>3</v>
      </c>
      <c r="D10" s="2" t="s">
        <v>17</v>
      </c>
      <c r="E10" s="73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72">
        <v>0</v>
      </c>
      <c r="M10" s="106">
        <f t="shared" si="0"/>
        <v>0</v>
      </c>
      <c r="N10" s="129"/>
      <c r="O10" s="7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01">
        <v>0</v>
      </c>
      <c r="AQ10" s="162"/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62"/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265">
        <v>0</v>
      </c>
      <c r="CR10" s="265">
        <v>0</v>
      </c>
      <c r="CS10" s="265">
        <v>0</v>
      </c>
      <c r="CT10" s="265">
        <v>0</v>
      </c>
      <c r="CU10" s="265">
        <v>0</v>
      </c>
      <c r="CV10" s="265">
        <v>0</v>
      </c>
      <c r="CW10" s="265">
        <v>0</v>
      </c>
      <c r="CX10" s="265">
        <v>0</v>
      </c>
      <c r="CY10" s="13">
        <v>0</v>
      </c>
      <c r="CZ10" s="13">
        <v>0</v>
      </c>
      <c r="DA10" s="101">
        <v>0</v>
      </c>
      <c r="DB10" s="7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01">
        <v>0</v>
      </c>
      <c r="EG10" s="7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01">
        <v>0</v>
      </c>
      <c r="FK10" s="7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01">
        <v>0</v>
      </c>
      <c r="GP10" s="7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274"/>
      <c r="HU10" s="55">
        <f t="shared" si="1"/>
        <v>0</v>
      </c>
    </row>
    <row r="11" spans="1:229" x14ac:dyDescent="0.25">
      <c r="A11" s="2">
        <v>4</v>
      </c>
      <c r="B11" s="474"/>
      <c r="C11" s="23" t="s">
        <v>4</v>
      </c>
      <c r="D11" s="2" t="s">
        <v>17</v>
      </c>
      <c r="E11" s="73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72">
        <v>0</v>
      </c>
      <c r="M11" s="106">
        <f t="shared" si="0"/>
        <v>0</v>
      </c>
      <c r="N11" s="129"/>
      <c r="O11" s="7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01">
        <v>0</v>
      </c>
      <c r="AQ11" s="162"/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62"/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265">
        <v>0</v>
      </c>
      <c r="CR11" s="265">
        <v>0</v>
      </c>
      <c r="CS11" s="265">
        <v>0</v>
      </c>
      <c r="CT11" s="265">
        <v>0</v>
      </c>
      <c r="CU11" s="265">
        <v>0</v>
      </c>
      <c r="CV11" s="265">
        <v>0</v>
      </c>
      <c r="CW11" s="265">
        <v>0</v>
      </c>
      <c r="CX11" s="265">
        <v>0</v>
      </c>
      <c r="CY11" s="13">
        <v>0</v>
      </c>
      <c r="CZ11" s="13">
        <v>0</v>
      </c>
      <c r="DA11" s="101">
        <v>0</v>
      </c>
      <c r="DB11" s="7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01">
        <v>0</v>
      </c>
      <c r="EG11" s="7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01">
        <v>0</v>
      </c>
      <c r="FK11" s="7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01">
        <v>0</v>
      </c>
      <c r="GP11" s="7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274"/>
      <c r="HU11" s="55">
        <f t="shared" si="1"/>
        <v>0</v>
      </c>
    </row>
    <row r="12" spans="1:229" x14ac:dyDescent="0.25">
      <c r="A12" s="2">
        <v>5</v>
      </c>
      <c r="B12" s="474"/>
      <c r="C12" s="23" t="s">
        <v>5</v>
      </c>
      <c r="D12" s="2" t="s">
        <v>17</v>
      </c>
      <c r="E12" s="73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72">
        <v>0</v>
      </c>
      <c r="M12" s="106">
        <f t="shared" si="0"/>
        <v>0</v>
      </c>
      <c r="N12" s="129"/>
      <c r="O12" s="7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01">
        <v>0</v>
      </c>
      <c r="AQ12" s="162"/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3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62"/>
      <c r="BX12" s="13">
        <v>2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265">
        <v>0</v>
      </c>
      <c r="CR12" s="265">
        <v>0</v>
      </c>
      <c r="CS12" s="265">
        <v>0</v>
      </c>
      <c r="CT12" s="265">
        <v>0</v>
      </c>
      <c r="CU12" s="265">
        <v>0</v>
      </c>
      <c r="CV12" s="265">
        <v>0</v>
      </c>
      <c r="CW12" s="265">
        <v>0</v>
      </c>
      <c r="CX12" s="265">
        <v>0</v>
      </c>
      <c r="CY12" s="13">
        <v>0</v>
      </c>
      <c r="CZ12" s="13">
        <v>0</v>
      </c>
      <c r="DA12" s="269">
        <v>5</v>
      </c>
      <c r="DB12" s="7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01">
        <v>0</v>
      </c>
      <c r="EG12" s="7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01">
        <v>0</v>
      </c>
      <c r="FK12" s="7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01">
        <v>0</v>
      </c>
      <c r="GP12" s="7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274"/>
      <c r="HU12" s="55">
        <f t="shared" si="1"/>
        <v>10</v>
      </c>
    </row>
    <row r="13" spans="1:229" x14ac:dyDescent="0.25">
      <c r="A13" s="2">
        <v>6</v>
      </c>
      <c r="B13" s="474"/>
      <c r="C13" s="23" t="s">
        <v>6</v>
      </c>
      <c r="D13" s="2" t="s">
        <v>17</v>
      </c>
      <c r="E13" s="73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72">
        <v>0</v>
      </c>
      <c r="M13" s="106">
        <f t="shared" si="0"/>
        <v>0</v>
      </c>
      <c r="N13" s="129"/>
      <c r="O13" s="7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01">
        <v>0</v>
      </c>
      <c r="AQ13" s="162"/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62"/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265">
        <v>0</v>
      </c>
      <c r="CR13" s="265">
        <v>0</v>
      </c>
      <c r="CS13" s="265">
        <v>0</v>
      </c>
      <c r="CT13" s="265">
        <v>0</v>
      </c>
      <c r="CU13" s="265">
        <v>0</v>
      </c>
      <c r="CV13" s="265">
        <v>0</v>
      </c>
      <c r="CW13" s="265">
        <v>0</v>
      </c>
      <c r="CX13" s="265">
        <v>0</v>
      </c>
      <c r="CY13" s="13">
        <v>0</v>
      </c>
      <c r="CZ13" s="13">
        <v>0</v>
      </c>
      <c r="DA13" s="101">
        <v>0</v>
      </c>
      <c r="DB13" s="7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01">
        <v>0</v>
      </c>
      <c r="EG13" s="7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01">
        <v>0</v>
      </c>
      <c r="FK13" s="7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01">
        <v>0</v>
      </c>
      <c r="GP13" s="7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274"/>
      <c r="HU13" s="55">
        <f t="shared" si="1"/>
        <v>0</v>
      </c>
    </row>
    <row r="14" spans="1:229" x14ac:dyDescent="0.25">
      <c r="A14" s="2">
        <v>7</v>
      </c>
      <c r="B14" s="474"/>
      <c r="C14" s="23" t="s">
        <v>7</v>
      </c>
      <c r="D14" s="2" t="s">
        <v>17</v>
      </c>
      <c r="E14" s="73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72">
        <v>0</v>
      </c>
      <c r="M14" s="106">
        <f t="shared" si="0"/>
        <v>0</v>
      </c>
      <c r="N14" s="129"/>
      <c r="O14" s="7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01">
        <v>0</v>
      </c>
      <c r="AQ14" s="162"/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62"/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265">
        <v>0</v>
      </c>
      <c r="CR14" s="265">
        <v>0</v>
      </c>
      <c r="CS14" s="265">
        <v>0</v>
      </c>
      <c r="CT14" s="265">
        <v>0</v>
      </c>
      <c r="CU14" s="265">
        <v>0</v>
      </c>
      <c r="CV14" s="265">
        <v>0</v>
      </c>
      <c r="CW14" s="265">
        <v>0</v>
      </c>
      <c r="CX14" s="265">
        <v>0</v>
      </c>
      <c r="CY14" s="13">
        <v>0</v>
      </c>
      <c r="CZ14" s="13">
        <v>0</v>
      </c>
      <c r="DA14" s="101">
        <v>0</v>
      </c>
      <c r="DB14" s="7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01">
        <v>0</v>
      </c>
      <c r="EG14" s="7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01">
        <v>0</v>
      </c>
      <c r="FK14" s="7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01">
        <v>0</v>
      </c>
      <c r="GP14" s="7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274"/>
      <c r="HU14" s="55">
        <f t="shared" si="1"/>
        <v>0</v>
      </c>
    </row>
    <row r="15" spans="1:229" x14ac:dyDescent="0.25">
      <c r="A15" s="2">
        <v>8</v>
      </c>
      <c r="B15" s="474"/>
      <c r="C15" s="23" t="s">
        <v>8</v>
      </c>
      <c r="D15" s="2" t="s">
        <v>17</v>
      </c>
      <c r="E15" s="73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72">
        <v>0</v>
      </c>
      <c r="M15" s="106">
        <f t="shared" si="0"/>
        <v>0</v>
      </c>
      <c r="N15" s="129"/>
      <c r="O15" s="7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01">
        <v>0</v>
      </c>
      <c r="AQ15" s="162"/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62"/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01">
        <v>0</v>
      </c>
      <c r="DB15" s="7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01">
        <v>0</v>
      </c>
      <c r="EG15" s="7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01">
        <v>0</v>
      </c>
      <c r="FK15" s="7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01">
        <v>0</v>
      </c>
      <c r="GP15" s="7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274"/>
      <c r="HU15" s="55">
        <f t="shared" si="1"/>
        <v>0</v>
      </c>
    </row>
    <row r="16" spans="1:229" x14ac:dyDescent="0.25">
      <c r="A16" s="2">
        <v>9</v>
      </c>
      <c r="B16" s="474"/>
      <c r="C16" s="23" t="s">
        <v>9</v>
      </c>
      <c r="D16" s="2" t="s">
        <v>17</v>
      </c>
      <c r="E16" s="73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72">
        <v>0</v>
      </c>
      <c r="M16" s="106">
        <f t="shared" si="0"/>
        <v>0</v>
      </c>
      <c r="N16" s="129"/>
      <c r="O16" s="7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01">
        <v>0</v>
      </c>
      <c r="AQ16" s="162"/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62"/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1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01">
        <v>0</v>
      </c>
      <c r="DB16" s="7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01">
        <v>0</v>
      </c>
      <c r="EG16" s="7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01">
        <v>0</v>
      </c>
      <c r="FK16" s="7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01">
        <v>0</v>
      </c>
      <c r="GP16" s="7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274"/>
      <c r="HU16" s="55">
        <f t="shared" si="1"/>
        <v>2</v>
      </c>
    </row>
    <row r="17" spans="1:229" x14ac:dyDescent="0.25">
      <c r="A17" s="2">
        <v>10</v>
      </c>
      <c r="B17" s="474"/>
      <c r="C17" s="23" t="s">
        <v>10</v>
      </c>
      <c r="D17" s="2" t="s">
        <v>17</v>
      </c>
      <c r="E17" s="73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72">
        <v>0</v>
      </c>
      <c r="M17" s="106">
        <f t="shared" si="0"/>
        <v>0</v>
      </c>
      <c r="N17" s="129"/>
      <c r="O17" s="7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01">
        <v>0</v>
      </c>
      <c r="AQ17" s="162"/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62"/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01">
        <v>0</v>
      </c>
      <c r="DB17" s="7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01">
        <v>0</v>
      </c>
      <c r="EG17" s="7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01">
        <v>0</v>
      </c>
      <c r="FK17" s="7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01">
        <v>0</v>
      </c>
      <c r="GP17" s="7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274"/>
      <c r="HU17" s="55">
        <f t="shared" si="1"/>
        <v>0</v>
      </c>
    </row>
    <row r="18" spans="1:229" x14ac:dyDescent="0.25">
      <c r="A18" s="2">
        <v>11</v>
      </c>
      <c r="B18" s="496"/>
      <c r="C18" s="23" t="s">
        <v>11</v>
      </c>
      <c r="D18" s="2" t="s">
        <v>17</v>
      </c>
      <c r="E18" s="73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72">
        <v>0</v>
      </c>
      <c r="M18" s="106">
        <f t="shared" si="0"/>
        <v>0</v>
      </c>
      <c r="N18" s="129"/>
      <c r="O18" s="7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01">
        <v>0</v>
      </c>
      <c r="AQ18" s="162"/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62"/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01">
        <v>0</v>
      </c>
      <c r="DB18" s="7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01">
        <v>0</v>
      </c>
      <c r="EG18" s="7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01">
        <v>0</v>
      </c>
      <c r="FK18" s="7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01">
        <v>0</v>
      </c>
      <c r="GP18" s="7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274"/>
      <c r="HU18" s="55">
        <f t="shared" si="1"/>
        <v>0</v>
      </c>
    </row>
    <row r="19" spans="1:229" s="7" customFormat="1" ht="24.75" customHeight="1" thickBot="1" x14ac:dyDescent="0.3">
      <c r="A19" s="90"/>
      <c r="B19" s="90"/>
      <c r="C19" s="91" t="s">
        <v>12</v>
      </c>
      <c r="D19" s="92" t="s">
        <v>17</v>
      </c>
      <c r="E19" s="93">
        <f t="shared" ref="E19:L19" si="2">SUM(E8:E18)</f>
        <v>0</v>
      </c>
      <c r="F19" s="94">
        <f t="shared" si="2"/>
        <v>0</v>
      </c>
      <c r="G19" s="94">
        <f t="shared" si="2"/>
        <v>0</v>
      </c>
      <c r="H19" s="94">
        <f t="shared" si="2"/>
        <v>0</v>
      </c>
      <c r="I19" s="94">
        <f t="shared" si="2"/>
        <v>0</v>
      </c>
      <c r="J19" s="94">
        <f t="shared" si="2"/>
        <v>2</v>
      </c>
      <c r="K19" s="94">
        <f t="shared" si="2"/>
        <v>0</v>
      </c>
      <c r="L19" s="95">
        <f t="shared" si="2"/>
        <v>0</v>
      </c>
      <c r="M19" s="107">
        <f>SUM(M8:M18)</f>
        <v>2</v>
      </c>
      <c r="N19" s="130"/>
      <c r="O19" s="93">
        <f t="shared" ref="O19:Z19" si="3">SUM(O8:O18)</f>
        <v>1</v>
      </c>
      <c r="P19" s="94">
        <f t="shared" si="3"/>
        <v>0</v>
      </c>
      <c r="Q19" s="94">
        <f t="shared" si="3"/>
        <v>0</v>
      </c>
      <c r="R19" s="94">
        <f t="shared" si="3"/>
        <v>0</v>
      </c>
      <c r="S19" s="94">
        <f t="shared" si="3"/>
        <v>0</v>
      </c>
      <c r="T19" s="94">
        <f t="shared" si="3"/>
        <v>0</v>
      </c>
      <c r="U19" s="94">
        <f t="shared" si="3"/>
        <v>0</v>
      </c>
      <c r="V19" s="94">
        <f t="shared" si="3"/>
        <v>0</v>
      </c>
      <c r="W19" s="94">
        <f t="shared" si="3"/>
        <v>1</v>
      </c>
      <c r="X19" s="94">
        <f t="shared" si="3"/>
        <v>0</v>
      </c>
      <c r="Y19" s="94">
        <f t="shared" si="3"/>
        <v>0</v>
      </c>
      <c r="Z19" s="94">
        <f t="shared" si="3"/>
        <v>4</v>
      </c>
      <c r="AA19" s="94">
        <f t="shared" ref="AA19:AF19" si="4">SUM(AA8:AA18)</f>
        <v>0</v>
      </c>
      <c r="AB19" s="94">
        <f t="shared" si="4"/>
        <v>1</v>
      </c>
      <c r="AC19" s="94">
        <f t="shared" si="4"/>
        <v>0</v>
      </c>
      <c r="AD19" s="94">
        <f t="shared" si="4"/>
        <v>0</v>
      </c>
      <c r="AE19" s="94">
        <f t="shared" si="4"/>
        <v>1</v>
      </c>
      <c r="AF19" s="94">
        <f t="shared" si="4"/>
        <v>0</v>
      </c>
      <c r="AG19" s="94">
        <f t="shared" ref="AG19:AP19" si="5">SUM(AG8:AG18)</f>
        <v>0</v>
      </c>
      <c r="AH19" s="94">
        <f t="shared" si="5"/>
        <v>0</v>
      </c>
      <c r="AI19" s="94">
        <f t="shared" si="5"/>
        <v>0</v>
      </c>
      <c r="AJ19" s="94">
        <f t="shared" si="5"/>
        <v>0</v>
      </c>
      <c r="AK19" s="94">
        <f t="shared" si="5"/>
        <v>0</v>
      </c>
      <c r="AL19" s="94">
        <f t="shared" si="5"/>
        <v>0</v>
      </c>
      <c r="AM19" s="94">
        <f t="shared" si="5"/>
        <v>0</v>
      </c>
      <c r="AN19" s="94">
        <f t="shared" si="5"/>
        <v>0</v>
      </c>
      <c r="AO19" s="94">
        <f t="shared" si="5"/>
        <v>0</v>
      </c>
      <c r="AP19" s="156">
        <f t="shared" si="5"/>
        <v>0</v>
      </c>
      <c r="AQ19" s="163"/>
      <c r="AR19" s="94">
        <f t="shared" ref="AR19:AY19" si="6">SUM(AR8:AR18)</f>
        <v>0</v>
      </c>
      <c r="AS19" s="94">
        <f t="shared" si="6"/>
        <v>0</v>
      </c>
      <c r="AT19" s="94">
        <f t="shared" si="6"/>
        <v>0</v>
      </c>
      <c r="AU19" s="94">
        <f t="shared" si="6"/>
        <v>0</v>
      </c>
      <c r="AV19" s="94">
        <f t="shared" si="6"/>
        <v>1</v>
      </c>
      <c r="AW19" s="94">
        <f t="shared" si="6"/>
        <v>0</v>
      </c>
      <c r="AX19" s="94">
        <f t="shared" si="6"/>
        <v>0</v>
      </c>
      <c r="AY19" s="94">
        <f t="shared" si="6"/>
        <v>0</v>
      </c>
      <c r="AZ19" s="94">
        <f t="shared" ref="AZ19:BF19" si="7">SUM(AZ8:AZ18)</f>
        <v>0</v>
      </c>
      <c r="BA19" s="94">
        <f t="shared" si="7"/>
        <v>0</v>
      </c>
      <c r="BB19" s="94">
        <f t="shared" si="7"/>
        <v>0</v>
      </c>
      <c r="BC19" s="94">
        <f t="shared" si="7"/>
        <v>0</v>
      </c>
      <c r="BD19" s="94">
        <f t="shared" si="7"/>
        <v>0</v>
      </c>
      <c r="BE19" s="94">
        <f t="shared" si="7"/>
        <v>0</v>
      </c>
      <c r="BF19" s="94">
        <f t="shared" si="7"/>
        <v>0</v>
      </c>
      <c r="BG19" s="94">
        <f t="shared" ref="BG19:BV19" si="8">SUM(BG8:BG18)</f>
        <v>0</v>
      </c>
      <c r="BH19" s="94">
        <f t="shared" si="8"/>
        <v>0</v>
      </c>
      <c r="BI19" s="94">
        <f t="shared" si="8"/>
        <v>0</v>
      </c>
      <c r="BJ19" s="94">
        <f t="shared" si="8"/>
        <v>0</v>
      </c>
      <c r="BK19" s="94">
        <f t="shared" si="8"/>
        <v>0</v>
      </c>
      <c r="BL19" s="94">
        <f t="shared" si="8"/>
        <v>0</v>
      </c>
      <c r="BM19" s="94">
        <f t="shared" si="8"/>
        <v>0</v>
      </c>
      <c r="BN19" s="94">
        <f t="shared" si="8"/>
        <v>0</v>
      </c>
      <c r="BO19" s="94">
        <f t="shared" si="8"/>
        <v>3</v>
      </c>
      <c r="BP19" s="94">
        <f t="shared" si="8"/>
        <v>0</v>
      </c>
      <c r="BQ19" s="94">
        <f t="shared" si="8"/>
        <v>0</v>
      </c>
      <c r="BR19" s="94">
        <f t="shared" si="8"/>
        <v>0</v>
      </c>
      <c r="BS19" s="94">
        <f t="shared" si="8"/>
        <v>3</v>
      </c>
      <c r="BT19" s="94">
        <f t="shared" si="8"/>
        <v>0</v>
      </c>
      <c r="BU19" s="94">
        <f t="shared" si="8"/>
        <v>0</v>
      </c>
      <c r="BV19" s="94">
        <f t="shared" si="8"/>
        <v>0</v>
      </c>
      <c r="BW19" s="163"/>
      <c r="BX19" s="94">
        <f t="shared" ref="BX19:CZ19" si="9">SUM(BX8:BX18)</f>
        <v>2</v>
      </c>
      <c r="BY19" s="94">
        <f t="shared" si="9"/>
        <v>0</v>
      </c>
      <c r="BZ19" s="94">
        <f t="shared" si="9"/>
        <v>0</v>
      </c>
      <c r="CA19" s="94">
        <f t="shared" si="9"/>
        <v>0</v>
      </c>
      <c r="CB19" s="94">
        <f t="shared" si="9"/>
        <v>0</v>
      </c>
      <c r="CC19" s="94">
        <f t="shared" si="9"/>
        <v>0</v>
      </c>
      <c r="CD19" s="94">
        <f t="shared" si="9"/>
        <v>1</v>
      </c>
      <c r="CE19" s="94">
        <f t="shared" si="9"/>
        <v>0</v>
      </c>
      <c r="CF19" s="94">
        <f t="shared" si="9"/>
        <v>0</v>
      </c>
      <c r="CG19" s="94">
        <f t="shared" si="9"/>
        <v>0</v>
      </c>
      <c r="CH19" s="94">
        <v>0</v>
      </c>
      <c r="CI19" s="94">
        <f t="shared" si="9"/>
        <v>0</v>
      </c>
      <c r="CJ19" s="94">
        <f t="shared" si="9"/>
        <v>0</v>
      </c>
      <c r="CK19" s="94">
        <f t="shared" si="9"/>
        <v>0</v>
      </c>
      <c r="CL19" s="94">
        <f t="shared" si="9"/>
        <v>0</v>
      </c>
      <c r="CM19" s="94">
        <f t="shared" si="9"/>
        <v>0</v>
      </c>
      <c r="CN19" s="94">
        <f t="shared" si="9"/>
        <v>0</v>
      </c>
      <c r="CO19" s="94">
        <f t="shared" si="9"/>
        <v>0</v>
      </c>
      <c r="CP19" s="94">
        <f t="shared" si="9"/>
        <v>0</v>
      </c>
      <c r="CQ19" s="94">
        <f t="shared" si="9"/>
        <v>0</v>
      </c>
      <c r="CR19" s="94">
        <f t="shared" si="9"/>
        <v>0</v>
      </c>
      <c r="CS19" s="94">
        <f t="shared" si="9"/>
        <v>0</v>
      </c>
      <c r="CT19" s="94">
        <f t="shared" si="9"/>
        <v>0</v>
      </c>
      <c r="CU19" s="94">
        <f t="shared" si="9"/>
        <v>0</v>
      </c>
      <c r="CV19" s="94">
        <f t="shared" si="9"/>
        <v>1</v>
      </c>
      <c r="CW19" s="94">
        <f t="shared" si="9"/>
        <v>0</v>
      </c>
      <c r="CX19" s="94">
        <f t="shared" si="9"/>
        <v>0</v>
      </c>
      <c r="CY19" s="94">
        <f t="shared" si="9"/>
        <v>0</v>
      </c>
      <c r="CZ19" s="94">
        <f t="shared" si="9"/>
        <v>0</v>
      </c>
      <c r="DA19" s="156">
        <f t="shared" ref="DA19:DE19" si="10">SUM(DA8:DA18)</f>
        <v>5</v>
      </c>
      <c r="DB19" s="93">
        <f t="shared" si="10"/>
        <v>0</v>
      </c>
      <c r="DC19" s="94">
        <f t="shared" si="10"/>
        <v>0</v>
      </c>
      <c r="DD19" s="94">
        <f t="shared" si="10"/>
        <v>0</v>
      </c>
      <c r="DE19" s="94">
        <f t="shared" si="10"/>
        <v>0</v>
      </c>
      <c r="DF19" s="94">
        <f t="shared" ref="DF19:DI19" si="11">SUM(DF8:DF18)</f>
        <v>0</v>
      </c>
      <c r="DG19" s="94">
        <f t="shared" si="11"/>
        <v>0</v>
      </c>
      <c r="DH19" s="94">
        <f t="shared" si="11"/>
        <v>0</v>
      </c>
      <c r="DI19" s="94">
        <f t="shared" si="11"/>
        <v>0</v>
      </c>
      <c r="DJ19" s="94">
        <f t="shared" ref="DJ19:DQ19" si="12">SUM(DJ8:DJ18)</f>
        <v>0</v>
      </c>
      <c r="DK19" s="94">
        <f t="shared" si="12"/>
        <v>0</v>
      </c>
      <c r="DL19" s="94">
        <f t="shared" si="12"/>
        <v>2</v>
      </c>
      <c r="DM19" s="94">
        <f t="shared" si="12"/>
        <v>0</v>
      </c>
      <c r="DN19" s="94">
        <f t="shared" si="12"/>
        <v>0</v>
      </c>
      <c r="DO19" s="94">
        <f t="shared" si="12"/>
        <v>0</v>
      </c>
      <c r="DP19" s="94">
        <f t="shared" si="12"/>
        <v>0</v>
      </c>
      <c r="DQ19" s="94">
        <f t="shared" si="12"/>
        <v>0</v>
      </c>
      <c r="DR19" s="94">
        <f t="shared" ref="DR19:DS19" si="13">SUM(DR8:DR18)</f>
        <v>0</v>
      </c>
      <c r="DS19" s="94">
        <f t="shared" si="13"/>
        <v>0</v>
      </c>
      <c r="DT19" s="94">
        <f t="shared" ref="DT19:DU19" si="14">SUM(DT8:DT18)</f>
        <v>0</v>
      </c>
      <c r="DU19" s="94">
        <f t="shared" si="14"/>
        <v>0</v>
      </c>
      <c r="DV19" s="94">
        <f t="shared" ref="DV19" si="15">SUM(DV8:DV18)</f>
        <v>0</v>
      </c>
      <c r="DW19" s="94">
        <f t="shared" ref="DW19" si="16">SUM(DW8:DW18)</f>
        <v>0</v>
      </c>
      <c r="DX19" s="94">
        <f>SUM(DX8:DX18)</f>
        <v>0</v>
      </c>
      <c r="DY19" s="94">
        <f>SUM(DY8:DY18)</f>
        <v>0</v>
      </c>
      <c r="DZ19" s="94">
        <f>SUM(DZ8:DZ18)</f>
        <v>0</v>
      </c>
      <c r="EA19" s="94">
        <f t="shared" ref="EA19:EF19" si="17">SUM(EA8:EA18)</f>
        <v>0</v>
      </c>
      <c r="EB19" s="94">
        <f t="shared" si="17"/>
        <v>0</v>
      </c>
      <c r="EC19" s="94">
        <f t="shared" si="17"/>
        <v>0</v>
      </c>
      <c r="ED19" s="94">
        <f t="shared" si="17"/>
        <v>0</v>
      </c>
      <c r="EE19" s="94">
        <f t="shared" si="17"/>
        <v>0</v>
      </c>
      <c r="EF19" s="156">
        <f t="shared" si="17"/>
        <v>0</v>
      </c>
      <c r="EG19" s="74">
        <f t="shared" ref="EG19:EH19" si="18">SUM(EG8:EG18)</f>
        <v>0</v>
      </c>
      <c r="EH19" s="18">
        <f t="shared" si="18"/>
        <v>0</v>
      </c>
      <c r="EI19" s="18">
        <f t="shared" ref="EI19:EJ19" si="19">SUM(EI8:EI18)</f>
        <v>0</v>
      </c>
      <c r="EJ19" s="18">
        <f t="shared" si="19"/>
        <v>0</v>
      </c>
      <c r="EK19" s="18">
        <f t="shared" ref="EK19:EL19" si="20">SUM(EK8:EK18)</f>
        <v>0</v>
      </c>
      <c r="EL19" s="18">
        <f t="shared" si="20"/>
        <v>0</v>
      </c>
      <c r="EM19" s="18">
        <f t="shared" ref="EM19:EN19" si="21">SUM(EM8:EM18)</f>
        <v>0</v>
      </c>
      <c r="EN19" s="18">
        <f t="shared" si="21"/>
        <v>0</v>
      </c>
      <c r="EO19" s="18">
        <f t="shared" ref="EO19:EQ19" si="22">SUM(EO8:EO18)</f>
        <v>0</v>
      </c>
      <c r="EP19" s="18">
        <f t="shared" si="22"/>
        <v>0</v>
      </c>
      <c r="EQ19" s="18">
        <f t="shared" si="22"/>
        <v>0</v>
      </c>
      <c r="ER19" s="18">
        <f t="shared" ref="ER19:EU19" si="23">SUM(ER8:ER18)</f>
        <v>0</v>
      </c>
      <c r="ES19" s="18">
        <f t="shared" si="23"/>
        <v>0</v>
      </c>
      <c r="ET19" s="18">
        <f t="shared" si="23"/>
        <v>0</v>
      </c>
      <c r="EU19" s="18">
        <f t="shared" si="23"/>
        <v>0</v>
      </c>
      <c r="EV19" s="18">
        <f t="shared" ref="EV19:EW19" si="24">SUM(EV8:EV18)</f>
        <v>0</v>
      </c>
      <c r="EW19" s="18">
        <f t="shared" si="24"/>
        <v>0</v>
      </c>
      <c r="EX19" s="18">
        <f t="shared" ref="EX19:EY19" si="25">SUM(EX8:EX18)</f>
        <v>0</v>
      </c>
      <c r="EY19" s="18">
        <f t="shared" si="25"/>
        <v>0</v>
      </c>
      <c r="EZ19" s="18">
        <f t="shared" ref="EZ19:FA19" si="26">SUM(EZ8:EZ18)</f>
        <v>0</v>
      </c>
      <c r="FA19" s="18">
        <f t="shared" si="26"/>
        <v>0</v>
      </c>
      <c r="FB19" s="18">
        <f t="shared" ref="FB19:FC19" si="27">SUM(FB8:FB18)</f>
        <v>0</v>
      </c>
      <c r="FC19" s="18">
        <f t="shared" si="27"/>
        <v>0</v>
      </c>
      <c r="FD19" s="18">
        <f t="shared" ref="FD19:FG19" si="28">SUM(FD8:FD18)</f>
        <v>0</v>
      </c>
      <c r="FE19" s="18">
        <f t="shared" si="28"/>
        <v>0</v>
      </c>
      <c r="FF19" s="18">
        <f t="shared" si="28"/>
        <v>0</v>
      </c>
      <c r="FG19" s="18">
        <f t="shared" si="28"/>
        <v>0</v>
      </c>
      <c r="FH19" s="18">
        <f t="shared" ref="FH19:FJ19" si="29">SUM(FH8:FH18)</f>
        <v>0</v>
      </c>
      <c r="FI19" s="18">
        <f t="shared" si="29"/>
        <v>0</v>
      </c>
      <c r="FJ19" s="349">
        <f t="shared" si="29"/>
        <v>0</v>
      </c>
      <c r="FK19" s="74">
        <f t="shared" ref="FK19:FL19" si="30">SUM(FK8:FK18)</f>
        <v>0</v>
      </c>
      <c r="FL19" s="18">
        <f t="shared" si="30"/>
        <v>0</v>
      </c>
      <c r="FM19" s="18">
        <f t="shared" ref="FM19:FN19" si="31">SUM(FM8:FM18)</f>
        <v>0</v>
      </c>
      <c r="FN19" s="18">
        <f t="shared" si="31"/>
        <v>0</v>
      </c>
      <c r="FO19" s="18">
        <f t="shared" ref="FO19:FP19" si="32">SUM(FO8:FO18)</f>
        <v>0</v>
      </c>
      <c r="FP19" s="18">
        <f t="shared" si="32"/>
        <v>0</v>
      </c>
      <c r="FQ19" s="18">
        <f t="shared" ref="FQ19:FR19" si="33">SUM(FQ8:FQ18)</f>
        <v>0</v>
      </c>
      <c r="FR19" s="18">
        <f t="shared" si="33"/>
        <v>0</v>
      </c>
      <c r="FS19" s="18">
        <f t="shared" ref="FS19:FU19" si="34">SUM(FS8:FS18)</f>
        <v>0</v>
      </c>
      <c r="FT19" s="18">
        <f t="shared" si="34"/>
        <v>0</v>
      </c>
      <c r="FU19" s="18">
        <f t="shared" si="34"/>
        <v>0</v>
      </c>
      <c r="FV19" s="18">
        <f t="shared" ref="FV19:FW19" si="35">SUM(FV8:FV18)</f>
        <v>0</v>
      </c>
      <c r="FW19" s="18">
        <f t="shared" si="35"/>
        <v>0</v>
      </c>
      <c r="FX19" s="18">
        <f t="shared" ref="FX19:FY19" si="36">SUM(FX8:FX18)</f>
        <v>0</v>
      </c>
      <c r="FY19" s="18">
        <f t="shared" si="36"/>
        <v>0</v>
      </c>
      <c r="FZ19" s="18">
        <f t="shared" ref="FZ19:GA19" si="37">SUM(FZ8:FZ18)</f>
        <v>0</v>
      </c>
      <c r="GA19" s="18">
        <f t="shared" si="37"/>
        <v>0</v>
      </c>
      <c r="GB19" s="18">
        <f t="shared" ref="GB19:GE19" si="38">SUM(GB8:GB18)</f>
        <v>0</v>
      </c>
      <c r="GC19" s="18">
        <f t="shared" si="38"/>
        <v>0</v>
      </c>
      <c r="GD19" s="18">
        <f t="shared" si="38"/>
        <v>0</v>
      </c>
      <c r="GE19" s="18">
        <f t="shared" si="38"/>
        <v>0</v>
      </c>
      <c r="GF19" s="18">
        <f t="shared" ref="GF19:GH19" si="39">SUM(GF8:GF18)</f>
        <v>0</v>
      </c>
      <c r="GG19" s="18">
        <f t="shared" si="39"/>
        <v>0</v>
      </c>
      <c r="GH19" s="18">
        <f t="shared" si="39"/>
        <v>0</v>
      </c>
      <c r="GI19" s="18">
        <f t="shared" ref="GI19:GK19" si="40">SUM(GI8:GI18)</f>
        <v>0</v>
      </c>
      <c r="GJ19" s="18">
        <f t="shared" si="40"/>
        <v>0</v>
      </c>
      <c r="GK19" s="18">
        <f t="shared" si="40"/>
        <v>0</v>
      </c>
      <c r="GL19" s="18">
        <f t="shared" ref="GL19:GM19" si="41">SUM(GL8:GL18)</f>
        <v>0</v>
      </c>
      <c r="GM19" s="18">
        <f t="shared" si="41"/>
        <v>0</v>
      </c>
      <c r="GN19" s="18">
        <f t="shared" ref="GN19:GP19" si="42">SUM(GN8:GN18)</f>
        <v>0</v>
      </c>
      <c r="GO19" s="349">
        <f t="shared" si="42"/>
        <v>0</v>
      </c>
      <c r="GP19" s="74">
        <f t="shared" si="42"/>
        <v>0</v>
      </c>
      <c r="GQ19" s="18">
        <f t="shared" ref="GQ19:GR19" si="43">SUM(GQ8:GQ18)</f>
        <v>0</v>
      </c>
      <c r="GR19" s="18">
        <f t="shared" si="43"/>
        <v>0</v>
      </c>
      <c r="GS19" s="18">
        <f t="shared" ref="GS19:GT19" si="44">SUM(GS8:GS18)</f>
        <v>0</v>
      </c>
      <c r="GT19" s="18">
        <f t="shared" si="44"/>
        <v>0</v>
      </c>
      <c r="GU19" s="18">
        <f t="shared" ref="GU19:GW19" si="45">SUM(GU8:GU18)</f>
        <v>0</v>
      </c>
      <c r="GV19" s="18">
        <f t="shared" si="45"/>
        <v>0</v>
      </c>
      <c r="GW19" s="18">
        <f t="shared" si="45"/>
        <v>0</v>
      </c>
      <c r="GX19" s="18">
        <f t="shared" ref="GX19:GY19" si="46">SUM(GX8:GX18)</f>
        <v>0</v>
      </c>
      <c r="GY19" s="18">
        <f t="shared" si="46"/>
        <v>0</v>
      </c>
      <c r="GZ19" s="18">
        <f t="shared" ref="GZ19:HA19" si="47">SUM(GZ8:GZ18)</f>
        <v>0</v>
      </c>
      <c r="HA19" s="18">
        <f t="shared" si="47"/>
        <v>0</v>
      </c>
      <c r="HB19" s="18">
        <f t="shared" ref="HB19:HD19" si="48">SUM(HB8:HB18)</f>
        <v>0</v>
      </c>
      <c r="HC19" s="18">
        <f t="shared" si="48"/>
        <v>0</v>
      </c>
      <c r="HD19" s="18">
        <f t="shared" si="48"/>
        <v>0</v>
      </c>
      <c r="HE19" s="18">
        <f t="shared" ref="HE19:HF19" si="49">SUM(HE8:HE18)</f>
        <v>0</v>
      </c>
      <c r="HF19" s="18">
        <f t="shared" si="49"/>
        <v>0</v>
      </c>
      <c r="HG19" s="18">
        <f t="shared" ref="HG19:HH19" si="50">SUM(HG8:HG18)</f>
        <v>0</v>
      </c>
      <c r="HH19" s="18">
        <f t="shared" si="50"/>
        <v>0</v>
      </c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75"/>
      <c r="HU19" s="422">
        <f>SUM(HU8:HU18)</f>
        <v>26</v>
      </c>
    </row>
    <row r="20" spans="1:229" ht="15.75" thickBot="1" x14ac:dyDescent="0.3">
      <c r="A20" s="97"/>
      <c r="B20" s="98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108"/>
      <c r="N20" s="131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164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164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343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15"/>
      <c r="EH20" s="316"/>
      <c r="EI20" s="316"/>
      <c r="EJ20" s="316"/>
      <c r="EK20" s="316"/>
      <c r="EL20" s="316"/>
      <c r="EM20" s="316"/>
      <c r="EN20" s="316"/>
      <c r="EO20" s="316"/>
      <c r="EP20" s="316"/>
      <c r="EQ20" s="316"/>
      <c r="ER20" s="316"/>
      <c r="ES20" s="316"/>
      <c r="ET20" s="316"/>
      <c r="EU20" s="316"/>
      <c r="EV20" s="316"/>
      <c r="EW20" s="316"/>
      <c r="EX20" s="316"/>
      <c r="EY20" s="316"/>
      <c r="EZ20" s="316"/>
      <c r="FA20" s="316"/>
      <c r="FB20" s="316"/>
      <c r="FC20" s="316"/>
      <c r="FD20" s="316"/>
      <c r="FE20" s="316"/>
      <c r="FF20" s="316"/>
      <c r="FG20" s="316"/>
      <c r="FH20" s="316"/>
      <c r="FI20" s="316"/>
      <c r="FJ20" s="316"/>
      <c r="FK20" s="315"/>
      <c r="FL20" s="316"/>
      <c r="FM20" s="316"/>
      <c r="FN20" s="316"/>
      <c r="FO20" s="316"/>
      <c r="FP20" s="316"/>
      <c r="FQ20" s="316"/>
      <c r="FR20" s="316"/>
      <c r="FS20" s="316"/>
      <c r="FT20" s="316"/>
      <c r="FU20" s="316"/>
      <c r="FV20" s="316"/>
      <c r="FW20" s="316"/>
      <c r="FX20" s="316"/>
      <c r="FY20" s="316"/>
      <c r="FZ20" s="316"/>
      <c r="GA20" s="316"/>
      <c r="GB20" s="316"/>
      <c r="GC20" s="316"/>
      <c r="GD20" s="316"/>
      <c r="GE20" s="316"/>
      <c r="GF20" s="316"/>
      <c r="GG20" s="316"/>
      <c r="GH20" s="316"/>
      <c r="GI20" s="316"/>
      <c r="GJ20" s="316"/>
      <c r="GK20" s="316"/>
      <c r="GL20" s="316"/>
      <c r="GM20" s="316"/>
      <c r="GN20" s="316"/>
      <c r="GO20" s="316"/>
      <c r="GP20" s="315"/>
      <c r="GQ20" s="316"/>
      <c r="GR20" s="316"/>
      <c r="GS20" s="316"/>
      <c r="GT20" s="316"/>
      <c r="GU20" s="316"/>
      <c r="GV20" s="316"/>
      <c r="GW20" s="316"/>
      <c r="GX20" s="316"/>
      <c r="GY20" s="316"/>
      <c r="GZ20" s="316"/>
      <c r="HA20" s="316"/>
      <c r="HB20" s="316"/>
      <c r="HC20" s="316"/>
      <c r="HD20" s="316"/>
      <c r="HE20" s="316"/>
      <c r="HF20" s="316"/>
      <c r="HG20" s="316"/>
      <c r="HH20" s="316"/>
      <c r="HI20" s="316"/>
      <c r="HJ20" s="316"/>
      <c r="HK20" s="316"/>
      <c r="HL20" s="316"/>
      <c r="HM20" s="316"/>
      <c r="HN20" s="316"/>
      <c r="HO20" s="316"/>
      <c r="HP20" s="316"/>
      <c r="HQ20" s="316"/>
      <c r="HR20" s="316"/>
      <c r="HS20" s="316"/>
      <c r="HT20" s="318"/>
      <c r="HU20" s="412"/>
    </row>
    <row r="21" spans="1:229" x14ac:dyDescent="0.25">
      <c r="A21" s="9">
        <v>1</v>
      </c>
      <c r="B21" s="474" t="s">
        <v>16</v>
      </c>
      <c r="C21" s="379" t="s">
        <v>1</v>
      </c>
      <c r="D21" s="9" t="s">
        <v>17</v>
      </c>
      <c r="E21" s="88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96">
        <v>0</v>
      </c>
      <c r="M21" s="106">
        <f t="shared" ref="M21:M31" si="51">SUM(E21:L21)</f>
        <v>0</v>
      </c>
      <c r="N21" s="129"/>
      <c r="O21" s="71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1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157">
        <v>0</v>
      </c>
      <c r="AQ21" s="165"/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37">
        <v>0</v>
      </c>
      <c r="BF21" s="37">
        <v>0</v>
      </c>
      <c r="BG21" s="37">
        <v>0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0</v>
      </c>
      <c r="BN21" s="37">
        <v>0</v>
      </c>
      <c r="BO21" s="37">
        <v>0</v>
      </c>
      <c r="BP21" s="37">
        <v>0</v>
      </c>
      <c r="BQ21" s="37">
        <v>0</v>
      </c>
      <c r="BR21" s="13">
        <v>0</v>
      </c>
      <c r="BS21" s="37">
        <v>0</v>
      </c>
      <c r="BT21" s="13">
        <v>0</v>
      </c>
      <c r="BU21" s="13">
        <v>0</v>
      </c>
      <c r="BV21" s="13">
        <v>0</v>
      </c>
      <c r="BW21" s="165"/>
      <c r="BX21" s="13">
        <v>0</v>
      </c>
      <c r="BY21" s="37">
        <v>0</v>
      </c>
      <c r="BZ21" s="37">
        <v>0</v>
      </c>
      <c r="CA21" s="37">
        <v>0</v>
      </c>
      <c r="CB21" s="37">
        <v>0</v>
      </c>
      <c r="CC21" s="37">
        <v>0</v>
      </c>
      <c r="CD21" s="37">
        <v>1</v>
      </c>
      <c r="CE21" s="37">
        <v>0</v>
      </c>
      <c r="CF21" s="37">
        <v>0</v>
      </c>
      <c r="CG21" s="37">
        <v>0</v>
      </c>
      <c r="CH21" s="37">
        <v>0</v>
      </c>
      <c r="CI21" s="37">
        <v>0</v>
      </c>
      <c r="CJ21" s="37">
        <v>0</v>
      </c>
      <c r="CK21" s="37">
        <v>0</v>
      </c>
      <c r="CL21" s="37">
        <v>1</v>
      </c>
      <c r="CM21" s="37">
        <v>0</v>
      </c>
      <c r="CN21" s="267">
        <v>0</v>
      </c>
      <c r="CO21" s="267">
        <v>5</v>
      </c>
      <c r="CP21" s="267">
        <v>0</v>
      </c>
      <c r="CQ21" s="267">
        <v>0</v>
      </c>
      <c r="CR21" s="267">
        <v>0</v>
      </c>
      <c r="CS21" s="267">
        <v>0</v>
      </c>
      <c r="CT21" s="267">
        <v>0</v>
      </c>
      <c r="CU21" s="267">
        <v>0</v>
      </c>
      <c r="CV21" s="267">
        <v>0</v>
      </c>
      <c r="CW21" s="267">
        <v>4</v>
      </c>
      <c r="CX21" s="265">
        <v>3</v>
      </c>
      <c r="CY21" s="37">
        <v>0</v>
      </c>
      <c r="CZ21" s="13">
        <v>0</v>
      </c>
      <c r="DA21" s="269">
        <v>3</v>
      </c>
      <c r="DB21" s="342">
        <v>0</v>
      </c>
      <c r="DC21" s="266">
        <v>0</v>
      </c>
      <c r="DD21" s="266">
        <v>3</v>
      </c>
      <c r="DE21" s="266">
        <v>0</v>
      </c>
      <c r="DF21" s="266">
        <v>0</v>
      </c>
      <c r="DG21" s="266">
        <v>7</v>
      </c>
      <c r="DH21" s="266">
        <v>1</v>
      </c>
      <c r="DI21" s="266">
        <v>0</v>
      </c>
      <c r="DJ21" s="266">
        <v>0</v>
      </c>
      <c r="DK21" s="266">
        <v>0</v>
      </c>
      <c r="DL21" s="266">
        <v>4</v>
      </c>
      <c r="DM21" s="266">
        <v>0</v>
      </c>
      <c r="DN21" s="266">
        <v>1</v>
      </c>
      <c r="DO21" s="266">
        <v>0</v>
      </c>
      <c r="DP21" s="266">
        <v>0</v>
      </c>
      <c r="DQ21" s="266">
        <v>0</v>
      </c>
      <c r="DR21" s="266">
        <v>1</v>
      </c>
      <c r="DS21" s="266">
        <v>0</v>
      </c>
      <c r="DT21" s="266">
        <v>0</v>
      </c>
      <c r="DU21" s="266">
        <v>0</v>
      </c>
      <c r="DV21" s="266">
        <v>0</v>
      </c>
      <c r="DW21" s="266">
        <v>0</v>
      </c>
      <c r="DX21" s="266">
        <v>0</v>
      </c>
      <c r="DY21" s="266">
        <v>0</v>
      </c>
      <c r="DZ21" s="266">
        <v>0</v>
      </c>
      <c r="EA21" s="266">
        <v>0</v>
      </c>
      <c r="EB21" s="266">
        <v>0</v>
      </c>
      <c r="EC21" s="266">
        <v>0</v>
      </c>
      <c r="ED21" s="266">
        <v>0</v>
      </c>
      <c r="EE21" s="266">
        <v>0</v>
      </c>
      <c r="EF21" s="270">
        <v>0</v>
      </c>
      <c r="EG21" s="279">
        <v>0</v>
      </c>
      <c r="EH21" s="267">
        <v>0</v>
      </c>
      <c r="EI21" s="267">
        <v>0</v>
      </c>
      <c r="EJ21" s="267">
        <v>0</v>
      </c>
      <c r="EK21" s="267">
        <v>0</v>
      </c>
      <c r="EL21" s="267">
        <v>0</v>
      </c>
      <c r="EM21" s="267">
        <v>0</v>
      </c>
      <c r="EN21" s="267">
        <v>2</v>
      </c>
      <c r="EO21" s="267">
        <v>0</v>
      </c>
      <c r="EP21" s="267">
        <v>0</v>
      </c>
      <c r="EQ21" s="267">
        <v>0</v>
      </c>
      <c r="ER21" s="267">
        <v>0</v>
      </c>
      <c r="ES21" s="267">
        <v>0</v>
      </c>
      <c r="ET21" s="267">
        <v>0</v>
      </c>
      <c r="EU21" s="267">
        <v>0</v>
      </c>
      <c r="EV21" s="267">
        <v>0</v>
      </c>
      <c r="EW21" s="267">
        <v>0</v>
      </c>
      <c r="EX21" s="267">
        <v>0</v>
      </c>
      <c r="EY21" s="267">
        <v>0</v>
      </c>
      <c r="EZ21" s="267">
        <v>0</v>
      </c>
      <c r="FA21" s="267">
        <v>0</v>
      </c>
      <c r="FB21" s="267">
        <v>0</v>
      </c>
      <c r="FC21" s="267">
        <v>0</v>
      </c>
      <c r="FD21" s="267">
        <v>0</v>
      </c>
      <c r="FE21" s="267">
        <v>0</v>
      </c>
      <c r="FF21" s="267">
        <v>0</v>
      </c>
      <c r="FG21" s="267">
        <v>0</v>
      </c>
      <c r="FH21" s="267">
        <v>0</v>
      </c>
      <c r="FI21" s="267">
        <v>0</v>
      </c>
      <c r="FJ21" s="268">
        <v>0</v>
      </c>
      <c r="FK21" s="279">
        <v>0</v>
      </c>
      <c r="FL21" s="267">
        <v>0</v>
      </c>
      <c r="FM21" s="267">
        <v>0</v>
      </c>
      <c r="FN21" s="267">
        <v>0</v>
      </c>
      <c r="FO21" s="267">
        <v>0</v>
      </c>
      <c r="FP21" s="267">
        <v>0</v>
      </c>
      <c r="FQ21" s="267">
        <v>0</v>
      </c>
      <c r="FR21" s="267">
        <v>0</v>
      </c>
      <c r="FS21" s="267">
        <v>0</v>
      </c>
      <c r="FT21" s="267">
        <v>0</v>
      </c>
      <c r="FU21" s="267">
        <v>0</v>
      </c>
      <c r="FV21" s="267">
        <v>0</v>
      </c>
      <c r="FW21" s="267">
        <v>0</v>
      </c>
      <c r="FX21" s="267">
        <v>0</v>
      </c>
      <c r="FY21" s="267">
        <v>0</v>
      </c>
      <c r="FZ21" s="267">
        <v>0</v>
      </c>
      <c r="GA21" s="267">
        <v>0</v>
      </c>
      <c r="GB21" s="267">
        <v>0</v>
      </c>
      <c r="GC21" s="267">
        <v>0</v>
      </c>
      <c r="GD21" s="267">
        <v>0</v>
      </c>
      <c r="GE21" s="267">
        <v>0</v>
      </c>
      <c r="GF21" s="267">
        <v>0</v>
      </c>
      <c r="GG21" s="267">
        <v>0</v>
      </c>
      <c r="GH21" s="267">
        <v>0</v>
      </c>
      <c r="GI21" s="267">
        <v>0</v>
      </c>
      <c r="GJ21" s="267">
        <v>0</v>
      </c>
      <c r="GK21" s="267">
        <v>0</v>
      </c>
      <c r="GL21" s="267">
        <v>0</v>
      </c>
      <c r="GM21" s="267">
        <v>0</v>
      </c>
      <c r="GN21" s="267">
        <v>0</v>
      </c>
      <c r="GO21" s="268">
        <v>0</v>
      </c>
      <c r="GP21" s="279">
        <v>0</v>
      </c>
      <c r="GQ21" s="267">
        <v>0</v>
      </c>
      <c r="GR21" s="267">
        <v>0</v>
      </c>
      <c r="GS21" s="267">
        <v>0</v>
      </c>
      <c r="GT21" s="267">
        <v>0</v>
      </c>
      <c r="GU21" s="267">
        <v>0</v>
      </c>
      <c r="GV21" s="267">
        <v>0</v>
      </c>
      <c r="GW21" s="267">
        <v>0</v>
      </c>
      <c r="GX21" s="267">
        <v>0</v>
      </c>
      <c r="GY21" s="267">
        <v>0</v>
      </c>
      <c r="GZ21" s="267">
        <v>0</v>
      </c>
      <c r="HA21" s="267">
        <v>0</v>
      </c>
      <c r="HB21" s="267">
        <v>0</v>
      </c>
      <c r="HC21" s="267">
        <v>0</v>
      </c>
      <c r="HD21" s="267">
        <v>0</v>
      </c>
      <c r="HE21" s="267">
        <v>0</v>
      </c>
      <c r="HF21" s="267">
        <v>0</v>
      </c>
      <c r="HG21" s="267">
        <v>0</v>
      </c>
      <c r="HH21" s="267">
        <v>0</v>
      </c>
      <c r="HI21" s="267"/>
      <c r="HJ21" s="267"/>
      <c r="HK21" s="267"/>
      <c r="HL21" s="267"/>
      <c r="HM21" s="267"/>
      <c r="HN21" s="267"/>
      <c r="HO21" s="267"/>
      <c r="HP21" s="267"/>
      <c r="HQ21" s="267"/>
      <c r="HR21" s="267"/>
      <c r="HS21" s="267"/>
      <c r="HT21" s="367"/>
      <c r="HU21" s="55">
        <f>SUM(O21:HT21)</f>
        <v>37</v>
      </c>
    </row>
    <row r="22" spans="1:229" x14ac:dyDescent="0.25">
      <c r="A22" s="2">
        <v>2</v>
      </c>
      <c r="B22" s="474"/>
      <c r="C22" s="23" t="s">
        <v>2</v>
      </c>
      <c r="D22" s="2" t="s">
        <v>17</v>
      </c>
      <c r="E22" s="73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72">
        <v>0</v>
      </c>
      <c r="M22" s="106">
        <f t="shared" si="51"/>
        <v>0</v>
      </c>
      <c r="N22" s="129"/>
      <c r="O22" s="7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01">
        <v>0</v>
      </c>
      <c r="AQ22" s="162"/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62"/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265">
        <v>0</v>
      </c>
      <c r="CO22" s="265">
        <v>0</v>
      </c>
      <c r="CP22" s="265">
        <v>0</v>
      </c>
      <c r="CQ22" s="265">
        <v>0</v>
      </c>
      <c r="CR22" s="265">
        <v>0</v>
      </c>
      <c r="CS22" s="265">
        <v>0</v>
      </c>
      <c r="CT22" s="265">
        <v>0</v>
      </c>
      <c r="CU22" s="265">
        <v>0</v>
      </c>
      <c r="CV22" s="265">
        <v>0</v>
      </c>
      <c r="CW22" s="265">
        <v>0</v>
      </c>
      <c r="CX22" s="265">
        <v>0</v>
      </c>
      <c r="CY22" s="13">
        <v>0</v>
      </c>
      <c r="CZ22" s="13">
        <v>0</v>
      </c>
      <c r="DA22" s="269">
        <v>0</v>
      </c>
      <c r="DB22" s="278">
        <v>0</v>
      </c>
      <c r="DC22" s="265">
        <v>0</v>
      </c>
      <c r="DD22" s="13">
        <v>0</v>
      </c>
      <c r="DE22" s="265">
        <v>0</v>
      </c>
      <c r="DF22" s="265">
        <v>0</v>
      </c>
      <c r="DG22" s="265">
        <v>0</v>
      </c>
      <c r="DH22" s="265">
        <v>0</v>
      </c>
      <c r="DI22" s="265">
        <v>0</v>
      </c>
      <c r="DJ22" s="265">
        <v>0</v>
      </c>
      <c r="DK22" s="265">
        <v>0</v>
      </c>
      <c r="DL22" s="265">
        <v>0</v>
      </c>
      <c r="DM22" s="265">
        <v>0</v>
      </c>
      <c r="DN22" s="265">
        <v>0</v>
      </c>
      <c r="DO22" s="265">
        <v>0</v>
      </c>
      <c r="DP22" s="265">
        <v>0</v>
      </c>
      <c r="DQ22" s="265">
        <v>0</v>
      </c>
      <c r="DR22" s="265">
        <v>0</v>
      </c>
      <c r="DS22" s="265">
        <v>0</v>
      </c>
      <c r="DT22" s="265">
        <v>0</v>
      </c>
      <c r="DU22" s="265">
        <v>0</v>
      </c>
      <c r="DV22" s="265">
        <v>0</v>
      </c>
      <c r="DW22" s="265">
        <v>0</v>
      </c>
      <c r="DX22" s="265">
        <v>0</v>
      </c>
      <c r="DY22" s="265">
        <v>0</v>
      </c>
      <c r="DZ22" s="265">
        <v>0</v>
      </c>
      <c r="EA22" s="265">
        <v>0</v>
      </c>
      <c r="EB22" s="265">
        <v>0</v>
      </c>
      <c r="EC22" s="265">
        <v>0</v>
      </c>
      <c r="ED22" s="265">
        <v>0</v>
      </c>
      <c r="EE22" s="265">
        <v>0</v>
      </c>
      <c r="EF22" s="269">
        <v>0</v>
      </c>
      <c r="EG22" s="278">
        <v>0</v>
      </c>
      <c r="EH22" s="265">
        <v>0</v>
      </c>
      <c r="EI22" s="265">
        <v>0</v>
      </c>
      <c r="EJ22" s="265">
        <v>0</v>
      </c>
      <c r="EK22" s="265">
        <v>0</v>
      </c>
      <c r="EL22" s="265">
        <v>0</v>
      </c>
      <c r="EM22" s="265">
        <v>0</v>
      </c>
      <c r="EN22" s="265">
        <v>0</v>
      </c>
      <c r="EO22" s="265">
        <v>0</v>
      </c>
      <c r="EP22" s="265">
        <v>0</v>
      </c>
      <c r="EQ22" s="265">
        <v>0</v>
      </c>
      <c r="ER22" s="265">
        <v>0</v>
      </c>
      <c r="ES22" s="265">
        <v>0</v>
      </c>
      <c r="ET22" s="265">
        <v>0</v>
      </c>
      <c r="EU22" s="265">
        <v>0</v>
      </c>
      <c r="EV22" s="265">
        <v>0</v>
      </c>
      <c r="EW22" s="265">
        <v>0</v>
      </c>
      <c r="EX22" s="265">
        <v>0</v>
      </c>
      <c r="EY22" s="265">
        <v>0</v>
      </c>
      <c r="EZ22" s="265">
        <v>0</v>
      </c>
      <c r="FA22" s="265">
        <v>0</v>
      </c>
      <c r="FB22" s="265">
        <v>0</v>
      </c>
      <c r="FC22" s="265">
        <v>0</v>
      </c>
      <c r="FD22" s="265">
        <v>0</v>
      </c>
      <c r="FE22" s="265">
        <v>0</v>
      </c>
      <c r="FF22" s="265">
        <v>0</v>
      </c>
      <c r="FG22" s="265">
        <v>0</v>
      </c>
      <c r="FH22" s="265">
        <v>0</v>
      </c>
      <c r="FI22" s="265">
        <v>0</v>
      </c>
      <c r="FJ22" s="269">
        <v>0</v>
      </c>
      <c r="FK22" s="278">
        <v>0</v>
      </c>
      <c r="FL22" s="265">
        <v>0</v>
      </c>
      <c r="FM22" s="265">
        <v>0</v>
      </c>
      <c r="FN22" s="265">
        <v>0</v>
      </c>
      <c r="FO22" s="265">
        <v>0</v>
      </c>
      <c r="FP22" s="265">
        <v>0</v>
      </c>
      <c r="FQ22" s="265">
        <v>0</v>
      </c>
      <c r="FR22" s="265">
        <v>0</v>
      </c>
      <c r="FS22" s="265">
        <v>0</v>
      </c>
      <c r="FT22" s="265">
        <v>0</v>
      </c>
      <c r="FU22" s="265">
        <v>0</v>
      </c>
      <c r="FV22" s="265">
        <v>0</v>
      </c>
      <c r="FW22" s="265">
        <v>0</v>
      </c>
      <c r="FX22" s="265">
        <v>0</v>
      </c>
      <c r="FY22" s="265">
        <v>0</v>
      </c>
      <c r="FZ22" s="265">
        <v>0</v>
      </c>
      <c r="GA22" s="265">
        <v>0</v>
      </c>
      <c r="GB22" s="265">
        <v>0</v>
      </c>
      <c r="GC22" s="265">
        <v>0</v>
      </c>
      <c r="GD22" s="265">
        <v>0</v>
      </c>
      <c r="GE22" s="265">
        <v>0</v>
      </c>
      <c r="GF22" s="265">
        <v>0</v>
      </c>
      <c r="GG22" s="265">
        <v>0</v>
      </c>
      <c r="GH22" s="265">
        <v>0</v>
      </c>
      <c r="GI22" s="265">
        <v>0</v>
      </c>
      <c r="GJ22" s="265">
        <v>0</v>
      </c>
      <c r="GK22" s="265">
        <v>0</v>
      </c>
      <c r="GL22" s="265">
        <v>0</v>
      </c>
      <c r="GM22" s="265">
        <v>0</v>
      </c>
      <c r="GN22" s="265">
        <v>0</v>
      </c>
      <c r="GO22" s="269">
        <v>0</v>
      </c>
      <c r="GP22" s="278">
        <v>0</v>
      </c>
      <c r="GQ22" s="265">
        <v>0</v>
      </c>
      <c r="GR22" s="265">
        <v>0</v>
      </c>
      <c r="GS22" s="265">
        <v>0</v>
      </c>
      <c r="GT22" s="265">
        <v>0</v>
      </c>
      <c r="GU22" s="265">
        <v>0</v>
      </c>
      <c r="GV22" s="265">
        <v>0</v>
      </c>
      <c r="GW22" s="265">
        <v>0</v>
      </c>
      <c r="GX22" s="265">
        <v>0</v>
      </c>
      <c r="GY22" s="265">
        <v>0</v>
      </c>
      <c r="GZ22" s="265">
        <v>0</v>
      </c>
      <c r="HA22" s="265">
        <v>0</v>
      </c>
      <c r="HB22" s="265">
        <v>0</v>
      </c>
      <c r="HC22" s="265">
        <v>0</v>
      </c>
      <c r="HD22" s="265">
        <v>0</v>
      </c>
      <c r="HE22" s="265">
        <v>0</v>
      </c>
      <c r="HF22" s="265">
        <v>0</v>
      </c>
      <c r="HG22" s="265">
        <v>0</v>
      </c>
      <c r="HH22" s="265">
        <v>0</v>
      </c>
      <c r="HI22" s="265"/>
      <c r="HJ22" s="265"/>
      <c r="HK22" s="265"/>
      <c r="HL22" s="265"/>
      <c r="HM22" s="265"/>
      <c r="HN22" s="265"/>
      <c r="HO22" s="265"/>
      <c r="HP22" s="265"/>
      <c r="HQ22" s="265"/>
      <c r="HR22" s="265"/>
      <c r="HS22" s="265"/>
      <c r="HT22" s="368"/>
      <c r="HU22" s="55">
        <f t="shared" ref="HU22:HU31" si="52">SUM(O22:HT22)</f>
        <v>0</v>
      </c>
    </row>
    <row r="23" spans="1:229" x14ac:dyDescent="0.25">
      <c r="A23" s="2">
        <v>3</v>
      </c>
      <c r="B23" s="474"/>
      <c r="C23" s="23" t="s">
        <v>3</v>
      </c>
      <c r="D23" s="2" t="s">
        <v>17</v>
      </c>
      <c r="E23" s="73">
        <v>0</v>
      </c>
      <c r="F23" s="31">
        <v>0</v>
      </c>
      <c r="G23" s="31">
        <v>0</v>
      </c>
      <c r="H23" s="31">
        <v>2</v>
      </c>
      <c r="I23" s="31">
        <v>4</v>
      </c>
      <c r="J23" s="31">
        <v>0</v>
      </c>
      <c r="K23" s="31">
        <v>0</v>
      </c>
      <c r="L23" s="72">
        <v>4</v>
      </c>
      <c r="M23" s="106">
        <f t="shared" si="51"/>
        <v>10</v>
      </c>
      <c r="N23" s="129"/>
      <c r="O23" s="73">
        <v>2</v>
      </c>
      <c r="P23" s="13">
        <v>2</v>
      </c>
      <c r="Q23" s="13">
        <v>0</v>
      </c>
      <c r="R23" s="13">
        <v>1</v>
      </c>
      <c r="S23" s="13">
        <v>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01">
        <v>0</v>
      </c>
      <c r="AQ23" s="162"/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1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62"/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265">
        <v>0</v>
      </c>
      <c r="CO23" s="265">
        <v>0</v>
      </c>
      <c r="CP23" s="265">
        <v>0</v>
      </c>
      <c r="CQ23" s="265">
        <v>0</v>
      </c>
      <c r="CR23" s="265">
        <v>0</v>
      </c>
      <c r="CS23" s="265">
        <v>0</v>
      </c>
      <c r="CT23" s="265">
        <v>0</v>
      </c>
      <c r="CU23" s="265">
        <v>0</v>
      </c>
      <c r="CV23" s="265">
        <v>0</v>
      </c>
      <c r="CW23" s="265">
        <v>0</v>
      </c>
      <c r="CX23" s="265">
        <v>0</v>
      </c>
      <c r="CY23" s="13">
        <v>0</v>
      </c>
      <c r="CZ23" s="13">
        <v>0</v>
      </c>
      <c r="DA23" s="269">
        <v>0</v>
      </c>
      <c r="DB23" s="278">
        <v>0</v>
      </c>
      <c r="DC23" s="265">
        <v>1</v>
      </c>
      <c r="DD23" s="13">
        <v>0</v>
      </c>
      <c r="DE23" s="265">
        <v>0</v>
      </c>
      <c r="DF23" s="265">
        <v>0</v>
      </c>
      <c r="DG23" s="265">
        <v>0</v>
      </c>
      <c r="DH23" s="265">
        <v>0</v>
      </c>
      <c r="DI23" s="265">
        <v>0</v>
      </c>
      <c r="DJ23" s="265">
        <v>0</v>
      </c>
      <c r="DK23" s="265">
        <v>0</v>
      </c>
      <c r="DL23" s="265">
        <v>0</v>
      </c>
      <c r="DM23" s="265">
        <v>0</v>
      </c>
      <c r="DN23" s="265">
        <v>0</v>
      </c>
      <c r="DO23" s="265">
        <v>0</v>
      </c>
      <c r="DP23" s="265">
        <v>0</v>
      </c>
      <c r="DQ23" s="265">
        <v>0</v>
      </c>
      <c r="DR23" s="265">
        <v>0</v>
      </c>
      <c r="DS23" s="265">
        <v>0</v>
      </c>
      <c r="DT23" s="265">
        <v>0</v>
      </c>
      <c r="DU23" s="265">
        <v>0</v>
      </c>
      <c r="DV23" s="265">
        <v>0</v>
      </c>
      <c r="DW23" s="265">
        <v>0</v>
      </c>
      <c r="DX23" s="265">
        <v>0</v>
      </c>
      <c r="DY23" s="265">
        <v>0</v>
      </c>
      <c r="DZ23" s="265">
        <v>0</v>
      </c>
      <c r="EA23" s="265">
        <v>0</v>
      </c>
      <c r="EB23" s="265">
        <v>0</v>
      </c>
      <c r="EC23" s="265">
        <v>0</v>
      </c>
      <c r="ED23" s="265">
        <v>0</v>
      </c>
      <c r="EE23" s="265">
        <v>0</v>
      </c>
      <c r="EF23" s="269">
        <v>0</v>
      </c>
      <c r="EG23" s="278">
        <v>0</v>
      </c>
      <c r="EH23" s="265">
        <v>0</v>
      </c>
      <c r="EI23" s="265">
        <v>0</v>
      </c>
      <c r="EJ23" s="265">
        <v>0</v>
      </c>
      <c r="EK23" s="265">
        <v>0</v>
      </c>
      <c r="EL23" s="265">
        <v>0</v>
      </c>
      <c r="EM23" s="265">
        <v>0</v>
      </c>
      <c r="EN23" s="265">
        <v>0</v>
      </c>
      <c r="EO23" s="265">
        <v>0</v>
      </c>
      <c r="EP23" s="265">
        <v>0</v>
      </c>
      <c r="EQ23" s="265">
        <v>0</v>
      </c>
      <c r="ER23" s="265">
        <v>0</v>
      </c>
      <c r="ES23" s="265">
        <v>0</v>
      </c>
      <c r="ET23" s="265">
        <v>0</v>
      </c>
      <c r="EU23" s="265">
        <v>0</v>
      </c>
      <c r="EV23" s="265">
        <v>0</v>
      </c>
      <c r="EW23" s="265">
        <v>0</v>
      </c>
      <c r="EX23" s="265">
        <v>0</v>
      </c>
      <c r="EY23" s="265">
        <v>0</v>
      </c>
      <c r="EZ23" s="265">
        <v>0</v>
      </c>
      <c r="FA23" s="265">
        <v>0</v>
      </c>
      <c r="FB23" s="265">
        <v>0</v>
      </c>
      <c r="FC23" s="265">
        <v>0</v>
      </c>
      <c r="FD23" s="265">
        <v>0</v>
      </c>
      <c r="FE23" s="265">
        <v>0</v>
      </c>
      <c r="FF23" s="265">
        <v>0</v>
      </c>
      <c r="FG23" s="265">
        <v>0</v>
      </c>
      <c r="FH23" s="265">
        <v>0</v>
      </c>
      <c r="FI23" s="265">
        <v>0</v>
      </c>
      <c r="FJ23" s="269">
        <v>0</v>
      </c>
      <c r="FK23" s="278">
        <v>0</v>
      </c>
      <c r="FL23" s="265">
        <v>0</v>
      </c>
      <c r="FM23" s="265">
        <v>0</v>
      </c>
      <c r="FN23" s="265">
        <v>0</v>
      </c>
      <c r="FO23" s="265">
        <v>0</v>
      </c>
      <c r="FP23" s="265">
        <v>0</v>
      </c>
      <c r="FQ23" s="265">
        <v>0</v>
      </c>
      <c r="FR23" s="265">
        <v>0</v>
      </c>
      <c r="FS23" s="265">
        <v>0</v>
      </c>
      <c r="FT23" s="265">
        <v>0</v>
      </c>
      <c r="FU23" s="265">
        <v>0</v>
      </c>
      <c r="FV23" s="265">
        <v>0</v>
      </c>
      <c r="FW23" s="265">
        <v>0</v>
      </c>
      <c r="FX23" s="265">
        <v>0</v>
      </c>
      <c r="FY23" s="265">
        <v>0</v>
      </c>
      <c r="FZ23" s="265">
        <v>0</v>
      </c>
      <c r="GA23" s="265">
        <v>0</v>
      </c>
      <c r="GB23" s="265">
        <v>0</v>
      </c>
      <c r="GC23" s="265">
        <v>0</v>
      </c>
      <c r="GD23" s="265">
        <v>0</v>
      </c>
      <c r="GE23" s="265">
        <v>0</v>
      </c>
      <c r="GF23" s="265">
        <v>0</v>
      </c>
      <c r="GG23" s="265">
        <v>0</v>
      </c>
      <c r="GH23" s="265">
        <v>0</v>
      </c>
      <c r="GI23" s="265">
        <v>0</v>
      </c>
      <c r="GJ23" s="265">
        <v>0</v>
      </c>
      <c r="GK23" s="265">
        <v>0</v>
      </c>
      <c r="GL23" s="265">
        <v>0</v>
      </c>
      <c r="GM23" s="265">
        <v>0</v>
      </c>
      <c r="GN23" s="265">
        <v>0</v>
      </c>
      <c r="GO23" s="269">
        <v>0</v>
      </c>
      <c r="GP23" s="278">
        <v>0</v>
      </c>
      <c r="GQ23" s="265">
        <v>0</v>
      </c>
      <c r="GR23" s="265">
        <v>0</v>
      </c>
      <c r="GS23" s="265">
        <v>0</v>
      </c>
      <c r="GT23" s="265">
        <v>0</v>
      </c>
      <c r="GU23" s="265">
        <v>0</v>
      </c>
      <c r="GV23" s="265">
        <v>0</v>
      </c>
      <c r="GW23" s="265">
        <v>0</v>
      </c>
      <c r="GX23" s="265">
        <v>0</v>
      </c>
      <c r="GY23" s="265">
        <v>0</v>
      </c>
      <c r="GZ23" s="265">
        <v>0</v>
      </c>
      <c r="HA23" s="265">
        <v>0</v>
      </c>
      <c r="HB23" s="265">
        <v>0</v>
      </c>
      <c r="HC23" s="265">
        <v>0</v>
      </c>
      <c r="HD23" s="265">
        <v>0</v>
      </c>
      <c r="HE23" s="265">
        <v>0</v>
      </c>
      <c r="HF23" s="265">
        <v>0</v>
      </c>
      <c r="HG23" s="265">
        <v>0</v>
      </c>
      <c r="HH23" s="265">
        <v>0</v>
      </c>
      <c r="HI23" s="265"/>
      <c r="HJ23" s="265"/>
      <c r="HK23" s="265"/>
      <c r="HL23" s="265"/>
      <c r="HM23" s="265"/>
      <c r="HN23" s="265"/>
      <c r="HO23" s="265"/>
      <c r="HP23" s="265"/>
      <c r="HQ23" s="265"/>
      <c r="HR23" s="265"/>
      <c r="HS23" s="265"/>
      <c r="HT23" s="368"/>
      <c r="HU23" s="55">
        <f t="shared" si="52"/>
        <v>8</v>
      </c>
    </row>
    <row r="24" spans="1:229" x14ac:dyDescent="0.25">
      <c r="A24" s="2">
        <v>4</v>
      </c>
      <c r="B24" s="474"/>
      <c r="C24" s="23" t="s">
        <v>4</v>
      </c>
      <c r="D24" s="2" t="s">
        <v>17</v>
      </c>
      <c r="E24" s="73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72">
        <v>0</v>
      </c>
      <c r="M24" s="106">
        <f t="shared" si="51"/>
        <v>0</v>
      </c>
      <c r="N24" s="129"/>
      <c r="O24" s="7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6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01">
        <v>0</v>
      </c>
      <c r="AQ24" s="162"/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4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62"/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1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1</v>
      </c>
      <c r="CM24" s="13">
        <v>0</v>
      </c>
      <c r="CN24" s="265">
        <v>0</v>
      </c>
      <c r="CO24" s="265">
        <v>0</v>
      </c>
      <c r="CP24" s="265">
        <v>0</v>
      </c>
      <c r="CQ24" s="265">
        <v>0</v>
      </c>
      <c r="CR24" s="265">
        <v>0</v>
      </c>
      <c r="CS24" s="265">
        <v>0</v>
      </c>
      <c r="CT24" s="265">
        <v>0</v>
      </c>
      <c r="CU24" s="265">
        <v>0</v>
      </c>
      <c r="CV24" s="265">
        <v>0</v>
      </c>
      <c r="CW24" s="265">
        <v>0</v>
      </c>
      <c r="CX24" s="265">
        <v>0</v>
      </c>
      <c r="CY24" s="13">
        <v>0</v>
      </c>
      <c r="CZ24" s="13">
        <v>0</v>
      </c>
      <c r="DA24" s="269">
        <v>0</v>
      </c>
      <c r="DB24" s="278">
        <v>0</v>
      </c>
      <c r="DC24" s="265">
        <v>0</v>
      </c>
      <c r="DD24" s="13">
        <v>0</v>
      </c>
      <c r="DE24" s="265">
        <v>0</v>
      </c>
      <c r="DF24" s="265">
        <v>0</v>
      </c>
      <c r="DG24" s="265">
        <v>0</v>
      </c>
      <c r="DH24" s="265">
        <v>0</v>
      </c>
      <c r="DI24" s="265">
        <v>0</v>
      </c>
      <c r="DJ24" s="265">
        <v>0</v>
      </c>
      <c r="DK24" s="265">
        <v>0</v>
      </c>
      <c r="DL24" s="265">
        <v>0</v>
      </c>
      <c r="DM24" s="265">
        <v>0</v>
      </c>
      <c r="DN24" s="265">
        <v>0</v>
      </c>
      <c r="DO24" s="265">
        <v>0</v>
      </c>
      <c r="DP24" s="265">
        <v>0</v>
      </c>
      <c r="DQ24" s="265">
        <v>0</v>
      </c>
      <c r="DR24" s="265">
        <v>0</v>
      </c>
      <c r="DS24" s="265">
        <v>0</v>
      </c>
      <c r="DT24" s="265">
        <v>0</v>
      </c>
      <c r="DU24" s="265">
        <v>0</v>
      </c>
      <c r="DV24" s="265">
        <v>0</v>
      </c>
      <c r="DW24" s="265">
        <v>0</v>
      </c>
      <c r="DX24" s="265">
        <v>0</v>
      </c>
      <c r="DY24" s="265">
        <v>0</v>
      </c>
      <c r="DZ24" s="265">
        <v>0</v>
      </c>
      <c r="EA24" s="265">
        <v>0</v>
      </c>
      <c r="EB24" s="265">
        <v>0</v>
      </c>
      <c r="EC24" s="265">
        <v>0</v>
      </c>
      <c r="ED24" s="265">
        <v>0</v>
      </c>
      <c r="EE24" s="265">
        <v>0</v>
      </c>
      <c r="EF24" s="269">
        <v>0</v>
      </c>
      <c r="EG24" s="278">
        <v>0</v>
      </c>
      <c r="EH24" s="265">
        <v>0</v>
      </c>
      <c r="EI24" s="265">
        <v>0</v>
      </c>
      <c r="EJ24" s="265">
        <v>0</v>
      </c>
      <c r="EK24" s="265">
        <v>0</v>
      </c>
      <c r="EL24" s="265">
        <v>0</v>
      </c>
      <c r="EM24" s="265">
        <v>0</v>
      </c>
      <c r="EN24" s="265">
        <v>0</v>
      </c>
      <c r="EO24" s="265">
        <v>0</v>
      </c>
      <c r="EP24" s="265">
        <v>0</v>
      </c>
      <c r="EQ24" s="265">
        <v>0</v>
      </c>
      <c r="ER24" s="265">
        <v>0</v>
      </c>
      <c r="ES24" s="265">
        <v>0</v>
      </c>
      <c r="ET24" s="265">
        <v>0</v>
      </c>
      <c r="EU24" s="265">
        <v>0</v>
      </c>
      <c r="EV24" s="265">
        <v>0</v>
      </c>
      <c r="EW24" s="265">
        <v>0</v>
      </c>
      <c r="EX24" s="265">
        <v>0</v>
      </c>
      <c r="EY24" s="265">
        <v>0</v>
      </c>
      <c r="EZ24" s="265">
        <v>0</v>
      </c>
      <c r="FA24" s="265">
        <v>0</v>
      </c>
      <c r="FB24" s="265">
        <v>0</v>
      </c>
      <c r="FC24" s="265">
        <v>0</v>
      </c>
      <c r="FD24" s="265">
        <v>0</v>
      </c>
      <c r="FE24" s="265">
        <v>0</v>
      </c>
      <c r="FF24" s="265">
        <v>0</v>
      </c>
      <c r="FG24" s="265">
        <v>0</v>
      </c>
      <c r="FH24" s="265">
        <v>0</v>
      </c>
      <c r="FI24" s="265">
        <v>0</v>
      </c>
      <c r="FJ24" s="269">
        <v>0</v>
      </c>
      <c r="FK24" s="278">
        <v>0</v>
      </c>
      <c r="FL24" s="265">
        <v>0</v>
      </c>
      <c r="FM24" s="265">
        <v>0</v>
      </c>
      <c r="FN24" s="265">
        <v>0</v>
      </c>
      <c r="FO24" s="265">
        <v>0</v>
      </c>
      <c r="FP24" s="265">
        <v>0</v>
      </c>
      <c r="FQ24" s="265">
        <v>0</v>
      </c>
      <c r="FR24" s="265">
        <v>0</v>
      </c>
      <c r="FS24" s="265">
        <v>0</v>
      </c>
      <c r="FT24" s="265">
        <v>0</v>
      </c>
      <c r="FU24" s="265">
        <v>0</v>
      </c>
      <c r="FV24" s="265">
        <v>0</v>
      </c>
      <c r="FW24" s="265">
        <v>0</v>
      </c>
      <c r="FX24" s="265">
        <v>0</v>
      </c>
      <c r="FY24" s="265">
        <v>0</v>
      </c>
      <c r="FZ24" s="265">
        <v>0</v>
      </c>
      <c r="GA24" s="265">
        <v>0</v>
      </c>
      <c r="GB24" s="265">
        <v>0</v>
      </c>
      <c r="GC24" s="265">
        <v>0</v>
      </c>
      <c r="GD24" s="265">
        <v>0</v>
      </c>
      <c r="GE24" s="265">
        <v>0</v>
      </c>
      <c r="GF24" s="265">
        <v>0</v>
      </c>
      <c r="GG24" s="265">
        <v>0</v>
      </c>
      <c r="GH24" s="265">
        <v>0</v>
      </c>
      <c r="GI24" s="265">
        <v>0</v>
      </c>
      <c r="GJ24" s="265">
        <v>0</v>
      </c>
      <c r="GK24" s="265">
        <v>0</v>
      </c>
      <c r="GL24" s="265">
        <v>0</v>
      </c>
      <c r="GM24" s="265">
        <v>0</v>
      </c>
      <c r="GN24" s="265">
        <v>0</v>
      </c>
      <c r="GO24" s="269">
        <v>0</v>
      </c>
      <c r="GP24" s="278">
        <v>0</v>
      </c>
      <c r="GQ24" s="265">
        <v>0</v>
      </c>
      <c r="GR24" s="265">
        <v>0</v>
      </c>
      <c r="GS24" s="265">
        <v>0</v>
      </c>
      <c r="GT24" s="265">
        <v>0</v>
      </c>
      <c r="GU24" s="265">
        <v>0</v>
      </c>
      <c r="GV24" s="265">
        <v>0</v>
      </c>
      <c r="GW24" s="265">
        <v>0</v>
      </c>
      <c r="GX24" s="265">
        <v>0</v>
      </c>
      <c r="GY24" s="265">
        <v>0</v>
      </c>
      <c r="GZ24" s="265">
        <v>0</v>
      </c>
      <c r="HA24" s="265">
        <v>0</v>
      </c>
      <c r="HB24" s="265">
        <v>0</v>
      </c>
      <c r="HC24" s="265">
        <v>0</v>
      </c>
      <c r="HD24" s="265">
        <v>0</v>
      </c>
      <c r="HE24" s="265">
        <v>0</v>
      </c>
      <c r="HF24" s="265">
        <v>0</v>
      </c>
      <c r="HG24" s="265">
        <v>0</v>
      </c>
      <c r="HH24" s="265">
        <v>0</v>
      </c>
      <c r="HI24" s="265"/>
      <c r="HJ24" s="265"/>
      <c r="HK24" s="265"/>
      <c r="HL24" s="265"/>
      <c r="HM24" s="265"/>
      <c r="HN24" s="265"/>
      <c r="HO24" s="265"/>
      <c r="HP24" s="265"/>
      <c r="HQ24" s="265"/>
      <c r="HR24" s="265"/>
      <c r="HS24" s="265"/>
      <c r="HT24" s="368"/>
      <c r="HU24" s="55">
        <f t="shared" si="52"/>
        <v>12</v>
      </c>
    </row>
    <row r="25" spans="1:229" x14ac:dyDescent="0.25">
      <c r="A25" s="2">
        <v>5</v>
      </c>
      <c r="B25" s="474"/>
      <c r="C25" s="23" t="s">
        <v>5</v>
      </c>
      <c r="D25" s="2" t="s">
        <v>17</v>
      </c>
      <c r="E25" s="73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72">
        <v>0</v>
      </c>
      <c r="M25" s="106">
        <f t="shared" si="51"/>
        <v>0</v>
      </c>
      <c r="N25" s="129"/>
      <c r="O25" s="7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01">
        <v>0</v>
      </c>
      <c r="AQ25" s="162"/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62"/>
      <c r="BX25" s="13">
        <v>5</v>
      </c>
      <c r="BY25" s="13">
        <v>4</v>
      </c>
      <c r="BZ25" s="13">
        <v>0</v>
      </c>
      <c r="CA25" s="13">
        <v>1</v>
      </c>
      <c r="CB25" s="13">
        <v>2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4</v>
      </c>
      <c r="CJ25" s="13">
        <v>2</v>
      </c>
      <c r="CK25" s="13">
        <v>0</v>
      </c>
      <c r="CL25" s="13">
        <v>0</v>
      </c>
      <c r="CM25" s="13">
        <v>0</v>
      </c>
      <c r="CN25" s="265">
        <v>0</v>
      </c>
      <c r="CO25" s="265">
        <v>0</v>
      </c>
      <c r="CP25" s="265">
        <v>0</v>
      </c>
      <c r="CQ25" s="265">
        <v>0</v>
      </c>
      <c r="CR25" s="265">
        <v>0</v>
      </c>
      <c r="CS25" s="265">
        <v>0</v>
      </c>
      <c r="CT25" s="265">
        <v>0</v>
      </c>
      <c r="CU25" s="265">
        <v>0</v>
      </c>
      <c r="CV25" s="265">
        <v>0</v>
      </c>
      <c r="CW25" s="265">
        <v>0</v>
      </c>
      <c r="CX25" s="265">
        <v>0</v>
      </c>
      <c r="CY25" s="13">
        <v>0</v>
      </c>
      <c r="CZ25" s="13">
        <v>0</v>
      </c>
      <c r="DA25" s="269">
        <v>0</v>
      </c>
      <c r="DB25" s="278">
        <v>0</v>
      </c>
      <c r="DC25" s="265">
        <v>0</v>
      </c>
      <c r="DD25" s="13">
        <v>0</v>
      </c>
      <c r="DE25" s="265">
        <v>0</v>
      </c>
      <c r="DF25" s="265">
        <v>0</v>
      </c>
      <c r="DG25" s="265">
        <v>1</v>
      </c>
      <c r="DH25" s="265">
        <v>4</v>
      </c>
      <c r="DI25" s="265">
        <v>0</v>
      </c>
      <c r="DJ25" s="265">
        <v>9</v>
      </c>
      <c r="DK25" s="265">
        <v>5</v>
      </c>
      <c r="DL25" s="265">
        <v>1</v>
      </c>
      <c r="DM25" s="265">
        <v>4</v>
      </c>
      <c r="DN25" s="265">
        <v>0</v>
      </c>
      <c r="DO25" s="265">
        <v>1</v>
      </c>
      <c r="DP25" s="265">
        <v>0</v>
      </c>
      <c r="DQ25" s="265">
        <v>0</v>
      </c>
      <c r="DR25" s="265">
        <v>0</v>
      </c>
      <c r="DS25" s="265">
        <v>0</v>
      </c>
      <c r="DT25" s="265">
        <v>0</v>
      </c>
      <c r="DU25" s="265">
        <v>0</v>
      </c>
      <c r="DV25" s="265">
        <v>0</v>
      </c>
      <c r="DW25" s="265">
        <v>0</v>
      </c>
      <c r="DX25" s="265">
        <v>0</v>
      </c>
      <c r="DY25" s="265">
        <v>0</v>
      </c>
      <c r="DZ25" s="265">
        <v>0</v>
      </c>
      <c r="EA25" s="265">
        <v>0</v>
      </c>
      <c r="EB25" s="265">
        <v>0</v>
      </c>
      <c r="EC25" s="265">
        <v>0</v>
      </c>
      <c r="ED25" s="265">
        <v>0</v>
      </c>
      <c r="EE25" s="265">
        <v>0</v>
      </c>
      <c r="EF25" s="269">
        <v>0</v>
      </c>
      <c r="EG25" s="278">
        <v>0</v>
      </c>
      <c r="EH25" s="265">
        <v>0</v>
      </c>
      <c r="EI25" s="265">
        <v>0</v>
      </c>
      <c r="EJ25" s="265">
        <v>0</v>
      </c>
      <c r="EK25" s="265">
        <v>0</v>
      </c>
      <c r="EL25" s="265">
        <v>0</v>
      </c>
      <c r="EM25" s="265">
        <v>0</v>
      </c>
      <c r="EN25" s="265">
        <v>0</v>
      </c>
      <c r="EO25" s="265">
        <v>0</v>
      </c>
      <c r="EP25" s="265">
        <v>0</v>
      </c>
      <c r="EQ25" s="265">
        <v>0</v>
      </c>
      <c r="ER25" s="265">
        <v>0</v>
      </c>
      <c r="ES25" s="265">
        <v>0</v>
      </c>
      <c r="ET25" s="265">
        <v>0</v>
      </c>
      <c r="EU25" s="265">
        <v>0</v>
      </c>
      <c r="EV25" s="265">
        <v>0</v>
      </c>
      <c r="EW25" s="265">
        <v>0</v>
      </c>
      <c r="EX25" s="265">
        <v>0</v>
      </c>
      <c r="EY25" s="265">
        <v>0</v>
      </c>
      <c r="EZ25" s="265">
        <v>0</v>
      </c>
      <c r="FA25" s="265">
        <v>0</v>
      </c>
      <c r="FB25" s="265">
        <v>0</v>
      </c>
      <c r="FC25" s="265">
        <v>0</v>
      </c>
      <c r="FD25" s="265">
        <v>0</v>
      </c>
      <c r="FE25" s="265">
        <v>0</v>
      </c>
      <c r="FF25" s="265">
        <v>0</v>
      </c>
      <c r="FG25" s="265">
        <v>0</v>
      </c>
      <c r="FH25" s="265">
        <v>0</v>
      </c>
      <c r="FI25" s="265">
        <v>0</v>
      </c>
      <c r="FJ25" s="269">
        <v>0</v>
      </c>
      <c r="FK25" s="278">
        <v>0</v>
      </c>
      <c r="FL25" s="265">
        <v>0</v>
      </c>
      <c r="FM25" s="265">
        <v>0</v>
      </c>
      <c r="FN25" s="265">
        <v>0</v>
      </c>
      <c r="FO25" s="265">
        <v>0</v>
      </c>
      <c r="FP25" s="265">
        <v>0</v>
      </c>
      <c r="FQ25" s="265">
        <v>0</v>
      </c>
      <c r="FR25" s="265">
        <v>0</v>
      </c>
      <c r="FS25" s="265">
        <v>0</v>
      </c>
      <c r="FT25" s="265">
        <v>0</v>
      </c>
      <c r="FU25" s="265">
        <v>0</v>
      </c>
      <c r="FV25" s="265">
        <v>0</v>
      </c>
      <c r="FW25" s="265">
        <v>0</v>
      </c>
      <c r="FX25" s="265">
        <v>0</v>
      </c>
      <c r="FY25" s="265">
        <v>0</v>
      </c>
      <c r="FZ25" s="265">
        <v>0</v>
      </c>
      <c r="GA25" s="265">
        <v>0</v>
      </c>
      <c r="GB25" s="265">
        <v>0</v>
      </c>
      <c r="GC25" s="265">
        <v>0</v>
      </c>
      <c r="GD25" s="265">
        <v>0</v>
      </c>
      <c r="GE25" s="265">
        <v>0</v>
      </c>
      <c r="GF25" s="265">
        <v>0</v>
      </c>
      <c r="GG25" s="265">
        <v>0</v>
      </c>
      <c r="GH25" s="265">
        <v>0</v>
      </c>
      <c r="GI25" s="265">
        <v>0</v>
      </c>
      <c r="GJ25" s="265">
        <v>0</v>
      </c>
      <c r="GK25" s="265">
        <v>0</v>
      </c>
      <c r="GL25" s="265">
        <v>0</v>
      </c>
      <c r="GM25" s="265">
        <v>0</v>
      </c>
      <c r="GN25" s="265">
        <v>0</v>
      </c>
      <c r="GO25" s="269">
        <v>0</v>
      </c>
      <c r="GP25" s="278">
        <v>0</v>
      </c>
      <c r="GQ25" s="265">
        <v>0</v>
      </c>
      <c r="GR25" s="265">
        <v>0</v>
      </c>
      <c r="GS25" s="265">
        <v>0</v>
      </c>
      <c r="GT25" s="265">
        <v>0</v>
      </c>
      <c r="GU25" s="265">
        <v>0</v>
      </c>
      <c r="GV25" s="265">
        <v>0</v>
      </c>
      <c r="GW25" s="265">
        <v>0</v>
      </c>
      <c r="GX25" s="265">
        <v>0</v>
      </c>
      <c r="GY25" s="265">
        <v>0</v>
      </c>
      <c r="GZ25" s="265">
        <v>0</v>
      </c>
      <c r="HA25" s="265">
        <v>0</v>
      </c>
      <c r="HB25" s="265">
        <v>0</v>
      </c>
      <c r="HC25" s="265">
        <v>0</v>
      </c>
      <c r="HD25" s="265">
        <v>0</v>
      </c>
      <c r="HE25" s="265">
        <v>0</v>
      </c>
      <c r="HF25" s="265">
        <v>0</v>
      </c>
      <c r="HG25" s="265">
        <v>0</v>
      </c>
      <c r="HH25" s="265">
        <v>0</v>
      </c>
      <c r="HI25" s="265"/>
      <c r="HJ25" s="265"/>
      <c r="HK25" s="265"/>
      <c r="HL25" s="265"/>
      <c r="HM25" s="265"/>
      <c r="HN25" s="265"/>
      <c r="HO25" s="265"/>
      <c r="HP25" s="265"/>
      <c r="HQ25" s="265"/>
      <c r="HR25" s="265"/>
      <c r="HS25" s="265"/>
      <c r="HT25" s="368"/>
      <c r="HU25" s="55">
        <f t="shared" si="52"/>
        <v>43</v>
      </c>
    </row>
    <row r="26" spans="1:229" x14ac:dyDescent="0.25">
      <c r="A26" s="2">
        <v>6</v>
      </c>
      <c r="B26" s="474"/>
      <c r="C26" s="23" t="s">
        <v>6</v>
      </c>
      <c r="D26" s="2" t="s">
        <v>17</v>
      </c>
      <c r="E26" s="73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72">
        <v>0</v>
      </c>
      <c r="M26" s="106">
        <f t="shared" si="51"/>
        <v>0</v>
      </c>
      <c r="N26" s="129"/>
      <c r="O26" s="7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01">
        <v>0</v>
      </c>
      <c r="AQ26" s="162"/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5</v>
      </c>
      <c r="BA26" s="13">
        <v>2</v>
      </c>
      <c r="BB26" s="13">
        <v>3</v>
      </c>
      <c r="BC26" s="13">
        <v>2</v>
      </c>
      <c r="BD26" s="13">
        <v>0</v>
      </c>
      <c r="BE26" s="13">
        <v>2</v>
      </c>
      <c r="BF26" s="13">
        <v>0</v>
      </c>
      <c r="BG26" s="13">
        <v>2</v>
      </c>
      <c r="BH26" s="13">
        <v>2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5</v>
      </c>
      <c r="BP26" s="13">
        <v>3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62"/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265">
        <v>0</v>
      </c>
      <c r="CO26" s="265">
        <v>0</v>
      </c>
      <c r="CP26" s="265">
        <v>0</v>
      </c>
      <c r="CQ26" s="265">
        <v>0</v>
      </c>
      <c r="CR26" s="265">
        <v>0</v>
      </c>
      <c r="CS26" s="265">
        <v>0</v>
      </c>
      <c r="CT26" s="265">
        <v>0</v>
      </c>
      <c r="CU26" s="265">
        <v>0</v>
      </c>
      <c r="CV26" s="265">
        <v>0</v>
      </c>
      <c r="CW26" s="265">
        <v>0</v>
      </c>
      <c r="CX26" s="265">
        <v>0</v>
      </c>
      <c r="CY26" s="13">
        <v>0</v>
      </c>
      <c r="CZ26" s="13">
        <v>0</v>
      </c>
      <c r="DA26" s="269">
        <v>0</v>
      </c>
      <c r="DB26" s="278">
        <v>0</v>
      </c>
      <c r="DC26" s="265">
        <v>0</v>
      </c>
      <c r="DD26" s="13">
        <v>0</v>
      </c>
      <c r="DE26" s="265">
        <v>0</v>
      </c>
      <c r="DF26" s="265">
        <v>0</v>
      </c>
      <c r="DG26" s="265">
        <v>0</v>
      </c>
      <c r="DH26" s="265">
        <v>0</v>
      </c>
      <c r="DI26" s="265">
        <v>0</v>
      </c>
      <c r="DJ26" s="265">
        <v>0</v>
      </c>
      <c r="DK26" s="265">
        <v>0</v>
      </c>
      <c r="DL26" s="265">
        <v>0</v>
      </c>
      <c r="DM26" s="265">
        <v>0</v>
      </c>
      <c r="DN26" s="265">
        <v>0</v>
      </c>
      <c r="DO26" s="265">
        <v>0</v>
      </c>
      <c r="DP26" s="265">
        <v>0</v>
      </c>
      <c r="DQ26" s="265">
        <v>0</v>
      </c>
      <c r="DR26" s="265">
        <v>0</v>
      </c>
      <c r="DS26" s="265">
        <v>0</v>
      </c>
      <c r="DT26" s="265">
        <v>0</v>
      </c>
      <c r="DU26" s="265">
        <v>0</v>
      </c>
      <c r="DV26" s="265">
        <v>0</v>
      </c>
      <c r="DW26" s="265">
        <v>0</v>
      </c>
      <c r="DX26" s="265">
        <v>0</v>
      </c>
      <c r="DY26" s="265">
        <v>0</v>
      </c>
      <c r="DZ26" s="265">
        <v>0</v>
      </c>
      <c r="EA26" s="265">
        <v>0</v>
      </c>
      <c r="EB26" s="265">
        <v>0</v>
      </c>
      <c r="EC26" s="265">
        <v>0</v>
      </c>
      <c r="ED26" s="265">
        <v>0</v>
      </c>
      <c r="EE26" s="265">
        <v>0</v>
      </c>
      <c r="EF26" s="269">
        <v>0</v>
      </c>
      <c r="EG26" s="278">
        <v>0</v>
      </c>
      <c r="EH26" s="265">
        <v>0</v>
      </c>
      <c r="EI26" s="265">
        <v>0</v>
      </c>
      <c r="EJ26" s="265">
        <v>0</v>
      </c>
      <c r="EK26" s="265">
        <v>0</v>
      </c>
      <c r="EL26" s="265">
        <v>0</v>
      </c>
      <c r="EM26" s="265">
        <v>0</v>
      </c>
      <c r="EN26" s="265">
        <v>0</v>
      </c>
      <c r="EO26" s="265">
        <v>0</v>
      </c>
      <c r="EP26" s="265">
        <v>0</v>
      </c>
      <c r="EQ26" s="265">
        <v>0</v>
      </c>
      <c r="ER26" s="265">
        <v>0</v>
      </c>
      <c r="ES26" s="265">
        <v>0</v>
      </c>
      <c r="ET26" s="265">
        <v>0</v>
      </c>
      <c r="EU26" s="265">
        <v>0</v>
      </c>
      <c r="EV26" s="265">
        <v>0</v>
      </c>
      <c r="EW26" s="265">
        <v>0</v>
      </c>
      <c r="EX26" s="265">
        <v>0</v>
      </c>
      <c r="EY26" s="265">
        <v>0</v>
      </c>
      <c r="EZ26" s="265">
        <v>0</v>
      </c>
      <c r="FA26" s="265">
        <v>0</v>
      </c>
      <c r="FB26" s="265">
        <v>0</v>
      </c>
      <c r="FC26" s="265">
        <v>0</v>
      </c>
      <c r="FD26" s="265">
        <v>0</v>
      </c>
      <c r="FE26" s="265">
        <v>0</v>
      </c>
      <c r="FF26" s="265">
        <v>0</v>
      </c>
      <c r="FG26" s="265">
        <v>0</v>
      </c>
      <c r="FH26" s="265">
        <v>0</v>
      </c>
      <c r="FI26" s="265">
        <v>0</v>
      </c>
      <c r="FJ26" s="269">
        <v>0</v>
      </c>
      <c r="FK26" s="278">
        <v>0</v>
      </c>
      <c r="FL26" s="265">
        <v>0</v>
      </c>
      <c r="FM26" s="265">
        <v>0</v>
      </c>
      <c r="FN26" s="265">
        <v>0</v>
      </c>
      <c r="FO26" s="265">
        <v>0</v>
      </c>
      <c r="FP26" s="265">
        <v>0</v>
      </c>
      <c r="FQ26" s="265">
        <v>0</v>
      </c>
      <c r="FR26" s="265">
        <v>0</v>
      </c>
      <c r="FS26" s="265">
        <v>0</v>
      </c>
      <c r="FT26" s="265">
        <v>0</v>
      </c>
      <c r="FU26" s="265">
        <v>0</v>
      </c>
      <c r="FV26" s="265">
        <v>0</v>
      </c>
      <c r="FW26" s="265">
        <v>0</v>
      </c>
      <c r="FX26" s="265">
        <v>0</v>
      </c>
      <c r="FY26" s="265">
        <v>0</v>
      </c>
      <c r="FZ26" s="265">
        <v>0</v>
      </c>
      <c r="GA26" s="265">
        <v>0</v>
      </c>
      <c r="GB26" s="265">
        <v>0</v>
      </c>
      <c r="GC26" s="265">
        <v>0</v>
      </c>
      <c r="GD26" s="265">
        <v>0</v>
      </c>
      <c r="GE26" s="265">
        <v>0</v>
      </c>
      <c r="GF26" s="265">
        <v>0</v>
      </c>
      <c r="GG26" s="265">
        <v>0</v>
      </c>
      <c r="GH26" s="265">
        <v>0</v>
      </c>
      <c r="GI26" s="265">
        <v>0</v>
      </c>
      <c r="GJ26" s="265">
        <v>0</v>
      </c>
      <c r="GK26" s="265">
        <v>0</v>
      </c>
      <c r="GL26" s="265">
        <v>0</v>
      </c>
      <c r="GM26" s="265">
        <v>0</v>
      </c>
      <c r="GN26" s="265">
        <v>0</v>
      </c>
      <c r="GO26" s="269">
        <v>0</v>
      </c>
      <c r="GP26" s="278">
        <v>0</v>
      </c>
      <c r="GQ26" s="265">
        <v>0</v>
      </c>
      <c r="GR26" s="265">
        <v>0</v>
      </c>
      <c r="GS26" s="265">
        <v>0</v>
      </c>
      <c r="GT26" s="265">
        <v>0</v>
      </c>
      <c r="GU26" s="265">
        <v>0</v>
      </c>
      <c r="GV26" s="265">
        <v>0</v>
      </c>
      <c r="GW26" s="265">
        <v>0</v>
      </c>
      <c r="GX26" s="265">
        <v>0</v>
      </c>
      <c r="GY26" s="265">
        <v>0</v>
      </c>
      <c r="GZ26" s="265">
        <v>0</v>
      </c>
      <c r="HA26" s="265">
        <v>0</v>
      </c>
      <c r="HB26" s="265">
        <v>0</v>
      </c>
      <c r="HC26" s="265">
        <v>0</v>
      </c>
      <c r="HD26" s="265">
        <v>0</v>
      </c>
      <c r="HE26" s="265">
        <v>0</v>
      </c>
      <c r="HF26" s="265">
        <v>0</v>
      </c>
      <c r="HG26" s="265">
        <v>0</v>
      </c>
      <c r="HH26" s="265">
        <v>0</v>
      </c>
      <c r="HI26" s="265"/>
      <c r="HJ26" s="265"/>
      <c r="HK26" s="265"/>
      <c r="HL26" s="265"/>
      <c r="HM26" s="265"/>
      <c r="HN26" s="265"/>
      <c r="HO26" s="265"/>
      <c r="HP26" s="265"/>
      <c r="HQ26" s="265"/>
      <c r="HR26" s="265"/>
      <c r="HS26" s="265"/>
      <c r="HT26" s="368"/>
      <c r="HU26" s="55">
        <f t="shared" si="52"/>
        <v>26</v>
      </c>
    </row>
    <row r="27" spans="1:229" x14ac:dyDescent="0.25">
      <c r="A27" s="2">
        <v>7</v>
      </c>
      <c r="B27" s="474"/>
      <c r="C27" s="23" t="s">
        <v>7</v>
      </c>
      <c r="D27" s="2" t="s">
        <v>17</v>
      </c>
      <c r="E27" s="73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72">
        <v>0</v>
      </c>
      <c r="M27" s="106">
        <f t="shared" si="51"/>
        <v>0</v>
      </c>
      <c r="N27" s="129"/>
      <c r="O27" s="7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01">
        <v>0</v>
      </c>
      <c r="AQ27" s="162"/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62"/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265">
        <v>0</v>
      </c>
      <c r="CO27" s="265">
        <v>4</v>
      </c>
      <c r="CP27" s="265">
        <v>3</v>
      </c>
      <c r="CQ27" s="265">
        <v>4</v>
      </c>
      <c r="CR27" s="265">
        <v>1</v>
      </c>
      <c r="CS27" s="265">
        <v>1</v>
      </c>
      <c r="CT27" s="265">
        <v>0</v>
      </c>
      <c r="CU27" s="265">
        <v>0</v>
      </c>
      <c r="CV27" s="265">
        <v>0</v>
      </c>
      <c r="CW27" s="265">
        <v>0</v>
      </c>
      <c r="CX27" s="265">
        <v>0</v>
      </c>
      <c r="CY27" s="13">
        <v>0</v>
      </c>
      <c r="CZ27" s="13">
        <v>0</v>
      </c>
      <c r="DA27" s="101">
        <v>0</v>
      </c>
      <c r="DB27" s="278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01">
        <v>0</v>
      </c>
      <c r="EG27" s="7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01">
        <v>0</v>
      </c>
      <c r="FK27" s="7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01">
        <v>0</v>
      </c>
      <c r="GP27" s="7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274"/>
      <c r="HU27" s="55">
        <f t="shared" si="52"/>
        <v>13</v>
      </c>
    </row>
    <row r="28" spans="1:229" x14ac:dyDescent="0.25">
      <c r="A28" s="2">
        <v>8</v>
      </c>
      <c r="B28" s="474"/>
      <c r="C28" s="23" t="s">
        <v>8</v>
      </c>
      <c r="D28" s="2" t="s">
        <v>17</v>
      </c>
      <c r="E28" s="73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72">
        <v>0</v>
      </c>
      <c r="M28" s="106">
        <f t="shared" si="51"/>
        <v>0</v>
      </c>
      <c r="N28" s="129"/>
      <c r="O28" s="7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8</v>
      </c>
      <c r="Z28" s="13">
        <v>0</v>
      </c>
      <c r="AA28" s="13">
        <v>0</v>
      </c>
      <c r="AB28" s="13">
        <v>5</v>
      </c>
      <c r="AC28" s="13">
        <v>6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01">
        <v>0</v>
      </c>
      <c r="AQ28" s="162"/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4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3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62"/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64">
        <v>3.5</v>
      </c>
      <c r="CJ28" s="13">
        <v>0</v>
      </c>
      <c r="CK28" s="13">
        <v>0</v>
      </c>
      <c r="CL28" s="13">
        <v>0</v>
      </c>
      <c r="CM28" s="13">
        <v>0</v>
      </c>
      <c r="CN28" s="265">
        <v>0</v>
      </c>
      <c r="CO28" s="265">
        <v>0</v>
      </c>
      <c r="CP28" s="265">
        <v>0</v>
      </c>
      <c r="CQ28" s="265">
        <v>1</v>
      </c>
      <c r="CR28" s="265">
        <v>0</v>
      </c>
      <c r="CS28" s="265">
        <v>0</v>
      </c>
      <c r="CT28" s="265">
        <v>0</v>
      </c>
      <c r="CU28" s="265">
        <v>0</v>
      </c>
      <c r="CV28" s="265">
        <v>0</v>
      </c>
      <c r="CW28" s="265">
        <v>1</v>
      </c>
      <c r="CX28" s="265">
        <v>0</v>
      </c>
      <c r="CY28" s="13">
        <v>0</v>
      </c>
      <c r="CZ28" s="64">
        <v>1.5</v>
      </c>
      <c r="DA28" s="101">
        <v>0</v>
      </c>
      <c r="DB28" s="278">
        <v>0</v>
      </c>
      <c r="DC28" s="13">
        <v>0</v>
      </c>
      <c r="DD28" s="265">
        <v>4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265">
        <v>3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01">
        <v>0</v>
      </c>
      <c r="EG28" s="7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265">
        <v>1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01">
        <v>0</v>
      </c>
      <c r="FK28" s="7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01">
        <v>0</v>
      </c>
      <c r="GP28" s="7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274"/>
      <c r="HU28" s="55">
        <f t="shared" si="52"/>
        <v>41</v>
      </c>
    </row>
    <row r="29" spans="1:229" x14ac:dyDescent="0.25">
      <c r="A29" s="2">
        <v>9</v>
      </c>
      <c r="B29" s="474"/>
      <c r="C29" s="23" t="s">
        <v>9</v>
      </c>
      <c r="D29" s="2" t="s">
        <v>17</v>
      </c>
      <c r="E29" s="73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72">
        <v>0</v>
      </c>
      <c r="M29" s="106">
        <f t="shared" si="51"/>
        <v>0</v>
      </c>
      <c r="N29" s="129"/>
      <c r="O29" s="7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01">
        <v>0</v>
      </c>
      <c r="AQ29" s="162"/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62"/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265">
        <v>0</v>
      </c>
      <c r="CO29" s="265">
        <v>0</v>
      </c>
      <c r="CP29" s="265">
        <v>0</v>
      </c>
      <c r="CQ29" s="265">
        <v>0</v>
      </c>
      <c r="CR29" s="265">
        <v>0</v>
      </c>
      <c r="CS29" s="265">
        <v>0</v>
      </c>
      <c r="CT29" s="265">
        <v>0</v>
      </c>
      <c r="CU29" s="265">
        <v>0</v>
      </c>
      <c r="CV29" s="265">
        <v>0</v>
      </c>
      <c r="CW29" s="265">
        <v>0</v>
      </c>
      <c r="CX29" s="265">
        <v>0</v>
      </c>
      <c r="CY29" s="13">
        <v>0</v>
      </c>
      <c r="CZ29" s="13">
        <v>0</v>
      </c>
      <c r="DA29" s="101">
        <v>0</v>
      </c>
      <c r="DB29" s="278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01">
        <v>0</v>
      </c>
      <c r="EG29" s="7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01">
        <v>0</v>
      </c>
      <c r="FK29" s="7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265">
        <v>3</v>
      </c>
      <c r="GN29" s="13">
        <v>0</v>
      </c>
      <c r="GO29" s="101">
        <v>0</v>
      </c>
      <c r="GP29" s="7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274"/>
      <c r="HU29" s="55">
        <f t="shared" si="52"/>
        <v>3</v>
      </c>
    </row>
    <row r="30" spans="1:229" x14ac:dyDescent="0.25">
      <c r="A30" s="2">
        <v>10</v>
      </c>
      <c r="B30" s="474"/>
      <c r="C30" s="23" t="s">
        <v>10</v>
      </c>
      <c r="D30" s="2" t="s">
        <v>17</v>
      </c>
      <c r="E30" s="73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72">
        <v>0</v>
      </c>
      <c r="M30" s="106">
        <f t="shared" si="51"/>
        <v>0</v>
      </c>
      <c r="N30" s="129"/>
      <c r="O30" s="7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01">
        <v>0</v>
      </c>
      <c r="AQ30" s="162"/>
      <c r="AR30" s="13">
        <v>0</v>
      </c>
      <c r="AS30" s="13">
        <v>0</v>
      </c>
      <c r="AT30" s="13">
        <v>0</v>
      </c>
      <c r="AU30" s="13">
        <v>2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2</v>
      </c>
      <c r="BP30" s="13">
        <v>0</v>
      </c>
      <c r="BQ30" s="13">
        <v>0</v>
      </c>
      <c r="BR30" s="13">
        <v>0</v>
      </c>
      <c r="BS30" s="13">
        <v>2</v>
      </c>
      <c r="BT30" s="13">
        <v>0</v>
      </c>
      <c r="BU30" s="13">
        <v>0</v>
      </c>
      <c r="BV30" s="13">
        <v>0</v>
      </c>
      <c r="BW30" s="162"/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01">
        <v>0</v>
      </c>
      <c r="DB30" s="278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265">
        <v>1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01">
        <v>0</v>
      </c>
      <c r="EG30" s="7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01">
        <v>0</v>
      </c>
      <c r="FK30" s="7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265">
        <v>5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01">
        <v>0</v>
      </c>
      <c r="GP30" s="7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274"/>
      <c r="HU30" s="55">
        <f t="shared" si="52"/>
        <v>12</v>
      </c>
    </row>
    <row r="31" spans="1:229" x14ac:dyDescent="0.25">
      <c r="A31" s="2">
        <v>11</v>
      </c>
      <c r="B31" s="496"/>
      <c r="C31" s="23" t="s">
        <v>11</v>
      </c>
      <c r="D31" s="2" t="s">
        <v>17</v>
      </c>
      <c r="E31" s="73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72">
        <v>0</v>
      </c>
      <c r="M31" s="106">
        <f t="shared" si="51"/>
        <v>0</v>
      </c>
      <c r="N31" s="129"/>
      <c r="O31" s="7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01">
        <v>0</v>
      </c>
      <c r="AQ31" s="162"/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62"/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01">
        <v>0</v>
      </c>
      <c r="DB31" s="278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01">
        <v>0</v>
      </c>
      <c r="EG31" s="7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01">
        <v>0</v>
      </c>
      <c r="FK31" s="7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01">
        <v>0</v>
      </c>
      <c r="GP31" s="7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274"/>
      <c r="HU31" s="55">
        <f t="shared" si="52"/>
        <v>0</v>
      </c>
    </row>
    <row r="32" spans="1:229" s="7" customFormat="1" ht="24.75" customHeight="1" thickBot="1" x14ac:dyDescent="0.3">
      <c r="A32" s="15"/>
      <c r="B32" s="15"/>
      <c r="C32" s="24" t="s">
        <v>12</v>
      </c>
      <c r="D32" s="78" t="s">
        <v>17</v>
      </c>
      <c r="E32" s="74">
        <f t="shared" ref="E32:L32" si="53">SUM(E21:E31)</f>
        <v>0</v>
      </c>
      <c r="F32" s="18">
        <f t="shared" si="53"/>
        <v>0</v>
      </c>
      <c r="G32" s="18">
        <f t="shared" si="53"/>
        <v>0</v>
      </c>
      <c r="H32" s="18">
        <f t="shared" si="53"/>
        <v>2</v>
      </c>
      <c r="I32" s="18">
        <f t="shared" si="53"/>
        <v>4</v>
      </c>
      <c r="J32" s="18">
        <f t="shared" si="53"/>
        <v>0</v>
      </c>
      <c r="K32" s="18">
        <f t="shared" si="53"/>
        <v>0</v>
      </c>
      <c r="L32" s="75">
        <f t="shared" si="53"/>
        <v>4</v>
      </c>
      <c r="M32" s="110">
        <f>SUM(M21:M31)</f>
        <v>10</v>
      </c>
      <c r="N32" s="132"/>
      <c r="O32" s="93">
        <f t="shared" ref="O32:Z32" si="54">SUM(O21:O31)</f>
        <v>2</v>
      </c>
      <c r="P32" s="94">
        <f t="shared" si="54"/>
        <v>2</v>
      </c>
      <c r="Q32" s="94">
        <f t="shared" si="54"/>
        <v>0</v>
      </c>
      <c r="R32" s="94">
        <f t="shared" si="54"/>
        <v>1</v>
      </c>
      <c r="S32" s="94">
        <f t="shared" si="54"/>
        <v>1</v>
      </c>
      <c r="T32" s="94">
        <f t="shared" si="54"/>
        <v>0</v>
      </c>
      <c r="U32" s="94">
        <f t="shared" si="54"/>
        <v>0</v>
      </c>
      <c r="V32" s="94">
        <f t="shared" si="54"/>
        <v>0</v>
      </c>
      <c r="W32" s="94">
        <f t="shared" si="54"/>
        <v>0</v>
      </c>
      <c r="X32" s="94">
        <f t="shared" si="54"/>
        <v>0</v>
      </c>
      <c r="Y32" s="94">
        <f t="shared" si="54"/>
        <v>8</v>
      </c>
      <c r="Z32" s="94">
        <f t="shared" si="54"/>
        <v>0</v>
      </c>
      <c r="AA32" s="94">
        <f t="shared" ref="AA32:AF32" si="55">SUM(AA21:AA31)</f>
        <v>0</v>
      </c>
      <c r="AB32" s="94">
        <f t="shared" si="55"/>
        <v>5</v>
      </c>
      <c r="AC32" s="94">
        <f t="shared" si="55"/>
        <v>6</v>
      </c>
      <c r="AD32" s="94">
        <f t="shared" si="55"/>
        <v>0</v>
      </c>
      <c r="AE32" s="94">
        <f t="shared" si="55"/>
        <v>1</v>
      </c>
      <c r="AF32" s="94">
        <f t="shared" si="55"/>
        <v>6</v>
      </c>
      <c r="AG32" s="94">
        <f t="shared" ref="AG32:AP32" si="56">SUM(AG21:AG31)</f>
        <v>0</v>
      </c>
      <c r="AH32" s="94">
        <f t="shared" si="56"/>
        <v>0</v>
      </c>
      <c r="AI32" s="94">
        <f t="shared" si="56"/>
        <v>0</v>
      </c>
      <c r="AJ32" s="94">
        <f t="shared" si="56"/>
        <v>0</v>
      </c>
      <c r="AK32" s="94">
        <f t="shared" si="56"/>
        <v>0</v>
      </c>
      <c r="AL32" s="94">
        <f t="shared" si="56"/>
        <v>0</v>
      </c>
      <c r="AM32" s="94">
        <f t="shared" si="56"/>
        <v>0</v>
      </c>
      <c r="AN32" s="94">
        <f t="shared" si="56"/>
        <v>0</v>
      </c>
      <c r="AO32" s="94">
        <f t="shared" si="56"/>
        <v>0</v>
      </c>
      <c r="AP32" s="156">
        <f t="shared" si="56"/>
        <v>0</v>
      </c>
      <c r="AQ32" s="163"/>
      <c r="AR32" s="94">
        <f t="shared" ref="AR32:BF32" si="57">SUM(AR21:AR31)</f>
        <v>0</v>
      </c>
      <c r="AS32" s="94">
        <f t="shared" si="57"/>
        <v>0</v>
      </c>
      <c r="AT32" s="94">
        <f t="shared" si="57"/>
        <v>0</v>
      </c>
      <c r="AU32" s="94">
        <f t="shared" si="57"/>
        <v>2</v>
      </c>
      <c r="AV32" s="94">
        <f t="shared" si="57"/>
        <v>0</v>
      </c>
      <c r="AW32" s="94">
        <f t="shared" si="57"/>
        <v>0</v>
      </c>
      <c r="AX32" s="94">
        <f t="shared" si="57"/>
        <v>1</v>
      </c>
      <c r="AY32" s="94">
        <f t="shared" si="57"/>
        <v>0</v>
      </c>
      <c r="AZ32" s="94">
        <f t="shared" si="57"/>
        <v>5</v>
      </c>
      <c r="BA32" s="94">
        <f t="shared" si="57"/>
        <v>10</v>
      </c>
      <c r="BB32" s="94">
        <f t="shared" si="57"/>
        <v>3</v>
      </c>
      <c r="BC32" s="94">
        <f t="shared" si="57"/>
        <v>2</v>
      </c>
      <c r="BD32" s="94">
        <f t="shared" si="57"/>
        <v>0</v>
      </c>
      <c r="BE32" s="94">
        <f t="shared" si="57"/>
        <v>2</v>
      </c>
      <c r="BF32" s="94">
        <f t="shared" si="57"/>
        <v>0</v>
      </c>
      <c r="BG32" s="94">
        <f t="shared" ref="BG32:BV32" si="58">SUM(BG21:BG31)</f>
        <v>2</v>
      </c>
      <c r="BH32" s="94">
        <f t="shared" si="58"/>
        <v>2</v>
      </c>
      <c r="BI32" s="94">
        <f t="shared" si="58"/>
        <v>0</v>
      </c>
      <c r="BJ32" s="94">
        <f t="shared" si="58"/>
        <v>0</v>
      </c>
      <c r="BK32" s="94">
        <f t="shared" si="58"/>
        <v>0</v>
      </c>
      <c r="BL32" s="94">
        <f t="shared" si="58"/>
        <v>0</v>
      </c>
      <c r="BM32" s="94">
        <f t="shared" si="58"/>
        <v>0</v>
      </c>
      <c r="BN32" s="94">
        <f t="shared" si="58"/>
        <v>0</v>
      </c>
      <c r="BO32" s="94">
        <f t="shared" si="58"/>
        <v>7</v>
      </c>
      <c r="BP32" s="94">
        <f t="shared" si="58"/>
        <v>3</v>
      </c>
      <c r="BQ32" s="94">
        <f t="shared" si="58"/>
        <v>3</v>
      </c>
      <c r="BR32" s="94">
        <f t="shared" si="58"/>
        <v>0</v>
      </c>
      <c r="BS32" s="94">
        <f t="shared" si="58"/>
        <v>2</v>
      </c>
      <c r="BT32" s="94">
        <f t="shared" si="58"/>
        <v>0</v>
      </c>
      <c r="BU32" s="94">
        <f t="shared" si="58"/>
        <v>0</v>
      </c>
      <c r="BV32" s="94">
        <f t="shared" si="58"/>
        <v>0</v>
      </c>
      <c r="BW32" s="163"/>
      <c r="BX32" s="94">
        <f t="shared" ref="BX32:CF32" si="59">SUM(BX21:BX31)</f>
        <v>5</v>
      </c>
      <c r="BY32" s="94">
        <f t="shared" si="59"/>
        <v>4</v>
      </c>
      <c r="BZ32" s="94">
        <f t="shared" si="59"/>
        <v>0</v>
      </c>
      <c r="CA32" s="94">
        <f t="shared" si="59"/>
        <v>1</v>
      </c>
      <c r="CB32" s="94">
        <f t="shared" si="59"/>
        <v>2</v>
      </c>
      <c r="CC32" s="94">
        <f t="shared" si="59"/>
        <v>0</v>
      </c>
      <c r="CD32" s="94">
        <f t="shared" si="59"/>
        <v>2</v>
      </c>
      <c r="CE32" s="94">
        <f t="shared" si="59"/>
        <v>0</v>
      </c>
      <c r="CF32" s="94">
        <f t="shared" si="59"/>
        <v>0</v>
      </c>
      <c r="CG32" s="94">
        <f>SUM(CG21:CG31)</f>
        <v>0</v>
      </c>
      <c r="CH32" s="94">
        <f t="shared" ref="CH32:CZ32" si="60">SUM(CH21:CH31)</f>
        <v>0</v>
      </c>
      <c r="CI32" s="256">
        <f t="shared" si="60"/>
        <v>7.5</v>
      </c>
      <c r="CJ32" s="94">
        <f t="shared" si="60"/>
        <v>2</v>
      </c>
      <c r="CK32" s="94">
        <f t="shared" si="60"/>
        <v>0</v>
      </c>
      <c r="CL32" s="94">
        <f t="shared" si="60"/>
        <v>2</v>
      </c>
      <c r="CM32" s="94">
        <f t="shared" si="60"/>
        <v>0</v>
      </c>
      <c r="CN32" s="94">
        <f t="shared" si="60"/>
        <v>0</v>
      </c>
      <c r="CO32" s="94">
        <f t="shared" si="60"/>
        <v>9</v>
      </c>
      <c r="CP32" s="94">
        <f t="shared" si="60"/>
        <v>3</v>
      </c>
      <c r="CQ32" s="94">
        <f t="shared" si="60"/>
        <v>5</v>
      </c>
      <c r="CR32" s="94">
        <f t="shared" si="60"/>
        <v>1</v>
      </c>
      <c r="CS32" s="94">
        <f t="shared" si="60"/>
        <v>1</v>
      </c>
      <c r="CT32" s="94">
        <f t="shared" si="60"/>
        <v>0</v>
      </c>
      <c r="CU32" s="94">
        <f t="shared" si="60"/>
        <v>0</v>
      </c>
      <c r="CV32" s="94">
        <f t="shared" si="60"/>
        <v>0</v>
      </c>
      <c r="CW32" s="94">
        <f t="shared" si="60"/>
        <v>5</v>
      </c>
      <c r="CX32" s="94">
        <f t="shared" si="60"/>
        <v>3</v>
      </c>
      <c r="CY32" s="94">
        <f t="shared" si="60"/>
        <v>0</v>
      </c>
      <c r="CZ32" s="256">
        <f t="shared" si="60"/>
        <v>1.5</v>
      </c>
      <c r="DA32" s="156">
        <f t="shared" ref="DA32:DE32" si="61">SUM(DA21:DA31)</f>
        <v>3</v>
      </c>
      <c r="DB32" s="336">
        <f t="shared" si="61"/>
        <v>0</v>
      </c>
      <c r="DC32" s="153">
        <f t="shared" si="61"/>
        <v>1</v>
      </c>
      <c r="DD32" s="153">
        <f t="shared" si="61"/>
        <v>7</v>
      </c>
      <c r="DE32" s="18">
        <f t="shared" si="61"/>
        <v>0</v>
      </c>
      <c r="DF32" s="18">
        <f t="shared" ref="DF32:DG32" si="62">SUM(DF21:DF31)</f>
        <v>0</v>
      </c>
      <c r="DG32" s="18">
        <f t="shared" si="62"/>
        <v>8</v>
      </c>
      <c r="DH32" s="18">
        <f>SUM(DH21:DH31)</f>
        <v>5</v>
      </c>
      <c r="DI32" s="18">
        <f t="shared" ref="DI32:DJ32" si="63">SUM(DI21:DI31)</f>
        <v>0</v>
      </c>
      <c r="DJ32" s="18">
        <f t="shared" si="63"/>
        <v>9</v>
      </c>
      <c r="DK32" s="18">
        <f t="shared" ref="DK32:DQ32" si="64">SUM(DK21:DK31)</f>
        <v>5</v>
      </c>
      <c r="DL32" s="18">
        <f t="shared" si="64"/>
        <v>6</v>
      </c>
      <c r="DM32" s="18">
        <f t="shared" si="64"/>
        <v>4</v>
      </c>
      <c r="DN32" s="18">
        <f t="shared" si="64"/>
        <v>1</v>
      </c>
      <c r="DO32" s="18">
        <f t="shared" si="64"/>
        <v>1</v>
      </c>
      <c r="DP32" s="18">
        <f t="shared" si="64"/>
        <v>0</v>
      </c>
      <c r="DQ32" s="18">
        <f t="shared" si="64"/>
        <v>0</v>
      </c>
      <c r="DR32" s="18">
        <f t="shared" ref="DR32:DS32" si="65">SUM(DR21:DR31)</f>
        <v>1</v>
      </c>
      <c r="DS32" s="18">
        <f t="shared" si="65"/>
        <v>0</v>
      </c>
      <c r="DT32" s="18">
        <f t="shared" ref="DT32:DU32" si="66">SUM(DT21:DT31)</f>
        <v>0</v>
      </c>
      <c r="DU32" s="18">
        <f t="shared" si="66"/>
        <v>3</v>
      </c>
      <c r="DV32" s="18">
        <f t="shared" ref="DV32" si="67">SUM(DV21:DV31)</f>
        <v>0</v>
      </c>
      <c r="DW32" s="18">
        <f t="shared" ref="DW32:DX32" si="68">SUM(DW21:DW31)</f>
        <v>0</v>
      </c>
      <c r="DX32" s="18">
        <f t="shared" si="68"/>
        <v>0</v>
      </c>
      <c r="DY32" s="18">
        <f t="shared" ref="DY32:DZ32" si="69">SUM(DY21:DY31)</f>
        <v>0</v>
      </c>
      <c r="DZ32" s="18">
        <f t="shared" si="69"/>
        <v>0</v>
      </c>
      <c r="EA32" s="18">
        <f t="shared" ref="EA32:EF32" si="70">SUM(EA21:EA31)</f>
        <v>0</v>
      </c>
      <c r="EB32" s="18">
        <f t="shared" si="70"/>
        <v>0</v>
      </c>
      <c r="EC32" s="18">
        <f t="shared" si="70"/>
        <v>0</v>
      </c>
      <c r="ED32" s="18">
        <f t="shared" si="70"/>
        <v>0</v>
      </c>
      <c r="EE32" s="18">
        <f t="shared" si="70"/>
        <v>0</v>
      </c>
      <c r="EF32" s="349">
        <f t="shared" si="70"/>
        <v>0</v>
      </c>
      <c r="EG32" s="74">
        <f t="shared" ref="EG32:EH32" si="71">SUM(EG21:EG31)</f>
        <v>0</v>
      </c>
      <c r="EH32" s="18">
        <f t="shared" si="71"/>
        <v>0</v>
      </c>
      <c r="EI32" s="18">
        <f t="shared" ref="EI32:EJ32" si="72">SUM(EI21:EI31)</f>
        <v>0</v>
      </c>
      <c r="EJ32" s="18">
        <f t="shared" si="72"/>
        <v>0</v>
      </c>
      <c r="EK32" s="18">
        <f t="shared" ref="EK32:EL32" si="73">SUM(EK21:EK31)</f>
        <v>0</v>
      </c>
      <c r="EL32" s="18">
        <f t="shared" si="73"/>
        <v>0</v>
      </c>
      <c r="EM32" s="18">
        <f t="shared" ref="EM32:EN32" si="74">SUM(EM21:EM31)</f>
        <v>0</v>
      </c>
      <c r="EN32" s="18">
        <f t="shared" si="74"/>
        <v>2</v>
      </c>
      <c r="EO32" s="18">
        <f t="shared" ref="EO32:EQ32" si="75">SUM(EO21:EO31)</f>
        <v>0</v>
      </c>
      <c r="EP32" s="18">
        <f t="shared" si="75"/>
        <v>0</v>
      </c>
      <c r="EQ32" s="18">
        <f t="shared" si="75"/>
        <v>0</v>
      </c>
      <c r="ER32" s="18">
        <f t="shared" ref="ER32:EU32" si="76">SUM(ER21:ER31)</f>
        <v>0</v>
      </c>
      <c r="ES32" s="18">
        <f t="shared" si="76"/>
        <v>0</v>
      </c>
      <c r="ET32" s="18">
        <f t="shared" si="76"/>
        <v>1</v>
      </c>
      <c r="EU32" s="18">
        <f t="shared" si="76"/>
        <v>0</v>
      </c>
      <c r="EV32" s="18">
        <f t="shared" ref="EV32:EW32" si="77">SUM(EV21:EV31)</f>
        <v>0</v>
      </c>
      <c r="EW32" s="18">
        <f t="shared" si="77"/>
        <v>0</v>
      </c>
      <c r="EX32" s="18">
        <f t="shared" ref="EX32:EY32" si="78">SUM(EX21:EX31)</f>
        <v>0</v>
      </c>
      <c r="EY32" s="18">
        <f t="shared" si="78"/>
        <v>0</v>
      </c>
      <c r="EZ32" s="18">
        <f t="shared" ref="EZ32:FA32" si="79">SUM(EZ21:EZ31)</f>
        <v>0</v>
      </c>
      <c r="FA32" s="18">
        <f t="shared" si="79"/>
        <v>0</v>
      </c>
      <c r="FB32" s="18">
        <f t="shared" ref="FB32:FC32" si="80">SUM(FB21:FB31)</f>
        <v>0</v>
      </c>
      <c r="FC32" s="18">
        <f t="shared" si="80"/>
        <v>0</v>
      </c>
      <c r="FD32" s="18">
        <f t="shared" ref="FD32:FG32" si="81">SUM(FD21:FD31)</f>
        <v>0</v>
      </c>
      <c r="FE32" s="18">
        <f t="shared" si="81"/>
        <v>0</v>
      </c>
      <c r="FF32" s="18">
        <f t="shared" si="81"/>
        <v>0</v>
      </c>
      <c r="FG32" s="18">
        <f t="shared" si="81"/>
        <v>0</v>
      </c>
      <c r="FH32" s="18">
        <f t="shared" ref="FH32:FJ32" si="82">SUM(FH21:FH31)</f>
        <v>0</v>
      </c>
      <c r="FI32" s="18">
        <f t="shared" si="82"/>
        <v>0</v>
      </c>
      <c r="FJ32" s="349">
        <f t="shared" si="82"/>
        <v>0</v>
      </c>
      <c r="FK32" s="74">
        <f t="shared" ref="FK32:FL32" si="83">SUM(FK21:FK31)</f>
        <v>0</v>
      </c>
      <c r="FL32" s="18">
        <f t="shared" si="83"/>
        <v>0</v>
      </c>
      <c r="FM32" s="18">
        <f t="shared" ref="FM32:FN32" si="84">SUM(FM21:FM31)</f>
        <v>0</v>
      </c>
      <c r="FN32" s="18">
        <f t="shared" si="84"/>
        <v>0</v>
      </c>
      <c r="FO32" s="18">
        <f t="shared" ref="FO32:FP32" si="85">SUM(FO21:FO31)</f>
        <v>0</v>
      </c>
      <c r="FP32" s="18">
        <f t="shared" si="85"/>
        <v>0</v>
      </c>
      <c r="FQ32" s="18">
        <f t="shared" ref="FQ32:FR32" si="86">SUM(FQ21:FQ31)</f>
        <v>0</v>
      </c>
      <c r="FR32" s="18">
        <f t="shared" si="86"/>
        <v>0</v>
      </c>
      <c r="FS32" s="18">
        <f t="shared" ref="FS32:FU32" si="87">SUM(FS21:FS31)</f>
        <v>0</v>
      </c>
      <c r="FT32" s="18">
        <f t="shared" si="87"/>
        <v>0</v>
      </c>
      <c r="FU32" s="18">
        <f t="shared" si="87"/>
        <v>0</v>
      </c>
      <c r="FV32" s="18">
        <f t="shared" ref="FV32:FW32" si="88">SUM(FV21:FV31)</f>
        <v>0</v>
      </c>
      <c r="FW32" s="18">
        <f t="shared" si="88"/>
        <v>0</v>
      </c>
      <c r="FX32" s="18">
        <f t="shared" ref="FX32:FY32" si="89">SUM(FX21:FX31)</f>
        <v>0</v>
      </c>
      <c r="FY32" s="18">
        <f t="shared" si="89"/>
        <v>0</v>
      </c>
      <c r="FZ32" s="18">
        <f t="shared" ref="FZ32:GA32" si="90">SUM(FZ21:FZ31)</f>
        <v>0</v>
      </c>
      <c r="GA32" s="18">
        <f t="shared" si="90"/>
        <v>0</v>
      </c>
      <c r="GB32" s="18">
        <f t="shared" ref="GB32:GE32" si="91">SUM(GB21:GB31)</f>
        <v>0</v>
      </c>
      <c r="GC32" s="18">
        <f t="shared" si="91"/>
        <v>0</v>
      </c>
      <c r="GD32" s="18">
        <f t="shared" si="91"/>
        <v>0</v>
      </c>
      <c r="GE32" s="18">
        <f t="shared" si="91"/>
        <v>0</v>
      </c>
      <c r="GF32" s="18">
        <f t="shared" ref="GF32:GH32" si="92">SUM(GF21:GF31)</f>
        <v>0</v>
      </c>
      <c r="GG32" s="18">
        <f t="shared" si="92"/>
        <v>0</v>
      </c>
      <c r="GH32" s="18">
        <f t="shared" si="92"/>
        <v>0</v>
      </c>
      <c r="GI32" s="18">
        <f t="shared" ref="GI32:GK32" si="93">SUM(GI21:GI31)</f>
        <v>5</v>
      </c>
      <c r="GJ32" s="18">
        <f t="shared" si="93"/>
        <v>0</v>
      </c>
      <c r="GK32" s="18">
        <f t="shared" si="93"/>
        <v>0</v>
      </c>
      <c r="GL32" s="18">
        <f t="shared" ref="GL32:GM32" si="94">SUM(GL21:GL31)</f>
        <v>0</v>
      </c>
      <c r="GM32" s="18">
        <f t="shared" si="94"/>
        <v>3</v>
      </c>
      <c r="GN32" s="18">
        <f t="shared" ref="GN32:GP32" si="95">SUM(GN21:GN31)</f>
        <v>0</v>
      </c>
      <c r="GO32" s="349">
        <f t="shared" si="95"/>
        <v>0</v>
      </c>
      <c r="GP32" s="74">
        <f t="shared" si="95"/>
        <v>0</v>
      </c>
      <c r="GQ32" s="18">
        <f t="shared" ref="GQ32:GR32" si="96">SUM(GQ21:GQ31)</f>
        <v>0</v>
      </c>
      <c r="GR32" s="18">
        <f t="shared" si="96"/>
        <v>0</v>
      </c>
      <c r="GS32" s="18">
        <f t="shared" ref="GS32:GT32" si="97">SUM(GS21:GS31)</f>
        <v>0</v>
      </c>
      <c r="GT32" s="18">
        <f t="shared" si="97"/>
        <v>0</v>
      </c>
      <c r="GU32" s="18">
        <f t="shared" ref="GU32:GW32" si="98">SUM(GU21:GU31)</f>
        <v>0</v>
      </c>
      <c r="GV32" s="18">
        <f t="shared" si="98"/>
        <v>0</v>
      </c>
      <c r="GW32" s="18">
        <f t="shared" si="98"/>
        <v>0</v>
      </c>
      <c r="GX32" s="18">
        <f t="shared" ref="GX32:GY32" si="99">SUM(GX21:GX31)</f>
        <v>0</v>
      </c>
      <c r="GY32" s="18">
        <f t="shared" si="99"/>
        <v>0</v>
      </c>
      <c r="GZ32" s="18">
        <f t="shared" ref="GZ32:HA32" si="100">SUM(GZ21:GZ31)</f>
        <v>0</v>
      </c>
      <c r="HA32" s="18">
        <f t="shared" si="100"/>
        <v>0</v>
      </c>
      <c r="HB32" s="18">
        <f t="shared" ref="HB32:HD32" si="101">SUM(HB21:HB31)</f>
        <v>0</v>
      </c>
      <c r="HC32" s="18">
        <f t="shared" si="101"/>
        <v>0</v>
      </c>
      <c r="HD32" s="18">
        <f t="shared" si="101"/>
        <v>0</v>
      </c>
      <c r="HE32" s="18">
        <f t="shared" ref="HE32:HF32" si="102">SUM(HE21:HE31)</f>
        <v>0</v>
      </c>
      <c r="HF32" s="18">
        <f t="shared" si="102"/>
        <v>0</v>
      </c>
      <c r="HG32" s="18">
        <f t="shared" ref="HG32:HH32" si="103">SUM(HG21:HG31)</f>
        <v>0</v>
      </c>
      <c r="HH32" s="18">
        <f t="shared" si="103"/>
        <v>0</v>
      </c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75"/>
      <c r="HU32" s="422">
        <f>SUM(HU21:HU31)</f>
        <v>195</v>
      </c>
    </row>
    <row r="33" spans="1:229" ht="15.75" thickBot="1" x14ac:dyDescent="0.3">
      <c r="A33" s="97"/>
      <c r="B33" s="98"/>
      <c r="C33" s="99"/>
      <c r="D33" s="98"/>
      <c r="E33" s="98"/>
      <c r="F33" s="98"/>
      <c r="G33" s="98"/>
      <c r="H33" s="98"/>
      <c r="I33" s="98"/>
      <c r="J33" s="98"/>
      <c r="K33" s="98"/>
      <c r="L33" s="98"/>
      <c r="M33" s="108"/>
      <c r="N33" s="131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164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164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335"/>
      <c r="DC33" s="334"/>
      <c r="DD33" s="334"/>
      <c r="DE33" s="334"/>
      <c r="DF33" s="334"/>
      <c r="DG33" s="334"/>
      <c r="DH33" s="334"/>
      <c r="DI33" s="334"/>
      <c r="DJ33" s="334"/>
      <c r="DK33" s="334"/>
      <c r="DL33" s="334"/>
      <c r="DM33" s="334"/>
      <c r="DN33" s="334"/>
      <c r="DO33" s="334"/>
      <c r="DP33" s="334"/>
      <c r="DQ33" s="334"/>
      <c r="DR33" s="334"/>
      <c r="DS33" s="334"/>
      <c r="DT33" s="334"/>
      <c r="DU33" s="334"/>
      <c r="DV33" s="334"/>
      <c r="DW33" s="334"/>
      <c r="DX33" s="334"/>
      <c r="DY33" s="334"/>
      <c r="DZ33" s="334"/>
      <c r="EA33" s="334"/>
      <c r="EB33" s="334"/>
      <c r="EC33" s="334"/>
      <c r="ED33" s="334"/>
      <c r="EE33" s="334"/>
      <c r="EF33" s="334"/>
      <c r="EG33" s="315"/>
      <c r="EH33" s="316"/>
      <c r="EI33" s="316"/>
      <c r="EJ33" s="316"/>
      <c r="EK33" s="316"/>
      <c r="EL33" s="316"/>
      <c r="EM33" s="316"/>
      <c r="EN33" s="316"/>
      <c r="EO33" s="316"/>
      <c r="EP33" s="316"/>
      <c r="EQ33" s="316"/>
      <c r="ER33" s="316"/>
      <c r="ES33" s="316"/>
      <c r="ET33" s="316"/>
      <c r="EU33" s="316"/>
      <c r="EV33" s="316"/>
      <c r="EW33" s="316"/>
      <c r="EX33" s="316"/>
      <c r="EY33" s="316"/>
      <c r="EZ33" s="316"/>
      <c r="FA33" s="316"/>
      <c r="FB33" s="316"/>
      <c r="FC33" s="316"/>
      <c r="FD33" s="316"/>
      <c r="FE33" s="316"/>
      <c r="FF33" s="316"/>
      <c r="FG33" s="316"/>
      <c r="FH33" s="316"/>
      <c r="FI33" s="316"/>
      <c r="FJ33" s="316"/>
      <c r="FK33" s="315"/>
      <c r="FL33" s="316"/>
      <c r="FM33" s="316"/>
      <c r="FN33" s="316"/>
      <c r="FO33" s="316"/>
      <c r="FP33" s="316"/>
      <c r="FQ33" s="316"/>
      <c r="FR33" s="316"/>
      <c r="FS33" s="316"/>
      <c r="FT33" s="316"/>
      <c r="FU33" s="316"/>
      <c r="FV33" s="316"/>
      <c r="FW33" s="316"/>
      <c r="FX33" s="316"/>
      <c r="FY33" s="316"/>
      <c r="FZ33" s="316"/>
      <c r="GA33" s="316"/>
      <c r="GB33" s="316"/>
      <c r="GC33" s="316"/>
      <c r="GD33" s="316"/>
      <c r="GE33" s="316"/>
      <c r="GF33" s="316"/>
      <c r="GG33" s="316"/>
      <c r="GH33" s="316"/>
      <c r="GI33" s="316"/>
      <c r="GJ33" s="316"/>
      <c r="GK33" s="316"/>
      <c r="GL33" s="316"/>
      <c r="GM33" s="316"/>
      <c r="GN33" s="316"/>
      <c r="GO33" s="316"/>
      <c r="GP33" s="315"/>
      <c r="GQ33" s="316"/>
      <c r="GR33" s="316"/>
      <c r="GS33" s="316"/>
      <c r="GT33" s="316"/>
      <c r="GU33" s="316"/>
      <c r="GV33" s="316"/>
      <c r="GW33" s="316"/>
      <c r="GX33" s="316"/>
      <c r="GY33" s="316"/>
      <c r="GZ33" s="316"/>
      <c r="HA33" s="316"/>
      <c r="HB33" s="316"/>
      <c r="HC33" s="316"/>
      <c r="HD33" s="316"/>
      <c r="HE33" s="316"/>
      <c r="HF33" s="316"/>
      <c r="HG33" s="316"/>
      <c r="HH33" s="316"/>
      <c r="HI33" s="316"/>
      <c r="HJ33" s="316"/>
      <c r="HK33" s="316"/>
      <c r="HL33" s="316"/>
      <c r="HM33" s="316"/>
      <c r="HN33" s="316"/>
      <c r="HO33" s="316"/>
      <c r="HP33" s="316"/>
      <c r="HQ33" s="316"/>
      <c r="HR33" s="316"/>
      <c r="HS33" s="316"/>
      <c r="HT33" s="318"/>
      <c r="HU33" s="412"/>
    </row>
    <row r="34" spans="1:229" x14ac:dyDescent="0.25">
      <c r="A34" s="32">
        <v>1</v>
      </c>
      <c r="B34" s="481" t="s">
        <v>78</v>
      </c>
      <c r="C34" s="25" t="s">
        <v>1</v>
      </c>
      <c r="D34" s="32" t="s">
        <v>17</v>
      </c>
      <c r="E34" s="71"/>
      <c r="F34" s="33"/>
      <c r="G34" s="33"/>
      <c r="H34" s="33"/>
      <c r="I34" s="33"/>
      <c r="J34" s="33"/>
      <c r="K34" s="33"/>
      <c r="L34" s="380"/>
      <c r="M34" s="381">
        <f t="shared" ref="M34:M44" si="104">SUM(E34:L34)</f>
        <v>0</v>
      </c>
      <c r="N34" s="382"/>
      <c r="O34" s="71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157"/>
      <c r="AQ34" s="165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>
        <v>0</v>
      </c>
      <c r="BW34" s="165"/>
      <c r="BX34" s="37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37">
        <v>0</v>
      </c>
      <c r="CE34" s="37">
        <v>0</v>
      </c>
      <c r="CF34" s="37">
        <v>0</v>
      </c>
      <c r="CG34" s="37">
        <v>0</v>
      </c>
      <c r="CH34" s="37">
        <v>0</v>
      </c>
      <c r="CI34" s="37">
        <v>0</v>
      </c>
      <c r="CJ34" s="37">
        <v>0</v>
      </c>
      <c r="CK34" s="37">
        <v>0</v>
      </c>
      <c r="CL34" s="37">
        <v>0</v>
      </c>
      <c r="CM34" s="37">
        <v>0</v>
      </c>
      <c r="CN34" s="37">
        <v>0</v>
      </c>
      <c r="CO34" s="37">
        <v>0</v>
      </c>
      <c r="CP34" s="37">
        <v>0</v>
      </c>
      <c r="CQ34" s="37">
        <v>0</v>
      </c>
      <c r="CR34" s="37">
        <v>0</v>
      </c>
      <c r="CS34" s="37">
        <v>0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267">
        <v>0</v>
      </c>
      <c r="CZ34" s="37">
        <v>0</v>
      </c>
      <c r="DA34" s="268">
        <v>0</v>
      </c>
      <c r="DB34" s="279">
        <v>0</v>
      </c>
      <c r="DC34" s="267">
        <v>0</v>
      </c>
      <c r="DD34" s="37">
        <v>0</v>
      </c>
      <c r="DE34" s="267">
        <v>0</v>
      </c>
      <c r="DF34" s="267">
        <v>0</v>
      </c>
      <c r="DG34" s="267">
        <v>0</v>
      </c>
      <c r="DH34" s="267">
        <v>0</v>
      </c>
      <c r="DI34" s="267">
        <v>0</v>
      </c>
      <c r="DJ34" s="267">
        <v>0</v>
      </c>
      <c r="DK34" s="267">
        <v>0</v>
      </c>
      <c r="DL34" s="267">
        <v>0</v>
      </c>
      <c r="DM34" s="267">
        <v>0</v>
      </c>
      <c r="DN34" s="267">
        <v>0</v>
      </c>
      <c r="DO34" s="267">
        <v>0</v>
      </c>
      <c r="DP34" s="267">
        <v>0</v>
      </c>
      <c r="DQ34" s="267">
        <v>0</v>
      </c>
      <c r="DR34" s="267">
        <v>0</v>
      </c>
      <c r="DS34" s="267">
        <v>0</v>
      </c>
      <c r="DT34" s="267">
        <v>0</v>
      </c>
      <c r="DU34" s="267">
        <v>0</v>
      </c>
      <c r="DV34" s="267">
        <v>0</v>
      </c>
      <c r="DW34" s="267">
        <v>0</v>
      </c>
      <c r="DX34" s="267">
        <v>0</v>
      </c>
      <c r="DY34" s="267">
        <v>0</v>
      </c>
      <c r="DZ34" s="267">
        <v>0</v>
      </c>
      <c r="EA34" s="267">
        <v>0</v>
      </c>
      <c r="EB34" s="267">
        <v>0</v>
      </c>
      <c r="EC34" s="267">
        <v>0</v>
      </c>
      <c r="ED34" s="267">
        <v>0</v>
      </c>
      <c r="EE34" s="267">
        <v>0</v>
      </c>
      <c r="EF34" s="367">
        <v>0</v>
      </c>
      <c r="EG34" s="279">
        <v>0</v>
      </c>
      <c r="EH34" s="267">
        <v>0</v>
      </c>
      <c r="EI34" s="267">
        <v>0</v>
      </c>
      <c r="EJ34" s="267">
        <v>0</v>
      </c>
      <c r="EK34" s="267">
        <v>0</v>
      </c>
      <c r="EL34" s="267">
        <v>0</v>
      </c>
      <c r="EM34" s="267">
        <v>0</v>
      </c>
      <c r="EN34" s="267">
        <v>0</v>
      </c>
      <c r="EO34" s="267">
        <v>1</v>
      </c>
      <c r="EP34" s="267">
        <v>0</v>
      </c>
      <c r="EQ34" s="267">
        <v>0</v>
      </c>
      <c r="ER34" s="267">
        <v>0</v>
      </c>
      <c r="ES34" s="267">
        <v>0</v>
      </c>
      <c r="ET34" s="267">
        <v>0</v>
      </c>
      <c r="EU34" s="267">
        <v>0</v>
      </c>
      <c r="EV34" s="267">
        <v>0</v>
      </c>
      <c r="EW34" s="267">
        <v>0</v>
      </c>
      <c r="EX34" s="267">
        <v>0</v>
      </c>
      <c r="EY34" s="267">
        <v>0</v>
      </c>
      <c r="EZ34" s="267">
        <v>0</v>
      </c>
      <c r="FA34" s="267">
        <v>0</v>
      </c>
      <c r="FB34" s="267">
        <v>0</v>
      </c>
      <c r="FC34" s="267">
        <v>0</v>
      </c>
      <c r="FD34" s="267">
        <v>0</v>
      </c>
      <c r="FE34" s="267">
        <v>0</v>
      </c>
      <c r="FF34" s="267">
        <v>0</v>
      </c>
      <c r="FG34" s="267">
        <v>0</v>
      </c>
      <c r="FH34" s="267">
        <v>0</v>
      </c>
      <c r="FI34" s="267">
        <v>0</v>
      </c>
      <c r="FJ34" s="268">
        <v>0</v>
      </c>
      <c r="FK34" s="279">
        <v>0</v>
      </c>
      <c r="FL34" s="267">
        <v>0</v>
      </c>
      <c r="FM34" s="267">
        <v>0</v>
      </c>
      <c r="FN34" s="267">
        <v>0</v>
      </c>
      <c r="FO34" s="267">
        <v>0</v>
      </c>
      <c r="FP34" s="267">
        <v>0</v>
      </c>
      <c r="FQ34" s="267">
        <v>0</v>
      </c>
      <c r="FR34" s="267">
        <v>0</v>
      </c>
      <c r="FS34" s="267">
        <v>0</v>
      </c>
      <c r="FT34" s="267">
        <v>0</v>
      </c>
      <c r="FU34" s="267">
        <v>0</v>
      </c>
      <c r="FV34" s="267">
        <v>0</v>
      </c>
      <c r="FW34" s="267">
        <v>0</v>
      </c>
      <c r="FX34" s="267">
        <v>0</v>
      </c>
      <c r="FY34" s="267">
        <v>0</v>
      </c>
      <c r="FZ34" s="267">
        <v>0</v>
      </c>
      <c r="GA34" s="267">
        <v>0</v>
      </c>
      <c r="GB34" s="267">
        <v>2</v>
      </c>
      <c r="GC34" s="267">
        <v>0</v>
      </c>
      <c r="GD34" s="267">
        <v>0</v>
      </c>
      <c r="GE34" s="267">
        <v>0</v>
      </c>
      <c r="GF34" s="267">
        <v>0</v>
      </c>
      <c r="GG34" s="267">
        <v>1</v>
      </c>
      <c r="GH34" s="267">
        <v>0</v>
      </c>
      <c r="GI34" s="267">
        <v>0</v>
      </c>
      <c r="GJ34" s="267">
        <v>0</v>
      </c>
      <c r="GK34" s="267">
        <v>0</v>
      </c>
      <c r="GL34" s="267">
        <v>0</v>
      </c>
      <c r="GM34" s="267">
        <v>0</v>
      </c>
      <c r="GN34" s="267">
        <v>0</v>
      </c>
      <c r="GO34" s="268">
        <v>0</v>
      </c>
      <c r="GP34" s="279">
        <v>0</v>
      </c>
      <c r="GQ34" s="267">
        <v>0</v>
      </c>
      <c r="GR34" s="267">
        <v>0</v>
      </c>
      <c r="GS34" s="267">
        <v>0</v>
      </c>
      <c r="GT34" s="267">
        <v>0</v>
      </c>
      <c r="GU34" s="267">
        <v>0</v>
      </c>
      <c r="GV34" s="267">
        <v>0</v>
      </c>
      <c r="GW34" s="267">
        <v>0</v>
      </c>
      <c r="GX34" s="267">
        <v>0</v>
      </c>
      <c r="GY34" s="267">
        <v>0</v>
      </c>
      <c r="GZ34" s="267">
        <v>0</v>
      </c>
      <c r="HA34" s="267">
        <v>0</v>
      </c>
      <c r="HB34" s="267">
        <v>0</v>
      </c>
      <c r="HC34" s="267">
        <v>0</v>
      </c>
      <c r="HD34" s="267">
        <v>0</v>
      </c>
      <c r="HE34" s="267">
        <v>0</v>
      </c>
      <c r="HF34" s="267">
        <v>0</v>
      </c>
      <c r="HG34" s="267">
        <v>0</v>
      </c>
      <c r="HH34" s="267">
        <v>0</v>
      </c>
      <c r="HI34" s="267"/>
      <c r="HJ34" s="267"/>
      <c r="HK34" s="267"/>
      <c r="HL34" s="267"/>
      <c r="HM34" s="267"/>
      <c r="HN34" s="267"/>
      <c r="HO34" s="267"/>
      <c r="HP34" s="267"/>
      <c r="HQ34" s="267"/>
      <c r="HR34" s="267"/>
      <c r="HS34" s="267"/>
      <c r="HT34" s="367"/>
      <c r="HU34" s="55">
        <f>SUM(O34:HT34)</f>
        <v>4</v>
      </c>
    </row>
    <row r="35" spans="1:229" x14ac:dyDescent="0.25">
      <c r="A35" s="2">
        <v>2</v>
      </c>
      <c r="B35" s="474"/>
      <c r="C35" s="23" t="s">
        <v>2</v>
      </c>
      <c r="D35" s="2" t="s">
        <v>17</v>
      </c>
      <c r="E35" s="73"/>
      <c r="F35" s="31"/>
      <c r="G35" s="31"/>
      <c r="H35" s="31"/>
      <c r="I35" s="31"/>
      <c r="J35" s="31"/>
      <c r="K35" s="31"/>
      <c r="L35" s="72"/>
      <c r="M35" s="106">
        <f t="shared" si="104"/>
        <v>0</v>
      </c>
      <c r="N35" s="129"/>
      <c r="O35" s="7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01"/>
      <c r="AQ35" s="162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>
        <v>1</v>
      </c>
      <c r="BW35" s="162"/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265">
        <v>0</v>
      </c>
      <c r="CZ35" s="13">
        <v>0</v>
      </c>
      <c r="DA35" s="269">
        <v>0</v>
      </c>
      <c r="DB35" s="278">
        <v>0</v>
      </c>
      <c r="DC35" s="265">
        <v>0</v>
      </c>
      <c r="DD35" s="13">
        <v>0</v>
      </c>
      <c r="DE35" s="265">
        <v>0</v>
      </c>
      <c r="DF35" s="265">
        <v>0</v>
      </c>
      <c r="DG35" s="265">
        <v>0</v>
      </c>
      <c r="DH35" s="265">
        <v>0</v>
      </c>
      <c r="DI35" s="265">
        <v>0</v>
      </c>
      <c r="DJ35" s="265">
        <v>0</v>
      </c>
      <c r="DK35" s="265">
        <v>0</v>
      </c>
      <c r="DL35" s="265">
        <v>0</v>
      </c>
      <c r="DM35" s="265">
        <v>0</v>
      </c>
      <c r="DN35" s="265">
        <v>0</v>
      </c>
      <c r="DO35" s="265">
        <v>0</v>
      </c>
      <c r="DP35" s="265">
        <v>0</v>
      </c>
      <c r="DQ35" s="265">
        <v>0</v>
      </c>
      <c r="DR35" s="265">
        <v>0</v>
      </c>
      <c r="DS35" s="265">
        <v>0</v>
      </c>
      <c r="DT35" s="265">
        <v>0</v>
      </c>
      <c r="DU35" s="265">
        <v>0</v>
      </c>
      <c r="DV35" s="265">
        <v>0</v>
      </c>
      <c r="DW35" s="265">
        <v>0</v>
      </c>
      <c r="DX35" s="265">
        <v>0</v>
      </c>
      <c r="DY35" s="265">
        <v>0</v>
      </c>
      <c r="DZ35" s="265">
        <v>0</v>
      </c>
      <c r="EA35" s="265">
        <v>0</v>
      </c>
      <c r="EB35" s="265">
        <v>0</v>
      </c>
      <c r="EC35" s="265">
        <v>0</v>
      </c>
      <c r="ED35" s="265">
        <v>0</v>
      </c>
      <c r="EE35" s="265">
        <v>0</v>
      </c>
      <c r="EF35" s="368">
        <v>0</v>
      </c>
      <c r="EG35" s="278">
        <v>0</v>
      </c>
      <c r="EH35" s="265">
        <v>0</v>
      </c>
      <c r="EI35" s="265">
        <v>0</v>
      </c>
      <c r="EJ35" s="265">
        <v>0</v>
      </c>
      <c r="EK35" s="265">
        <v>0</v>
      </c>
      <c r="EL35" s="265">
        <v>0</v>
      </c>
      <c r="EM35" s="265">
        <v>0</v>
      </c>
      <c r="EN35" s="265">
        <v>0</v>
      </c>
      <c r="EO35" s="265">
        <v>0</v>
      </c>
      <c r="EP35" s="265">
        <v>0</v>
      </c>
      <c r="EQ35" s="265">
        <v>0</v>
      </c>
      <c r="ER35" s="265">
        <v>0</v>
      </c>
      <c r="ES35" s="265">
        <v>0</v>
      </c>
      <c r="ET35" s="265">
        <v>0</v>
      </c>
      <c r="EU35" s="265">
        <v>0</v>
      </c>
      <c r="EV35" s="265">
        <v>0</v>
      </c>
      <c r="EW35" s="265">
        <v>0</v>
      </c>
      <c r="EX35" s="265">
        <v>0</v>
      </c>
      <c r="EY35" s="265">
        <v>0</v>
      </c>
      <c r="EZ35" s="265">
        <v>0</v>
      </c>
      <c r="FA35" s="265">
        <v>0</v>
      </c>
      <c r="FB35" s="265">
        <v>0</v>
      </c>
      <c r="FC35" s="265">
        <v>0</v>
      </c>
      <c r="FD35" s="265">
        <v>0</v>
      </c>
      <c r="FE35" s="265">
        <v>0</v>
      </c>
      <c r="FF35" s="265">
        <v>0</v>
      </c>
      <c r="FG35" s="265">
        <v>0</v>
      </c>
      <c r="FH35" s="265">
        <v>0</v>
      </c>
      <c r="FI35" s="265">
        <v>0</v>
      </c>
      <c r="FJ35" s="269">
        <v>0</v>
      </c>
      <c r="FK35" s="278">
        <v>0</v>
      </c>
      <c r="FL35" s="265">
        <v>0</v>
      </c>
      <c r="FM35" s="265">
        <v>0</v>
      </c>
      <c r="FN35" s="265">
        <v>0</v>
      </c>
      <c r="FO35" s="265">
        <v>0</v>
      </c>
      <c r="FP35" s="265">
        <v>0</v>
      </c>
      <c r="FQ35" s="265">
        <v>0</v>
      </c>
      <c r="FR35" s="265">
        <v>0</v>
      </c>
      <c r="FS35" s="265">
        <v>0</v>
      </c>
      <c r="FT35" s="265">
        <v>0</v>
      </c>
      <c r="FU35" s="265">
        <v>0</v>
      </c>
      <c r="FV35" s="265">
        <v>0</v>
      </c>
      <c r="FW35" s="265">
        <v>0</v>
      </c>
      <c r="FX35" s="265">
        <v>0</v>
      </c>
      <c r="FY35" s="265">
        <v>0</v>
      </c>
      <c r="FZ35" s="265">
        <v>0</v>
      </c>
      <c r="GA35" s="265">
        <v>0</v>
      </c>
      <c r="GB35" s="265">
        <v>0</v>
      </c>
      <c r="GC35" s="265">
        <v>0</v>
      </c>
      <c r="GD35" s="265">
        <v>0</v>
      </c>
      <c r="GE35" s="265">
        <v>0</v>
      </c>
      <c r="GF35" s="265">
        <v>0</v>
      </c>
      <c r="GG35" s="265">
        <v>0</v>
      </c>
      <c r="GH35" s="265">
        <v>0</v>
      </c>
      <c r="GI35" s="265">
        <v>0</v>
      </c>
      <c r="GJ35" s="265">
        <v>0</v>
      </c>
      <c r="GK35" s="265">
        <v>0</v>
      </c>
      <c r="GL35" s="265">
        <v>0</v>
      </c>
      <c r="GM35" s="265">
        <v>0</v>
      </c>
      <c r="GN35" s="265">
        <v>0</v>
      </c>
      <c r="GO35" s="269">
        <v>0</v>
      </c>
      <c r="GP35" s="278">
        <v>0</v>
      </c>
      <c r="GQ35" s="265">
        <v>0</v>
      </c>
      <c r="GR35" s="265">
        <v>0</v>
      </c>
      <c r="GS35" s="265">
        <v>0</v>
      </c>
      <c r="GT35" s="265">
        <v>0</v>
      </c>
      <c r="GU35" s="265">
        <v>0</v>
      </c>
      <c r="GV35" s="265">
        <v>0</v>
      </c>
      <c r="GW35" s="265">
        <v>0</v>
      </c>
      <c r="GX35" s="265">
        <v>0</v>
      </c>
      <c r="GY35" s="265">
        <v>0</v>
      </c>
      <c r="GZ35" s="265">
        <v>0</v>
      </c>
      <c r="HA35" s="265">
        <v>0</v>
      </c>
      <c r="HB35" s="265">
        <v>0</v>
      </c>
      <c r="HC35" s="265">
        <v>0</v>
      </c>
      <c r="HD35" s="265">
        <v>0</v>
      </c>
      <c r="HE35" s="265">
        <v>0</v>
      </c>
      <c r="HF35" s="265">
        <v>0</v>
      </c>
      <c r="HG35" s="265">
        <v>0</v>
      </c>
      <c r="HH35" s="265">
        <v>0</v>
      </c>
      <c r="HI35" s="265"/>
      <c r="HJ35" s="265"/>
      <c r="HK35" s="265"/>
      <c r="HL35" s="265"/>
      <c r="HM35" s="265"/>
      <c r="HN35" s="265"/>
      <c r="HO35" s="265"/>
      <c r="HP35" s="265"/>
      <c r="HQ35" s="265"/>
      <c r="HR35" s="265"/>
      <c r="HS35" s="265"/>
      <c r="HT35" s="368"/>
      <c r="HU35" s="55">
        <f t="shared" ref="HU35:HU44" si="105">SUM(O35:HT35)</f>
        <v>1</v>
      </c>
    </row>
    <row r="36" spans="1:229" x14ac:dyDescent="0.25">
      <c r="A36" s="2">
        <v>3</v>
      </c>
      <c r="B36" s="474"/>
      <c r="C36" s="23" t="s">
        <v>3</v>
      </c>
      <c r="D36" s="2" t="s">
        <v>17</v>
      </c>
      <c r="E36" s="73"/>
      <c r="F36" s="31"/>
      <c r="G36" s="31"/>
      <c r="H36" s="31"/>
      <c r="I36" s="31"/>
      <c r="J36" s="31"/>
      <c r="K36" s="31"/>
      <c r="L36" s="72"/>
      <c r="M36" s="106">
        <f t="shared" si="104"/>
        <v>0</v>
      </c>
      <c r="N36" s="129"/>
      <c r="O36" s="7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01"/>
      <c r="AQ36" s="162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>
        <v>0</v>
      </c>
      <c r="BW36" s="162"/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265">
        <v>0</v>
      </c>
      <c r="CZ36" s="13">
        <v>0</v>
      </c>
      <c r="DA36" s="269">
        <v>0</v>
      </c>
      <c r="DB36" s="278">
        <v>0</v>
      </c>
      <c r="DC36" s="265">
        <v>1</v>
      </c>
      <c r="DD36" s="13">
        <v>0</v>
      </c>
      <c r="DE36" s="265">
        <v>0</v>
      </c>
      <c r="DF36" s="265">
        <v>0</v>
      </c>
      <c r="DG36" s="265">
        <v>0</v>
      </c>
      <c r="DH36" s="265">
        <v>0</v>
      </c>
      <c r="DI36" s="265">
        <v>0</v>
      </c>
      <c r="DJ36" s="265">
        <v>0</v>
      </c>
      <c r="DK36" s="265">
        <v>0</v>
      </c>
      <c r="DL36" s="265">
        <v>0</v>
      </c>
      <c r="DM36" s="265">
        <v>0</v>
      </c>
      <c r="DN36" s="265">
        <v>0</v>
      </c>
      <c r="DO36" s="265">
        <v>0</v>
      </c>
      <c r="DP36" s="265">
        <v>0</v>
      </c>
      <c r="DQ36" s="265">
        <v>0</v>
      </c>
      <c r="DR36" s="265">
        <v>0</v>
      </c>
      <c r="DS36" s="265">
        <v>0</v>
      </c>
      <c r="DT36" s="265">
        <v>0</v>
      </c>
      <c r="DU36" s="265">
        <v>0</v>
      </c>
      <c r="DV36" s="265">
        <v>0</v>
      </c>
      <c r="DW36" s="265">
        <v>0</v>
      </c>
      <c r="DX36" s="265">
        <v>0</v>
      </c>
      <c r="DY36" s="265">
        <v>0</v>
      </c>
      <c r="DZ36" s="265">
        <v>0</v>
      </c>
      <c r="EA36" s="265">
        <v>0</v>
      </c>
      <c r="EB36" s="265">
        <v>0</v>
      </c>
      <c r="EC36" s="265">
        <v>0</v>
      </c>
      <c r="ED36" s="265">
        <v>0</v>
      </c>
      <c r="EE36" s="265">
        <v>0</v>
      </c>
      <c r="EF36" s="368">
        <v>0</v>
      </c>
      <c r="EG36" s="278">
        <v>0</v>
      </c>
      <c r="EH36" s="265">
        <v>0</v>
      </c>
      <c r="EI36" s="265">
        <v>0</v>
      </c>
      <c r="EJ36" s="265">
        <v>0</v>
      </c>
      <c r="EK36" s="265">
        <v>0</v>
      </c>
      <c r="EL36" s="265">
        <v>0</v>
      </c>
      <c r="EM36" s="265">
        <v>0</v>
      </c>
      <c r="EN36" s="265">
        <v>0</v>
      </c>
      <c r="EO36" s="265">
        <v>0</v>
      </c>
      <c r="EP36" s="265">
        <v>0</v>
      </c>
      <c r="EQ36" s="265">
        <v>0</v>
      </c>
      <c r="ER36" s="265">
        <v>0</v>
      </c>
      <c r="ES36" s="265">
        <v>0</v>
      </c>
      <c r="ET36" s="265">
        <v>0</v>
      </c>
      <c r="EU36" s="265">
        <v>0</v>
      </c>
      <c r="EV36" s="265">
        <v>0</v>
      </c>
      <c r="EW36" s="265">
        <v>0</v>
      </c>
      <c r="EX36" s="265">
        <v>0</v>
      </c>
      <c r="EY36" s="265">
        <v>0</v>
      </c>
      <c r="EZ36" s="265">
        <v>0</v>
      </c>
      <c r="FA36" s="265">
        <v>0</v>
      </c>
      <c r="FB36" s="265">
        <v>0</v>
      </c>
      <c r="FC36" s="265">
        <v>0</v>
      </c>
      <c r="FD36" s="265">
        <v>0</v>
      </c>
      <c r="FE36" s="265">
        <v>0</v>
      </c>
      <c r="FF36" s="265">
        <v>0</v>
      </c>
      <c r="FG36" s="265">
        <v>0</v>
      </c>
      <c r="FH36" s="265">
        <v>0</v>
      </c>
      <c r="FI36" s="265">
        <v>0</v>
      </c>
      <c r="FJ36" s="269">
        <v>0</v>
      </c>
      <c r="FK36" s="278">
        <v>0</v>
      </c>
      <c r="FL36" s="265">
        <v>0</v>
      </c>
      <c r="FM36" s="265">
        <v>0</v>
      </c>
      <c r="FN36" s="265">
        <v>0</v>
      </c>
      <c r="FO36" s="265">
        <v>0</v>
      </c>
      <c r="FP36" s="265">
        <v>0</v>
      </c>
      <c r="FQ36" s="265">
        <v>0</v>
      </c>
      <c r="FR36" s="265">
        <v>0</v>
      </c>
      <c r="FS36" s="265">
        <v>0</v>
      </c>
      <c r="FT36" s="265">
        <v>0</v>
      </c>
      <c r="FU36" s="265">
        <v>0</v>
      </c>
      <c r="FV36" s="265">
        <v>0</v>
      </c>
      <c r="FW36" s="265">
        <v>0</v>
      </c>
      <c r="FX36" s="265">
        <v>0</v>
      </c>
      <c r="FY36" s="265">
        <v>0</v>
      </c>
      <c r="FZ36" s="265">
        <v>0</v>
      </c>
      <c r="GA36" s="265">
        <v>0</v>
      </c>
      <c r="GB36" s="265">
        <v>0</v>
      </c>
      <c r="GC36" s="265">
        <v>0</v>
      </c>
      <c r="GD36" s="265">
        <v>0</v>
      </c>
      <c r="GE36" s="265">
        <v>0</v>
      </c>
      <c r="GF36" s="265">
        <v>0</v>
      </c>
      <c r="GG36" s="265">
        <v>0</v>
      </c>
      <c r="GH36" s="265">
        <v>0</v>
      </c>
      <c r="GI36" s="265">
        <v>0</v>
      </c>
      <c r="GJ36" s="265">
        <v>0</v>
      </c>
      <c r="GK36" s="265">
        <v>0</v>
      </c>
      <c r="GL36" s="265">
        <v>0</v>
      </c>
      <c r="GM36" s="265">
        <v>0</v>
      </c>
      <c r="GN36" s="265">
        <v>0</v>
      </c>
      <c r="GO36" s="269">
        <v>0</v>
      </c>
      <c r="GP36" s="278">
        <v>0</v>
      </c>
      <c r="GQ36" s="265">
        <v>0</v>
      </c>
      <c r="GR36" s="265">
        <v>0</v>
      </c>
      <c r="GS36" s="265">
        <v>0</v>
      </c>
      <c r="GT36" s="265">
        <v>0</v>
      </c>
      <c r="GU36" s="265">
        <v>0</v>
      </c>
      <c r="GV36" s="265">
        <v>0</v>
      </c>
      <c r="GW36" s="265">
        <v>0</v>
      </c>
      <c r="GX36" s="265">
        <v>0</v>
      </c>
      <c r="GY36" s="265">
        <v>0</v>
      </c>
      <c r="GZ36" s="265">
        <v>0</v>
      </c>
      <c r="HA36" s="265">
        <v>0</v>
      </c>
      <c r="HB36" s="265">
        <v>0</v>
      </c>
      <c r="HC36" s="265">
        <v>0</v>
      </c>
      <c r="HD36" s="265">
        <v>0</v>
      </c>
      <c r="HE36" s="265">
        <v>0</v>
      </c>
      <c r="HF36" s="265">
        <v>0</v>
      </c>
      <c r="HG36" s="265">
        <v>0</v>
      </c>
      <c r="HH36" s="265">
        <v>0</v>
      </c>
      <c r="HI36" s="265"/>
      <c r="HJ36" s="265"/>
      <c r="HK36" s="265"/>
      <c r="HL36" s="265"/>
      <c r="HM36" s="265"/>
      <c r="HN36" s="265"/>
      <c r="HO36" s="265"/>
      <c r="HP36" s="265"/>
      <c r="HQ36" s="265"/>
      <c r="HR36" s="265"/>
      <c r="HS36" s="265"/>
      <c r="HT36" s="368"/>
      <c r="HU36" s="55">
        <f t="shared" si="105"/>
        <v>1</v>
      </c>
    </row>
    <row r="37" spans="1:229" x14ac:dyDescent="0.25">
      <c r="A37" s="2">
        <v>4</v>
      </c>
      <c r="B37" s="474"/>
      <c r="C37" s="23" t="s">
        <v>4</v>
      </c>
      <c r="D37" s="2" t="s">
        <v>17</v>
      </c>
      <c r="E37" s="73"/>
      <c r="F37" s="31"/>
      <c r="G37" s="31"/>
      <c r="H37" s="31"/>
      <c r="I37" s="31"/>
      <c r="J37" s="31"/>
      <c r="K37" s="31"/>
      <c r="L37" s="72"/>
      <c r="M37" s="106">
        <f t="shared" si="104"/>
        <v>0</v>
      </c>
      <c r="N37" s="129"/>
      <c r="O37" s="7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01"/>
      <c r="AQ37" s="162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>
        <v>0</v>
      </c>
      <c r="BW37" s="162"/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265">
        <v>0</v>
      </c>
      <c r="CZ37" s="13">
        <v>0</v>
      </c>
      <c r="DA37" s="269">
        <v>0</v>
      </c>
      <c r="DB37" s="278">
        <v>0</v>
      </c>
      <c r="DC37" s="265">
        <v>0</v>
      </c>
      <c r="DD37" s="13">
        <v>0</v>
      </c>
      <c r="DE37" s="265">
        <v>0</v>
      </c>
      <c r="DF37" s="265">
        <v>0</v>
      </c>
      <c r="DG37" s="265">
        <v>0</v>
      </c>
      <c r="DH37" s="265">
        <v>0</v>
      </c>
      <c r="DI37" s="265">
        <v>0</v>
      </c>
      <c r="DJ37" s="265">
        <v>0</v>
      </c>
      <c r="DK37" s="265">
        <v>0</v>
      </c>
      <c r="DL37" s="265">
        <v>0</v>
      </c>
      <c r="DM37" s="265">
        <v>0</v>
      </c>
      <c r="DN37" s="265">
        <v>0</v>
      </c>
      <c r="DO37" s="265">
        <v>0</v>
      </c>
      <c r="DP37" s="265">
        <v>0</v>
      </c>
      <c r="DQ37" s="265">
        <v>0</v>
      </c>
      <c r="DR37" s="265">
        <v>0</v>
      </c>
      <c r="DS37" s="265">
        <v>0</v>
      </c>
      <c r="DT37" s="265">
        <v>0</v>
      </c>
      <c r="DU37" s="265">
        <v>0</v>
      </c>
      <c r="DV37" s="265">
        <v>0</v>
      </c>
      <c r="DW37" s="265">
        <v>0</v>
      </c>
      <c r="DX37" s="265">
        <v>0</v>
      </c>
      <c r="DY37" s="265">
        <v>0</v>
      </c>
      <c r="DZ37" s="265">
        <v>0</v>
      </c>
      <c r="EA37" s="265">
        <v>0</v>
      </c>
      <c r="EB37" s="265">
        <v>0</v>
      </c>
      <c r="EC37" s="265">
        <v>0</v>
      </c>
      <c r="ED37" s="265">
        <v>0</v>
      </c>
      <c r="EE37" s="265">
        <v>0</v>
      </c>
      <c r="EF37" s="368">
        <v>0</v>
      </c>
      <c r="EG37" s="278">
        <v>0</v>
      </c>
      <c r="EH37" s="265">
        <v>0</v>
      </c>
      <c r="EI37" s="265">
        <v>0</v>
      </c>
      <c r="EJ37" s="265">
        <v>0</v>
      </c>
      <c r="EK37" s="265">
        <v>0</v>
      </c>
      <c r="EL37" s="265">
        <v>0</v>
      </c>
      <c r="EM37" s="265">
        <v>0</v>
      </c>
      <c r="EN37" s="265">
        <v>0</v>
      </c>
      <c r="EO37" s="265">
        <v>0</v>
      </c>
      <c r="EP37" s="265">
        <v>0</v>
      </c>
      <c r="EQ37" s="265">
        <v>0</v>
      </c>
      <c r="ER37" s="265">
        <v>0</v>
      </c>
      <c r="ES37" s="265">
        <v>0</v>
      </c>
      <c r="ET37" s="265">
        <v>0</v>
      </c>
      <c r="EU37" s="265">
        <v>0</v>
      </c>
      <c r="EV37" s="265">
        <v>0</v>
      </c>
      <c r="EW37" s="265">
        <v>0</v>
      </c>
      <c r="EX37" s="265">
        <v>0</v>
      </c>
      <c r="EY37" s="265">
        <v>0</v>
      </c>
      <c r="EZ37" s="265">
        <v>0</v>
      </c>
      <c r="FA37" s="265">
        <v>0</v>
      </c>
      <c r="FB37" s="265">
        <v>0</v>
      </c>
      <c r="FC37" s="265">
        <v>0</v>
      </c>
      <c r="FD37" s="265">
        <v>0</v>
      </c>
      <c r="FE37" s="265">
        <v>0</v>
      </c>
      <c r="FF37" s="265">
        <v>0</v>
      </c>
      <c r="FG37" s="265">
        <v>0</v>
      </c>
      <c r="FH37" s="265">
        <v>0</v>
      </c>
      <c r="FI37" s="265">
        <v>0</v>
      </c>
      <c r="FJ37" s="269">
        <v>0</v>
      </c>
      <c r="FK37" s="278">
        <v>0</v>
      </c>
      <c r="FL37" s="265">
        <v>0</v>
      </c>
      <c r="FM37" s="265">
        <v>0</v>
      </c>
      <c r="FN37" s="265">
        <v>0</v>
      </c>
      <c r="FO37" s="265">
        <v>0</v>
      </c>
      <c r="FP37" s="265">
        <v>0</v>
      </c>
      <c r="FQ37" s="265">
        <v>0</v>
      </c>
      <c r="FR37" s="265">
        <v>0</v>
      </c>
      <c r="FS37" s="265">
        <v>0</v>
      </c>
      <c r="FT37" s="265">
        <v>0</v>
      </c>
      <c r="FU37" s="265">
        <v>0</v>
      </c>
      <c r="FV37" s="265">
        <v>0</v>
      </c>
      <c r="FW37" s="265">
        <v>0</v>
      </c>
      <c r="FX37" s="265">
        <v>0</v>
      </c>
      <c r="FY37" s="265">
        <v>0</v>
      </c>
      <c r="FZ37" s="265">
        <v>0</v>
      </c>
      <c r="GA37" s="265">
        <v>0</v>
      </c>
      <c r="GB37" s="265">
        <v>0</v>
      </c>
      <c r="GC37" s="265">
        <v>0</v>
      </c>
      <c r="GD37" s="265">
        <v>0</v>
      </c>
      <c r="GE37" s="265">
        <v>0</v>
      </c>
      <c r="GF37" s="265">
        <v>0</v>
      </c>
      <c r="GG37" s="265">
        <v>0</v>
      </c>
      <c r="GH37" s="265">
        <v>0</v>
      </c>
      <c r="GI37" s="265">
        <v>0</v>
      </c>
      <c r="GJ37" s="265">
        <v>0</v>
      </c>
      <c r="GK37" s="265">
        <v>0</v>
      </c>
      <c r="GL37" s="265">
        <v>0</v>
      </c>
      <c r="GM37" s="265">
        <v>0</v>
      </c>
      <c r="GN37" s="265">
        <v>0</v>
      </c>
      <c r="GO37" s="269">
        <v>0</v>
      </c>
      <c r="GP37" s="278">
        <v>0</v>
      </c>
      <c r="GQ37" s="265">
        <v>0</v>
      </c>
      <c r="GR37" s="265">
        <v>0</v>
      </c>
      <c r="GS37" s="265">
        <v>0</v>
      </c>
      <c r="GT37" s="265">
        <v>0</v>
      </c>
      <c r="GU37" s="265">
        <v>0</v>
      </c>
      <c r="GV37" s="265">
        <v>0</v>
      </c>
      <c r="GW37" s="265">
        <v>0</v>
      </c>
      <c r="GX37" s="265">
        <v>0</v>
      </c>
      <c r="GY37" s="265">
        <v>0</v>
      </c>
      <c r="GZ37" s="265">
        <v>0</v>
      </c>
      <c r="HA37" s="265">
        <v>0</v>
      </c>
      <c r="HB37" s="265">
        <v>0</v>
      </c>
      <c r="HC37" s="265">
        <v>0</v>
      </c>
      <c r="HD37" s="265">
        <v>0</v>
      </c>
      <c r="HE37" s="265">
        <v>0</v>
      </c>
      <c r="HF37" s="265">
        <v>0</v>
      </c>
      <c r="HG37" s="265">
        <v>0</v>
      </c>
      <c r="HH37" s="265">
        <v>0</v>
      </c>
      <c r="HI37" s="265"/>
      <c r="HJ37" s="265"/>
      <c r="HK37" s="265"/>
      <c r="HL37" s="265"/>
      <c r="HM37" s="265"/>
      <c r="HN37" s="265"/>
      <c r="HO37" s="265"/>
      <c r="HP37" s="265"/>
      <c r="HQ37" s="265"/>
      <c r="HR37" s="265"/>
      <c r="HS37" s="265"/>
      <c r="HT37" s="368"/>
      <c r="HU37" s="55">
        <f t="shared" si="105"/>
        <v>0</v>
      </c>
    </row>
    <row r="38" spans="1:229" x14ac:dyDescent="0.25">
      <c r="A38" s="2">
        <v>5</v>
      </c>
      <c r="B38" s="474"/>
      <c r="C38" s="23" t="s">
        <v>5</v>
      </c>
      <c r="D38" s="2" t="s">
        <v>17</v>
      </c>
      <c r="E38" s="73"/>
      <c r="F38" s="31"/>
      <c r="G38" s="31"/>
      <c r="H38" s="31"/>
      <c r="I38" s="31"/>
      <c r="J38" s="31"/>
      <c r="K38" s="31"/>
      <c r="L38" s="72"/>
      <c r="M38" s="106">
        <f t="shared" si="104"/>
        <v>0</v>
      </c>
      <c r="N38" s="129"/>
      <c r="O38" s="7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01"/>
      <c r="AQ38" s="162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>
        <v>0</v>
      </c>
      <c r="BW38" s="162"/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265">
        <v>0</v>
      </c>
      <c r="CZ38" s="13">
        <v>0</v>
      </c>
      <c r="DA38" s="269">
        <v>0</v>
      </c>
      <c r="DB38" s="278">
        <v>0</v>
      </c>
      <c r="DC38" s="265">
        <v>0</v>
      </c>
      <c r="DD38" s="13">
        <v>0</v>
      </c>
      <c r="DE38" s="265">
        <v>0</v>
      </c>
      <c r="DF38" s="265">
        <v>0</v>
      </c>
      <c r="DG38" s="265">
        <v>0</v>
      </c>
      <c r="DH38" s="265">
        <v>0</v>
      </c>
      <c r="DI38" s="265">
        <v>0</v>
      </c>
      <c r="DJ38" s="265">
        <v>0</v>
      </c>
      <c r="DK38" s="265">
        <v>0</v>
      </c>
      <c r="DL38" s="265">
        <v>0</v>
      </c>
      <c r="DM38" s="265">
        <v>0</v>
      </c>
      <c r="DN38" s="265">
        <v>0</v>
      </c>
      <c r="DO38" s="265">
        <v>0</v>
      </c>
      <c r="DP38" s="265">
        <v>0</v>
      </c>
      <c r="DQ38" s="265">
        <v>0</v>
      </c>
      <c r="DR38" s="265">
        <v>0</v>
      </c>
      <c r="DS38" s="265">
        <v>0</v>
      </c>
      <c r="DT38" s="265">
        <v>0</v>
      </c>
      <c r="DU38" s="265">
        <v>0</v>
      </c>
      <c r="DV38" s="265">
        <v>0</v>
      </c>
      <c r="DW38" s="265">
        <v>0</v>
      </c>
      <c r="DX38" s="265">
        <v>0</v>
      </c>
      <c r="DY38" s="265">
        <v>0</v>
      </c>
      <c r="DZ38" s="265">
        <v>0</v>
      </c>
      <c r="EA38" s="265">
        <v>0</v>
      </c>
      <c r="EB38" s="265">
        <v>0</v>
      </c>
      <c r="EC38" s="265">
        <v>0</v>
      </c>
      <c r="ED38" s="265">
        <v>0</v>
      </c>
      <c r="EE38" s="265">
        <v>0</v>
      </c>
      <c r="EF38" s="368">
        <v>0</v>
      </c>
      <c r="EG38" s="278">
        <v>0</v>
      </c>
      <c r="EH38" s="265">
        <v>0</v>
      </c>
      <c r="EI38" s="265">
        <v>4</v>
      </c>
      <c r="EJ38" s="265">
        <v>4</v>
      </c>
      <c r="EK38" s="265">
        <v>0</v>
      </c>
      <c r="EL38" s="265">
        <v>3</v>
      </c>
      <c r="EM38" s="265">
        <v>3</v>
      </c>
      <c r="EN38" s="265">
        <v>5</v>
      </c>
      <c r="EO38" s="265">
        <v>0</v>
      </c>
      <c r="EP38" s="265">
        <v>0</v>
      </c>
      <c r="EQ38" s="265">
        <v>4</v>
      </c>
      <c r="ER38" s="265">
        <v>0</v>
      </c>
      <c r="ES38" s="265">
        <v>2</v>
      </c>
      <c r="ET38" s="265">
        <v>0</v>
      </c>
      <c r="EU38" s="265">
        <v>1</v>
      </c>
      <c r="EV38" s="265">
        <v>1</v>
      </c>
      <c r="EW38" s="265">
        <v>1</v>
      </c>
      <c r="EX38" s="265">
        <v>0</v>
      </c>
      <c r="EY38" s="265">
        <v>0</v>
      </c>
      <c r="EZ38" s="265">
        <v>1</v>
      </c>
      <c r="FA38" s="265">
        <v>0</v>
      </c>
      <c r="FB38" s="265">
        <v>0</v>
      </c>
      <c r="FC38" s="265">
        <v>0</v>
      </c>
      <c r="FD38" s="265">
        <v>5</v>
      </c>
      <c r="FE38" s="265">
        <v>0</v>
      </c>
      <c r="FF38" s="265">
        <v>0</v>
      </c>
      <c r="FG38" s="265">
        <v>2</v>
      </c>
      <c r="FH38" s="265">
        <v>0</v>
      </c>
      <c r="FI38" s="265">
        <v>0</v>
      </c>
      <c r="FJ38" s="269">
        <v>0</v>
      </c>
      <c r="FK38" s="278">
        <v>0</v>
      </c>
      <c r="FL38" s="265">
        <v>0</v>
      </c>
      <c r="FM38" s="265">
        <v>0</v>
      </c>
      <c r="FN38" s="265">
        <v>0</v>
      </c>
      <c r="FO38" s="265">
        <v>0</v>
      </c>
      <c r="FP38" s="265">
        <v>0</v>
      </c>
      <c r="FQ38" s="265">
        <v>0</v>
      </c>
      <c r="FR38" s="265">
        <v>0</v>
      </c>
      <c r="FS38" s="265">
        <v>0</v>
      </c>
      <c r="FT38" s="265">
        <v>0</v>
      </c>
      <c r="FU38" s="265">
        <v>0</v>
      </c>
      <c r="FV38" s="265">
        <v>0</v>
      </c>
      <c r="FW38" s="265">
        <v>0</v>
      </c>
      <c r="FX38" s="265">
        <v>0</v>
      </c>
      <c r="FY38" s="265">
        <v>0</v>
      </c>
      <c r="FZ38" s="265">
        <v>0</v>
      </c>
      <c r="GA38" s="265">
        <v>0</v>
      </c>
      <c r="GB38" s="265">
        <v>0</v>
      </c>
      <c r="GC38" s="265">
        <v>0</v>
      </c>
      <c r="GD38" s="265">
        <v>0</v>
      </c>
      <c r="GE38" s="265">
        <v>0</v>
      </c>
      <c r="GF38" s="265">
        <v>0</v>
      </c>
      <c r="GG38" s="265">
        <v>0</v>
      </c>
      <c r="GH38" s="265">
        <v>0</v>
      </c>
      <c r="GI38" s="265">
        <v>0</v>
      </c>
      <c r="GJ38" s="265">
        <v>0</v>
      </c>
      <c r="GK38" s="265">
        <v>0</v>
      </c>
      <c r="GL38" s="265">
        <v>0</v>
      </c>
      <c r="GM38" s="265">
        <v>0</v>
      </c>
      <c r="GN38" s="265">
        <v>0</v>
      </c>
      <c r="GO38" s="269">
        <v>0</v>
      </c>
      <c r="GP38" s="278">
        <v>0</v>
      </c>
      <c r="GQ38" s="265">
        <v>0</v>
      </c>
      <c r="GR38" s="265">
        <v>0</v>
      </c>
      <c r="GS38" s="265">
        <v>0</v>
      </c>
      <c r="GT38" s="265">
        <v>0</v>
      </c>
      <c r="GU38" s="265">
        <v>0</v>
      </c>
      <c r="GV38" s="265">
        <v>0</v>
      </c>
      <c r="GW38" s="265">
        <v>0</v>
      </c>
      <c r="GX38" s="265">
        <v>0</v>
      </c>
      <c r="GY38" s="265">
        <v>0</v>
      </c>
      <c r="GZ38" s="265">
        <v>0</v>
      </c>
      <c r="HA38" s="265">
        <v>0</v>
      </c>
      <c r="HB38" s="265">
        <v>0</v>
      </c>
      <c r="HC38" s="265">
        <v>0</v>
      </c>
      <c r="HD38" s="265">
        <v>0</v>
      </c>
      <c r="HE38" s="265">
        <v>0</v>
      </c>
      <c r="HF38" s="265">
        <v>0</v>
      </c>
      <c r="HG38" s="265">
        <v>0</v>
      </c>
      <c r="HH38" s="265">
        <v>0</v>
      </c>
      <c r="HI38" s="265"/>
      <c r="HJ38" s="265"/>
      <c r="HK38" s="265"/>
      <c r="HL38" s="265"/>
      <c r="HM38" s="265"/>
      <c r="HN38" s="265"/>
      <c r="HO38" s="265"/>
      <c r="HP38" s="265"/>
      <c r="HQ38" s="265"/>
      <c r="HR38" s="265"/>
      <c r="HS38" s="265"/>
      <c r="HT38" s="368"/>
      <c r="HU38" s="55">
        <f t="shared" si="105"/>
        <v>36</v>
      </c>
    </row>
    <row r="39" spans="1:229" x14ac:dyDescent="0.25">
      <c r="A39" s="2">
        <v>6</v>
      </c>
      <c r="B39" s="474"/>
      <c r="C39" s="23" t="s">
        <v>6</v>
      </c>
      <c r="D39" s="2" t="s">
        <v>17</v>
      </c>
      <c r="E39" s="73"/>
      <c r="F39" s="31"/>
      <c r="G39" s="31"/>
      <c r="H39" s="31"/>
      <c r="I39" s="31"/>
      <c r="J39" s="31"/>
      <c r="K39" s="31"/>
      <c r="L39" s="72"/>
      <c r="M39" s="106">
        <f t="shared" si="104"/>
        <v>0</v>
      </c>
      <c r="N39" s="129"/>
      <c r="O39" s="7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01"/>
      <c r="AQ39" s="162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>
        <v>0</v>
      </c>
      <c r="BW39" s="162"/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265">
        <v>2</v>
      </c>
      <c r="CZ39" s="13">
        <v>0</v>
      </c>
      <c r="DA39" s="269">
        <v>4</v>
      </c>
      <c r="DB39" s="278">
        <v>0</v>
      </c>
      <c r="DC39" s="265">
        <v>0</v>
      </c>
      <c r="DD39" s="13">
        <v>0</v>
      </c>
      <c r="DE39" s="265">
        <v>0</v>
      </c>
      <c r="DF39" s="265">
        <v>1</v>
      </c>
      <c r="DG39" s="265">
        <v>2</v>
      </c>
      <c r="DH39" s="265">
        <v>1</v>
      </c>
      <c r="DI39" s="265">
        <v>0</v>
      </c>
      <c r="DJ39" s="265">
        <v>0</v>
      </c>
      <c r="DK39" s="265">
        <v>1</v>
      </c>
      <c r="DL39" s="265">
        <v>0</v>
      </c>
      <c r="DM39" s="265">
        <v>0</v>
      </c>
      <c r="DN39" s="265">
        <v>0</v>
      </c>
      <c r="DO39" s="265">
        <v>0</v>
      </c>
      <c r="DP39" s="265">
        <v>0</v>
      </c>
      <c r="DQ39" s="265">
        <v>0</v>
      </c>
      <c r="DR39" s="265">
        <v>0</v>
      </c>
      <c r="DS39" s="265">
        <v>0</v>
      </c>
      <c r="DT39" s="265">
        <v>0</v>
      </c>
      <c r="DU39" s="265">
        <v>0</v>
      </c>
      <c r="DV39" s="265">
        <v>0</v>
      </c>
      <c r="DW39" s="265">
        <v>0</v>
      </c>
      <c r="DX39" s="265">
        <v>0</v>
      </c>
      <c r="DY39" s="265">
        <v>0</v>
      </c>
      <c r="DZ39" s="265">
        <v>0</v>
      </c>
      <c r="EA39" s="265">
        <v>0</v>
      </c>
      <c r="EB39" s="265">
        <v>0</v>
      </c>
      <c r="EC39" s="265">
        <v>0</v>
      </c>
      <c r="ED39" s="265">
        <v>0</v>
      </c>
      <c r="EE39" s="265">
        <v>0</v>
      </c>
      <c r="EF39" s="368">
        <v>0</v>
      </c>
      <c r="EG39" s="278">
        <v>0</v>
      </c>
      <c r="EH39" s="265">
        <v>0</v>
      </c>
      <c r="EI39" s="265">
        <v>0</v>
      </c>
      <c r="EJ39" s="265">
        <v>0</v>
      </c>
      <c r="EK39" s="265">
        <v>0</v>
      </c>
      <c r="EL39" s="265">
        <v>0</v>
      </c>
      <c r="EM39" s="265">
        <v>0</v>
      </c>
      <c r="EN39" s="265">
        <v>0</v>
      </c>
      <c r="EO39" s="265">
        <v>0</v>
      </c>
      <c r="EP39" s="265">
        <v>0</v>
      </c>
      <c r="EQ39" s="265">
        <v>0</v>
      </c>
      <c r="ER39" s="265">
        <v>0</v>
      </c>
      <c r="ES39" s="265">
        <v>0</v>
      </c>
      <c r="ET39" s="265">
        <v>0</v>
      </c>
      <c r="EU39" s="265">
        <v>0</v>
      </c>
      <c r="EV39" s="265">
        <v>0</v>
      </c>
      <c r="EW39" s="265">
        <v>0</v>
      </c>
      <c r="EX39" s="265">
        <v>0</v>
      </c>
      <c r="EY39" s="265">
        <v>0</v>
      </c>
      <c r="EZ39" s="265">
        <v>0</v>
      </c>
      <c r="FA39" s="265">
        <v>0</v>
      </c>
      <c r="FB39" s="265">
        <v>0</v>
      </c>
      <c r="FC39" s="265">
        <v>0</v>
      </c>
      <c r="FD39" s="265">
        <v>0</v>
      </c>
      <c r="FE39" s="265">
        <v>0</v>
      </c>
      <c r="FF39" s="265">
        <v>0</v>
      </c>
      <c r="FG39" s="265">
        <v>0</v>
      </c>
      <c r="FH39" s="265">
        <v>0</v>
      </c>
      <c r="FI39" s="265">
        <v>0</v>
      </c>
      <c r="FJ39" s="269">
        <v>0</v>
      </c>
      <c r="FK39" s="278">
        <v>0</v>
      </c>
      <c r="FL39" s="265">
        <v>0</v>
      </c>
      <c r="FM39" s="265">
        <v>0</v>
      </c>
      <c r="FN39" s="265">
        <v>0</v>
      </c>
      <c r="FO39" s="265">
        <v>0</v>
      </c>
      <c r="FP39" s="265">
        <v>0</v>
      </c>
      <c r="FQ39" s="265">
        <v>0</v>
      </c>
      <c r="FR39" s="265">
        <v>0</v>
      </c>
      <c r="FS39" s="265">
        <v>0</v>
      </c>
      <c r="FT39" s="265">
        <v>0</v>
      </c>
      <c r="FU39" s="265">
        <v>0</v>
      </c>
      <c r="FV39" s="265">
        <v>0</v>
      </c>
      <c r="FW39" s="265">
        <v>0</v>
      </c>
      <c r="FX39" s="265">
        <v>0</v>
      </c>
      <c r="FY39" s="265">
        <v>0</v>
      </c>
      <c r="FZ39" s="265">
        <v>0</v>
      </c>
      <c r="GA39" s="265">
        <v>0</v>
      </c>
      <c r="GB39" s="265">
        <v>0</v>
      </c>
      <c r="GC39" s="265">
        <v>0</v>
      </c>
      <c r="GD39" s="265">
        <v>0</v>
      </c>
      <c r="GE39" s="265">
        <v>0</v>
      </c>
      <c r="GF39" s="265">
        <v>0</v>
      </c>
      <c r="GG39" s="265">
        <v>0</v>
      </c>
      <c r="GH39" s="265">
        <v>0</v>
      </c>
      <c r="GI39" s="265">
        <v>0</v>
      </c>
      <c r="GJ39" s="265">
        <v>0</v>
      </c>
      <c r="GK39" s="265">
        <v>0</v>
      </c>
      <c r="GL39" s="265">
        <v>0</v>
      </c>
      <c r="GM39" s="265">
        <v>0</v>
      </c>
      <c r="GN39" s="265">
        <v>0</v>
      </c>
      <c r="GO39" s="269">
        <v>0</v>
      </c>
      <c r="GP39" s="278">
        <v>0</v>
      </c>
      <c r="GQ39" s="265">
        <v>0</v>
      </c>
      <c r="GR39" s="265">
        <v>0</v>
      </c>
      <c r="GS39" s="265">
        <v>0</v>
      </c>
      <c r="GT39" s="265">
        <v>0</v>
      </c>
      <c r="GU39" s="265">
        <v>0</v>
      </c>
      <c r="GV39" s="265">
        <v>0</v>
      </c>
      <c r="GW39" s="265">
        <v>0</v>
      </c>
      <c r="GX39" s="265">
        <v>0</v>
      </c>
      <c r="GY39" s="265">
        <v>0</v>
      </c>
      <c r="GZ39" s="265">
        <v>0</v>
      </c>
      <c r="HA39" s="265">
        <v>0</v>
      </c>
      <c r="HB39" s="265">
        <v>0</v>
      </c>
      <c r="HC39" s="265">
        <v>0</v>
      </c>
      <c r="HD39" s="265">
        <v>0</v>
      </c>
      <c r="HE39" s="265">
        <v>0</v>
      </c>
      <c r="HF39" s="265">
        <v>0</v>
      </c>
      <c r="HG39" s="265">
        <v>0</v>
      </c>
      <c r="HH39" s="265">
        <v>0</v>
      </c>
      <c r="HI39" s="265"/>
      <c r="HJ39" s="265"/>
      <c r="HK39" s="265"/>
      <c r="HL39" s="265"/>
      <c r="HM39" s="265"/>
      <c r="HN39" s="265"/>
      <c r="HO39" s="265"/>
      <c r="HP39" s="265"/>
      <c r="HQ39" s="265"/>
      <c r="HR39" s="265"/>
      <c r="HS39" s="265"/>
      <c r="HT39" s="368"/>
      <c r="HU39" s="55">
        <f t="shared" si="105"/>
        <v>11</v>
      </c>
    </row>
    <row r="40" spans="1:229" x14ac:dyDescent="0.25">
      <c r="A40" s="2">
        <v>7</v>
      </c>
      <c r="B40" s="474"/>
      <c r="C40" s="23" t="s">
        <v>7</v>
      </c>
      <c r="D40" s="2" t="s">
        <v>17</v>
      </c>
      <c r="E40" s="73"/>
      <c r="F40" s="31"/>
      <c r="G40" s="31"/>
      <c r="H40" s="31"/>
      <c r="I40" s="31"/>
      <c r="J40" s="31"/>
      <c r="K40" s="31"/>
      <c r="L40" s="72"/>
      <c r="M40" s="106">
        <f t="shared" si="104"/>
        <v>0</v>
      </c>
      <c r="N40" s="129"/>
      <c r="O40" s="7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01"/>
      <c r="AQ40" s="162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>
        <v>0</v>
      </c>
      <c r="BW40" s="162"/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265">
        <v>0</v>
      </c>
      <c r="CZ40" s="13">
        <v>0</v>
      </c>
      <c r="DA40" s="269">
        <v>0</v>
      </c>
      <c r="DB40" s="278">
        <v>0</v>
      </c>
      <c r="DC40" s="265">
        <v>0</v>
      </c>
      <c r="DD40" s="13">
        <v>0</v>
      </c>
      <c r="DE40" s="265">
        <v>0</v>
      </c>
      <c r="DF40" s="265">
        <v>0</v>
      </c>
      <c r="DG40" s="265">
        <v>0</v>
      </c>
      <c r="DH40" s="265">
        <v>0</v>
      </c>
      <c r="DI40" s="265">
        <v>0</v>
      </c>
      <c r="DJ40" s="265">
        <v>0</v>
      </c>
      <c r="DK40" s="265">
        <v>0</v>
      </c>
      <c r="DL40" s="265">
        <v>0</v>
      </c>
      <c r="DM40" s="265">
        <v>0</v>
      </c>
      <c r="DN40" s="265">
        <v>0</v>
      </c>
      <c r="DO40" s="265">
        <v>0</v>
      </c>
      <c r="DP40" s="265">
        <v>0</v>
      </c>
      <c r="DQ40" s="265">
        <v>0</v>
      </c>
      <c r="DR40" s="265">
        <v>0</v>
      </c>
      <c r="DS40" s="265">
        <v>0</v>
      </c>
      <c r="DT40" s="265">
        <v>0</v>
      </c>
      <c r="DU40" s="265">
        <v>0</v>
      </c>
      <c r="DV40" s="265">
        <v>0</v>
      </c>
      <c r="DW40" s="265">
        <v>0</v>
      </c>
      <c r="DX40" s="265">
        <v>0</v>
      </c>
      <c r="DY40" s="265">
        <v>0</v>
      </c>
      <c r="DZ40" s="265">
        <v>0</v>
      </c>
      <c r="EA40" s="265">
        <v>0</v>
      </c>
      <c r="EB40" s="265">
        <v>0</v>
      </c>
      <c r="EC40" s="265">
        <v>0</v>
      </c>
      <c r="ED40" s="265">
        <v>0</v>
      </c>
      <c r="EE40" s="265">
        <v>0</v>
      </c>
      <c r="EF40" s="368">
        <v>6</v>
      </c>
      <c r="EG40" s="278">
        <v>3</v>
      </c>
      <c r="EH40" s="265">
        <v>4</v>
      </c>
      <c r="EI40" s="265">
        <v>0</v>
      </c>
      <c r="EJ40" s="265">
        <v>0</v>
      </c>
      <c r="EK40" s="265">
        <v>0</v>
      </c>
      <c r="EL40" s="265">
        <v>0</v>
      </c>
      <c r="EM40" s="265">
        <v>0</v>
      </c>
      <c r="EN40" s="265">
        <v>0</v>
      </c>
      <c r="EO40" s="265">
        <v>0</v>
      </c>
      <c r="EP40" s="265">
        <v>0</v>
      </c>
      <c r="EQ40" s="265">
        <v>0</v>
      </c>
      <c r="ER40" s="265">
        <v>0</v>
      </c>
      <c r="ES40" s="265">
        <v>0</v>
      </c>
      <c r="ET40" s="265">
        <v>0</v>
      </c>
      <c r="EU40" s="265">
        <v>0</v>
      </c>
      <c r="EV40" s="265">
        <v>0</v>
      </c>
      <c r="EW40" s="265">
        <v>0</v>
      </c>
      <c r="EX40" s="265">
        <v>0</v>
      </c>
      <c r="EY40" s="265">
        <v>0</v>
      </c>
      <c r="EZ40" s="265">
        <v>0</v>
      </c>
      <c r="FA40" s="265">
        <v>0</v>
      </c>
      <c r="FB40" s="265">
        <v>0</v>
      </c>
      <c r="FC40" s="265">
        <v>0</v>
      </c>
      <c r="FD40" s="265">
        <v>0</v>
      </c>
      <c r="FE40" s="265">
        <v>0</v>
      </c>
      <c r="FF40" s="265">
        <v>0</v>
      </c>
      <c r="FG40" s="265">
        <v>0</v>
      </c>
      <c r="FH40" s="265">
        <v>0</v>
      </c>
      <c r="FI40" s="265">
        <v>0</v>
      </c>
      <c r="FJ40" s="269">
        <v>0</v>
      </c>
      <c r="FK40" s="278">
        <v>0</v>
      </c>
      <c r="FL40" s="265">
        <v>0</v>
      </c>
      <c r="FM40" s="265">
        <v>0</v>
      </c>
      <c r="FN40" s="265">
        <v>0</v>
      </c>
      <c r="FO40" s="265">
        <v>0</v>
      </c>
      <c r="FP40" s="265">
        <v>0</v>
      </c>
      <c r="FQ40" s="265">
        <v>0</v>
      </c>
      <c r="FR40" s="265">
        <v>0</v>
      </c>
      <c r="FS40" s="265">
        <v>0</v>
      </c>
      <c r="FT40" s="265">
        <v>0</v>
      </c>
      <c r="FU40" s="265">
        <v>0</v>
      </c>
      <c r="FV40" s="265">
        <v>0</v>
      </c>
      <c r="FW40" s="265">
        <v>0</v>
      </c>
      <c r="FX40" s="265">
        <v>0</v>
      </c>
      <c r="FY40" s="265">
        <v>0</v>
      </c>
      <c r="FZ40" s="265">
        <v>0</v>
      </c>
      <c r="GA40" s="265">
        <v>0</v>
      </c>
      <c r="GB40" s="265">
        <v>0</v>
      </c>
      <c r="GC40" s="265">
        <v>0</v>
      </c>
      <c r="GD40" s="265">
        <v>0</v>
      </c>
      <c r="GE40" s="265">
        <v>0</v>
      </c>
      <c r="GF40" s="265">
        <v>0</v>
      </c>
      <c r="GG40" s="265">
        <v>0</v>
      </c>
      <c r="GH40" s="265">
        <v>0</v>
      </c>
      <c r="GI40" s="265">
        <v>0</v>
      </c>
      <c r="GJ40" s="265">
        <v>0</v>
      </c>
      <c r="GK40" s="265">
        <v>0</v>
      </c>
      <c r="GL40" s="265">
        <v>0</v>
      </c>
      <c r="GM40" s="265">
        <v>0</v>
      </c>
      <c r="GN40" s="265">
        <v>0</v>
      </c>
      <c r="GO40" s="269">
        <v>0</v>
      </c>
      <c r="GP40" s="278">
        <v>0</v>
      </c>
      <c r="GQ40" s="265">
        <v>0</v>
      </c>
      <c r="GR40" s="265">
        <v>0</v>
      </c>
      <c r="GS40" s="265">
        <v>0</v>
      </c>
      <c r="GT40" s="265">
        <v>0</v>
      </c>
      <c r="GU40" s="265">
        <v>0</v>
      </c>
      <c r="GV40" s="265">
        <v>0</v>
      </c>
      <c r="GW40" s="265">
        <v>0</v>
      </c>
      <c r="GX40" s="265">
        <v>0</v>
      </c>
      <c r="GY40" s="265">
        <v>0</v>
      </c>
      <c r="GZ40" s="265">
        <v>0</v>
      </c>
      <c r="HA40" s="265">
        <v>0</v>
      </c>
      <c r="HB40" s="265">
        <v>0</v>
      </c>
      <c r="HC40" s="265">
        <v>0</v>
      </c>
      <c r="HD40" s="265">
        <v>0</v>
      </c>
      <c r="HE40" s="265">
        <v>0</v>
      </c>
      <c r="HF40" s="265">
        <v>0</v>
      </c>
      <c r="HG40" s="265">
        <v>0</v>
      </c>
      <c r="HH40" s="265">
        <v>0</v>
      </c>
      <c r="HI40" s="265"/>
      <c r="HJ40" s="265"/>
      <c r="HK40" s="265"/>
      <c r="HL40" s="265"/>
      <c r="HM40" s="265"/>
      <c r="HN40" s="265"/>
      <c r="HO40" s="265"/>
      <c r="HP40" s="265"/>
      <c r="HQ40" s="265"/>
      <c r="HR40" s="265"/>
      <c r="HS40" s="265"/>
      <c r="HT40" s="368"/>
      <c r="HU40" s="55">
        <f t="shared" si="105"/>
        <v>13</v>
      </c>
    </row>
    <row r="41" spans="1:229" x14ac:dyDescent="0.25">
      <c r="A41" s="2">
        <v>8</v>
      </c>
      <c r="B41" s="474"/>
      <c r="C41" s="23" t="s">
        <v>8</v>
      </c>
      <c r="D41" s="2" t="s">
        <v>17</v>
      </c>
      <c r="E41" s="73"/>
      <c r="F41" s="31"/>
      <c r="G41" s="31"/>
      <c r="H41" s="31"/>
      <c r="I41" s="31"/>
      <c r="J41" s="31"/>
      <c r="K41" s="31"/>
      <c r="L41" s="72"/>
      <c r="M41" s="106">
        <f t="shared" si="104"/>
        <v>0</v>
      </c>
      <c r="N41" s="129"/>
      <c r="O41" s="7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01"/>
      <c r="AQ41" s="162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>
        <v>0</v>
      </c>
      <c r="BW41" s="162"/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265">
        <v>0</v>
      </c>
      <c r="CZ41" s="13">
        <v>0</v>
      </c>
      <c r="DA41" s="269">
        <v>0</v>
      </c>
      <c r="DB41" s="278">
        <v>0</v>
      </c>
      <c r="DC41" s="265">
        <v>0</v>
      </c>
      <c r="DD41" s="13">
        <v>0</v>
      </c>
      <c r="DE41" s="265">
        <v>0</v>
      </c>
      <c r="DF41" s="265">
        <v>0</v>
      </c>
      <c r="DG41" s="265">
        <v>0</v>
      </c>
      <c r="DH41" s="265">
        <v>0</v>
      </c>
      <c r="DI41" s="265">
        <v>0</v>
      </c>
      <c r="DJ41" s="265">
        <v>0</v>
      </c>
      <c r="DK41" s="265">
        <v>0</v>
      </c>
      <c r="DL41" s="265">
        <v>0</v>
      </c>
      <c r="DM41" s="265">
        <v>0</v>
      </c>
      <c r="DN41" s="265">
        <v>0</v>
      </c>
      <c r="DO41" s="265">
        <v>0</v>
      </c>
      <c r="DP41" s="265">
        <v>0</v>
      </c>
      <c r="DQ41" s="265">
        <v>0</v>
      </c>
      <c r="DR41" s="265">
        <v>0</v>
      </c>
      <c r="DS41" s="265">
        <v>0</v>
      </c>
      <c r="DT41" s="265">
        <v>0</v>
      </c>
      <c r="DU41" s="265">
        <v>0</v>
      </c>
      <c r="DV41" s="265">
        <v>0</v>
      </c>
      <c r="DW41" s="265">
        <v>0</v>
      </c>
      <c r="DX41" s="265">
        <v>0</v>
      </c>
      <c r="DY41" s="265">
        <v>0</v>
      </c>
      <c r="DZ41" s="265">
        <v>0</v>
      </c>
      <c r="EA41" s="265">
        <v>0</v>
      </c>
      <c r="EB41" s="265">
        <v>0</v>
      </c>
      <c r="EC41" s="265">
        <v>0</v>
      </c>
      <c r="ED41" s="265">
        <v>0</v>
      </c>
      <c r="EE41" s="265">
        <v>0</v>
      </c>
      <c r="EF41" s="368">
        <v>0</v>
      </c>
      <c r="EG41" s="278">
        <v>0</v>
      </c>
      <c r="EH41" s="265">
        <v>0</v>
      </c>
      <c r="EI41" s="265">
        <v>0</v>
      </c>
      <c r="EJ41" s="265">
        <v>0</v>
      </c>
      <c r="EK41" s="265">
        <v>0</v>
      </c>
      <c r="EL41" s="265">
        <v>0</v>
      </c>
      <c r="EM41" s="265">
        <v>0</v>
      </c>
      <c r="EN41" s="265">
        <v>0</v>
      </c>
      <c r="EO41" s="265">
        <v>0</v>
      </c>
      <c r="EP41" s="265">
        <v>0</v>
      </c>
      <c r="EQ41" s="265">
        <v>0</v>
      </c>
      <c r="ER41" s="265">
        <v>0</v>
      </c>
      <c r="ES41" s="265">
        <v>0</v>
      </c>
      <c r="ET41" s="265">
        <v>0</v>
      </c>
      <c r="EU41" s="265">
        <v>0</v>
      </c>
      <c r="EV41" s="265">
        <v>0</v>
      </c>
      <c r="EW41" s="265">
        <v>0</v>
      </c>
      <c r="EX41" s="265">
        <v>0</v>
      </c>
      <c r="EY41" s="265">
        <v>0</v>
      </c>
      <c r="EZ41" s="265">
        <v>0</v>
      </c>
      <c r="FA41" s="265">
        <v>0</v>
      </c>
      <c r="FB41" s="265">
        <v>0</v>
      </c>
      <c r="FC41" s="265">
        <v>0</v>
      </c>
      <c r="FD41" s="265">
        <v>0</v>
      </c>
      <c r="FE41" s="265">
        <v>0</v>
      </c>
      <c r="FF41" s="265">
        <v>0</v>
      </c>
      <c r="FG41" s="265">
        <v>0</v>
      </c>
      <c r="FH41" s="265">
        <v>0</v>
      </c>
      <c r="FI41" s="265">
        <v>0</v>
      </c>
      <c r="FJ41" s="269">
        <v>0</v>
      </c>
      <c r="FK41" s="278">
        <v>0</v>
      </c>
      <c r="FL41" s="265">
        <v>0</v>
      </c>
      <c r="FM41" s="265">
        <v>0</v>
      </c>
      <c r="FN41" s="265">
        <v>0</v>
      </c>
      <c r="FO41" s="265">
        <v>0</v>
      </c>
      <c r="FP41" s="265">
        <v>0</v>
      </c>
      <c r="FQ41" s="265">
        <v>0</v>
      </c>
      <c r="FR41" s="265">
        <v>0</v>
      </c>
      <c r="FS41" s="265">
        <v>0</v>
      </c>
      <c r="FT41" s="265">
        <v>0</v>
      </c>
      <c r="FU41" s="265">
        <v>0</v>
      </c>
      <c r="FV41" s="265">
        <v>0</v>
      </c>
      <c r="FW41" s="265">
        <v>0</v>
      </c>
      <c r="FX41" s="265">
        <v>0</v>
      </c>
      <c r="FY41" s="265">
        <v>0</v>
      </c>
      <c r="FZ41" s="265">
        <v>0</v>
      </c>
      <c r="GA41" s="265">
        <v>0</v>
      </c>
      <c r="GB41" s="265">
        <v>0</v>
      </c>
      <c r="GC41" s="265">
        <v>0</v>
      </c>
      <c r="GD41" s="265">
        <v>0</v>
      </c>
      <c r="GE41" s="265">
        <v>0</v>
      </c>
      <c r="GF41" s="265">
        <v>0</v>
      </c>
      <c r="GG41" s="265">
        <v>0</v>
      </c>
      <c r="GH41" s="265">
        <v>0</v>
      </c>
      <c r="GI41" s="265">
        <v>0</v>
      </c>
      <c r="GJ41" s="265">
        <v>0</v>
      </c>
      <c r="GK41" s="265">
        <v>0</v>
      </c>
      <c r="GL41" s="265">
        <v>0</v>
      </c>
      <c r="GM41" s="265">
        <v>0</v>
      </c>
      <c r="GN41" s="265">
        <v>0</v>
      </c>
      <c r="GO41" s="269">
        <v>0</v>
      </c>
      <c r="GP41" s="278">
        <v>0</v>
      </c>
      <c r="GQ41" s="265">
        <v>0</v>
      </c>
      <c r="GR41" s="265">
        <v>0</v>
      </c>
      <c r="GS41" s="265">
        <v>0</v>
      </c>
      <c r="GT41" s="265">
        <v>0</v>
      </c>
      <c r="GU41" s="265">
        <v>0</v>
      </c>
      <c r="GV41" s="265">
        <v>0</v>
      </c>
      <c r="GW41" s="265">
        <v>0</v>
      </c>
      <c r="GX41" s="265">
        <v>0</v>
      </c>
      <c r="GY41" s="265">
        <v>0</v>
      </c>
      <c r="GZ41" s="265">
        <v>0</v>
      </c>
      <c r="HA41" s="265">
        <v>0</v>
      </c>
      <c r="HB41" s="265">
        <v>0</v>
      </c>
      <c r="HC41" s="265">
        <v>0</v>
      </c>
      <c r="HD41" s="265">
        <v>0</v>
      </c>
      <c r="HE41" s="265">
        <v>0</v>
      </c>
      <c r="HF41" s="265">
        <v>0</v>
      </c>
      <c r="HG41" s="265">
        <v>0</v>
      </c>
      <c r="HH41" s="265">
        <v>0</v>
      </c>
      <c r="HI41" s="265"/>
      <c r="HJ41" s="265"/>
      <c r="HK41" s="265"/>
      <c r="HL41" s="265"/>
      <c r="HM41" s="265"/>
      <c r="HN41" s="265"/>
      <c r="HO41" s="265"/>
      <c r="HP41" s="265"/>
      <c r="HQ41" s="265"/>
      <c r="HR41" s="265"/>
      <c r="HS41" s="265"/>
      <c r="HT41" s="368"/>
      <c r="HU41" s="55">
        <f t="shared" si="105"/>
        <v>0</v>
      </c>
    </row>
    <row r="42" spans="1:229" x14ac:dyDescent="0.25">
      <c r="A42" s="2">
        <v>9</v>
      </c>
      <c r="B42" s="474"/>
      <c r="C42" s="23" t="s">
        <v>9</v>
      </c>
      <c r="D42" s="2" t="s">
        <v>17</v>
      </c>
      <c r="E42" s="73"/>
      <c r="F42" s="31"/>
      <c r="G42" s="31"/>
      <c r="H42" s="31"/>
      <c r="I42" s="31"/>
      <c r="J42" s="31"/>
      <c r="K42" s="31"/>
      <c r="L42" s="72"/>
      <c r="M42" s="106">
        <f t="shared" si="104"/>
        <v>0</v>
      </c>
      <c r="N42" s="129"/>
      <c r="O42" s="7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01"/>
      <c r="AQ42" s="162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>
        <v>0</v>
      </c>
      <c r="BW42" s="162"/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265">
        <v>0</v>
      </c>
      <c r="CZ42" s="13">
        <v>0</v>
      </c>
      <c r="DA42" s="269">
        <v>0</v>
      </c>
      <c r="DB42" s="278">
        <v>0</v>
      </c>
      <c r="DC42" s="265">
        <v>0</v>
      </c>
      <c r="DD42" s="13">
        <v>0</v>
      </c>
      <c r="DE42" s="265">
        <v>0</v>
      </c>
      <c r="DF42" s="265">
        <v>0</v>
      </c>
      <c r="DG42" s="265">
        <v>0</v>
      </c>
      <c r="DH42" s="265">
        <v>0</v>
      </c>
      <c r="DI42" s="265">
        <v>0</v>
      </c>
      <c r="DJ42" s="265">
        <v>0</v>
      </c>
      <c r="DK42" s="265">
        <v>0</v>
      </c>
      <c r="DL42" s="265">
        <v>0</v>
      </c>
      <c r="DM42" s="265">
        <v>0</v>
      </c>
      <c r="DN42" s="265">
        <v>0</v>
      </c>
      <c r="DO42" s="265">
        <v>0</v>
      </c>
      <c r="DP42" s="265">
        <v>0</v>
      </c>
      <c r="DQ42" s="265">
        <v>0</v>
      </c>
      <c r="DR42" s="265">
        <v>0</v>
      </c>
      <c r="DS42" s="265">
        <v>0</v>
      </c>
      <c r="DT42" s="265">
        <v>0</v>
      </c>
      <c r="DU42" s="265">
        <v>0</v>
      </c>
      <c r="DV42" s="265">
        <v>0</v>
      </c>
      <c r="DW42" s="265">
        <v>0</v>
      </c>
      <c r="DX42" s="265">
        <v>0</v>
      </c>
      <c r="DY42" s="265">
        <v>0</v>
      </c>
      <c r="DZ42" s="265">
        <v>0</v>
      </c>
      <c r="EA42" s="265">
        <v>0</v>
      </c>
      <c r="EB42" s="265">
        <v>0</v>
      </c>
      <c r="EC42" s="265">
        <v>0</v>
      </c>
      <c r="ED42" s="265">
        <v>0</v>
      </c>
      <c r="EE42" s="265">
        <v>0</v>
      </c>
      <c r="EF42" s="368">
        <v>0</v>
      </c>
      <c r="EG42" s="278">
        <v>0</v>
      </c>
      <c r="EH42" s="265">
        <v>0</v>
      </c>
      <c r="EI42" s="265">
        <v>0</v>
      </c>
      <c r="EJ42" s="265">
        <v>0</v>
      </c>
      <c r="EK42" s="265">
        <v>0</v>
      </c>
      <c r="EL42" s="265">
        <v>0</v>
      </c>
      <c r="EM42" s="265">
        <v>0</v>
      </c>
      <c r="EN42" s="265">
        <v>0</v>
      </c>
      <c r="EO42" s="265">
        <v>0</v>
      </c>
      <c r="EP42" s="265">
        <v>0</v>
      </c>
      <c r="EQ42" s="265">
        <v>0</v>
      </c>
      <c r="ER42" s="265">
        <v>0</v>
      </c>
      <c r="ES42" s="265">
        <v>0</v>
      </c>
      <c r="ET42" s="265">
        <v>0</v>
      </c>
      <c r="EU42" s="265">
        <v>0</v>
      </c>
      <c r="EV42" s="265">
        <v>0</v>
      </c>
      <c r="EW42" s="265">
        <v>0</v>
      </c>
      <c r="EX42" s="265">
        <v>0</v>
      </c>
      <c r="EY42" s="265">
        <v>0</v>
      </c>
      <c r="EZ42" s="265">
        <v>0</v>
      </c>
      <c r="FA42" s="265">
        <v>0</v>
      </c>
      <c r="FB42" s="265">
        <v>0</v>
      </c>
      <c r="FC42" s="265">
        <v>0</v>
      </c>
      <c r="FD42" s="265">
        <v>0</v>
      </c>
      <c r="FE42" s="265">
        <v>0</v>
      </c>
      <c r="FF42" s="265">
        <v>0</v>
      </c>
      <c r="FG42" s="265">
        <v>0</v>
      </c>
      <c r="FH42" s="265">
        <v>0</v>
      </c>
      <c r="FI42" s="265">
        <v>0</v>
      </c>
      <c r="FJ42" s="269">
        <v>0</v>
      </c>
      <c r="FK42" s="278">
        <v>0</v>
      </c>
      <c r="FL42" s="265">
        <v>0</v>
      </c>
      <c r="FM42" s="265">
        <v>0</v>
      </c>
      <c r="FN42" s="265">
        <v>0</v>
      </c>
      <c r="FO42" s="265">
        <v>0</v>
      </c>
      <c r="FP42" s="265">
        <v>0</v>
      </c>
      <c r="FQ42" s="265">
        <v>0</v>
      </c>
      <c r="FR42" s="265">
        <v>0</v>
      </c>
      <c r="FS42" s="265">
        <v>0</v>
      </c>
      <c r="FT42" s="265">
        <v>0</v>
      </c>
      <c r="FU42" s="265">
        <v>0</v>
      </c>
      <c r="FV42" s="265">
        <v>0</v>
      </c>
      <c r="FW42" s="265">
        <v>0</v>
      </c>
      <c r="FX42" s="265">
        <v>0</v>
      </c>
      <c r="FY42" s="265">
        <v>0</v>
      </c>
      <c r="FZ42" s="265">
        <v>0</v>
      </c>
      <c r="GA42" s="265">
        <v>0</v>
      </c>
      <c r="GB42" s="265">
        <v>0</v>
      </c>
      <c r="GC42" s="265">
        <v>0</v>
      </c>
      <c r="GD42" s="265">
        <v>0</v>
      </c>
      <c r="GE42" s="265">
        <v>0</v>
      </c>
      <c r="GF42" s="265">
        <v>0</v>
      </c>
      <c r="GG42" s="265">
        <v>0</v>
      </c>
      <c r="GH42" s="265">
        <v>0</v>
      </c>
      <c r="GI42" s="265">
        <v>0</v>
      </c>
      <c r="GJ42" s="265">
        <v>0</v>
      </c>
      <c r="GK42" s="265">
        <v>0</v>
      </c>
      <c r="GL42" s="265">
        <v>0</v>
      </c>
      <c r="GM42" s="265">
        <v>0</v>
      </c>
      <c r="GN42" s="265">
        <v>0</v>
      </c>
      <c r="GO42" s="269">
        <v>0</v>
      </c>
      <c r="GP42" s="278">
        <v>0</v>
      </c>
      <c r="GQ42" s="265">
        <v>0</v>
      </c>
      <c r="GR42" s="265">
        <v>0</v>
      </c>
      <c r="GS42" s="265">
        <v>0</v>
      </c>
      <c r="GT42" s="265">
        <v>0</v>
      </c>
      <c r="GU42" s="265">
        <v>0</v>
      </c>
      <c r="GV42" s="265">
        <v>0</v>
      </c>
      <c r="GW42" s="265">
        <v>0</v>
      </c>
      <c r="GX42" s="265">
        <v>0</v>
      </c>
      <c r="GY42" s="265">
        <v>0</v>
      </c>
      <c r="GZ42" s="265">
        <v>0</v>
      </c>
      <c r="HA42" s="265">
        <v>0</v>
      </c>
      <c r="HB42" s="265">
        <v>0</v>
      </c>
      <c r="HC42" s="265">
        <v>0</v>
      </c>
      <c r="HD42" s="265">
        <v>0</v>
      </c>
      <c r="HE42" s="265">
        <v>0</v>
      </c>
      <c r="HF42" s="265">
        <v>0</v>
      </c>
      <c r="HG42" s="265">
        <v>0</v>
      </c>
      <c r="HH42" s="265">
        <v>0</v>
      </c>
      <c r="HI42" s="265"/>
      <c r="HJ42" s="265"/>
      <c r="HK42" s="265"/>
      <c r="HL42" s="265"/>
      <c r="HM42" s="265"/>
      <c r="HN42" s="265"/>
      <c r="HO42" s="265"/>
      <c r="HP42" s="265"/>
      <c r="HQ42" s="265"/>
      <c r="HR42" s="265"/>
      <c r="HS42" s="265"/>
      <c r="HT42" s="368"/>
      <c r="HU42" s="55">
        <f t="shared" si="105"/>
        <v>0</v>
      </c>
    </row>
    <row r="43" spans="1:229" x14ac:dyDescent="0.25">
      <c r="A43" s="2">
        <v>10</v>
      </c>
      <c r="B43" s="474"/>
      <c r="C43" s="23" t="s">
        <v>10</v>
      </c>
      <c r="D43" s="2" t="s">
        <v>17</v>
      </c>
      <c r="E43" s="73"/>
      <c r="F43" s="31"/>
      <c r="G43" s="31"/>
      <c r="H43" s="31"/>
      <c r="I43" s="31"/>
      <c r="J43" s="31"/>
      <c r="K43" s="31"/>
      <c r="L43" s="72"/>
      <c r="M43" s="106">
        <f t="shared" si="104"/>
        <v>0</v>
      </c>
      <c r="N43" s="129"/>
      <c r="O43" s="7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01"/>
      <c r="AQ43" s="162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>
        <v>0</v>
      </c>
      <c r="BW43" s="162"/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265">
        <v>0</v>
      </c>
      <c r="CZ43" s="13">
        <v>0</v>
      </c>
      <c r="DA43" s="269">
        <v>0</v>
      </c>
      <c r="DB43" s="278">
        <v>0</v>
      </c>
      <c r="DC43" s="265">
        <v>0</v>
      </c>
      <c r="DD43" s="13">
        <v>0</v>
      </c>
      <c r="DE43" s="265">
        <v>0</v>
      </c>
      <c r="DF43" s="265">
        <v>0</v>
      </c>
      <c r="DG43" s="265">
        <v>0</v>
      </c>
      <c r="DH43" s="265">
        <v>0</v>
      </c>
      <c r="DI43" s="265">
        <v>0</v>
      </c>
      <c r="DJ43" s="265">
        <v>0</v>
      </c>
      <c r="DK43" s="265">
        <v>0</v>
      </c>
      <c r="DL43" s="265">
        <v>0</v>
      </c>
      <c r="DM43" s="265">
        <v>0</v>
      </c>
      <c r="DN43" s="265">
        <v>0</v>
      </c>
      <c r="DO43" s="265">
        <v>0</v>
      </c>
      <c r="DP43" s="265">
        <v>0</v>
      </c>
      <c r="DQ43" s="265">
        <v>0</v>
      </c>
      <c r="DR43" s="265">
        <v>0</v>
      </c>
      <c r="DS43" s="265">
        <v>0</v>
      </c>
      <c r="DT43" s="265">
        <v>0</v>
      </c>
      <c r="DU43" s="265">
        <v>0</v>
      </c>
      <c r="DV43" s="265">
        <v>0</v>
      </c>
      <c r="DW43" s="265">
        <v>0</v>
      </c>
      <c r="DX43" s="265">
        <v>0</v>
      </c>
      <c r="DY43" s="265">
        <v>0</v>
      </c>
      <c r="DZ43" s="265">
        <v>0</v>
      </c>
      <c r="EA43" s="265">
        <v>0</v>
      </c>
      <c r="EB43" s="265">
        <v>0</v>
      </c>
      <c r="EC43" s="265">
        <v>0</v>
      </c>
      <c r="ED43" s="265">
        <v>0</v>
      </c>
      <c r="EE43" s="265">
        <v>0</v>
      </c>
      <c r="EF43" s="368">
        <v>0</v>
      </c>
      <c r="EG43" s="278">
        <v>0</v>
      </c>
      <c r="EH43" s="265">
        <v>0</v>
      </c>
      <c r="EI43" s="265">
        <v>0</v>
      </c>
      <c r="EJ43" s="265">
        <v>0</v>
      </c>
      <c r="EK43" s="265">
        <v>0</v>
      </c>
      <c r="EL43" s="265">
        <v>0</v>
      </c>
      <c r="EM43" s="265">
        <v>0</v>
      </c>
      <c r="EN43" s="265">
        <v>0</v>
      </c>
      <c r="EO43" s="265">
        <v>0</v>
      </c>
      <c r="EP43" s="265">
        <v>0</v>
      </c>
      <c r="EQ43" s="265">
        <v>0</v>
      </c>
      <c r="ER43" s="265">
        <v>0</v>
      </c>
      <c r="ES43" s="265">
        <v>0</v>
      </c>
      <c r="ET43" s="265">
        <v>0</v>
      </c>
      <c r="EU43" s="265">
        <v>0</v>
      </c>
      <c r="EV43" s="265">
        <v>0</v>
      </c>
      <c r="EW43" s="265">
        <v>0</v>
      </c>
      <c r="EX43" s="265">
        <v>0</v>
      </c>
      <c r="EY43" s="265">
        <v>0</v>
      </c>
      <c r="EZ43" s="265">
        <v>0</v>
      </c>
      <c r="FA43" s="265">
        <v>0</v>
      </c>
      <c r="FB43" s="265">
        <v>0</v>
      </c>
      <c r="FC43" s="265">
        <v>0</v>
      </c>
      <c r="FD43" s="265">
        <v>0</v>
      </c>
      <c r="FE43" s="265">
        <v>0</v>
      </c>
      <c r="FF43" s="265">
        <v>0</v>
      </c>
      <c r="FG43" s="265">
        <v>0</v>
      </c>
      <c r="FH43" s="265">
        <v>0</v>
      </c>
      <c r="FI43" s="265">
        <v>0</v>
      </c>
      <c r="FJ43" s="269">
        <v>0</v>
      </c>
      <c r="FK43" s="278">
        <v>0</v>
      </c>
      <c r="FL43" s="265">
        <v>0</v>
      </c>
      <c r="FM43" s="265">
        <v>0</v>
      </c>
      <c r="FN43" s="265">
        <v>0</v>
      </c>
      <c r="FO43" s="265">
        <v>0</v>
      </c>
      <c r="FP43" s="265">
        <v>0</v>
      </c>
      <c r="FQ43" s="265">
        <v>0</v>
      </c>
      <c r="FR43" s="265">
        <v>0</v>
      </c>
      <c r="FS43" s="265">
        <v>0</v>
      </c>
      <c r="FT43" s="265">
        <v>0</v>
      </c>
      <c r="FU43" s="265">
        <v>0</v>
      </c>
      <c r="FV43" s="265">
        <v>0</v>
      </c>
      <c r="FW43" s="265">
        <v>0</v>
      </c>
      <c r="FX43" s="265">
        <v>0</v>
      </c>
      <c r="FY43" s="265">
        <v>0</v>
      </c>
      <c r="FZ43" s="265">
        <v>0</v>
      </c>
      <c r="GA43" s="265">
        <v>0</v>
      </c>
      <c r="GB43" s="265">
        <v>0</v>
      </c>
      <c r="GC43" s="265">
        <v>0</v>
      </c>
      <c r="GD43" s="265">
        <v>0</v>
      </c>
      <c r="GE43" s="265">
        <v>0</v>
      </c>
      <c r="GF43" s="265">
        <v>0</v>
      </c>
      <c r="GG43" s="265">
        <v>0</v>
      </c>
      <c r="GH43" s="265">
        <v>0</v>
      </c>
      <c r="GI43" s="265">
        <v>0</v>
      </c>
      <c r="GJ43" s="265">
        <v>0</v>
      </c>
      <c r="GK43" s="265">
        <v>0</v>
      </c>
      <c r="GL43" s="265">
        <v>0</v>
      </c>
      <c r="GM43" s="265">
        <v>0</v>
      </c>
      <c r="GN43" s="265">
        <v>0</v>
      </c>
      <c r="GO43" s="269">
        <v>0</v>
      </c>
      <c r="GP43" s="278">
        <v>0</v>
      </c>
      <c r="GQ43" s="265">
        <v>0</v>
      </c>
      <c r="GR43" s="265">
        <v>0</v>
      </c>
      <c r="GS43" s="265">
        <v>0</v>
      </c>
      <c r="GT43" s="265">
        <v>0</v>
      </c>
      <c r="GU43" s="265">
        <v>0</v>
      </c>
      <c r="GV43" s="265">
        <v>0</v>
      </c>
      <c r="GW43" s="265">
        <v>0</v>
      </c>
      <c r="GX43" s="265">
        <v>0</v>
      </c>
      <c r="GY43" s="265">
        <v>0</v>
      </c>
      <c r="GZ43" s="265">
        <v>0</v>
      </c>
      <c r="HA43" s="265">
        <v>0</v>
      </c>
      <c r="HB43" s="265">
        <v>0</v>
      </c>
      <c r="HC43" s="265">
        <v>0</v>
      </c>
      <c r="HD43" s="265">
        <v>0</v>
      </c>
      <c r="HE43" s="265">
        <v>0</v>
      </c>
      <c r="HF43" s="265">
        <v>0</v>
      </c>
      <c r="HG43" s="265">
        <v>0</v>
      </c>
      <c r="HH43" s="265">
        <v>0</v>
      </c>
      <c r="HI43" s="265"/>
      <c r="HJ43" s="265"/>
      <c r="HK43" s="265"/>
      <c r="HL43" s="265"/>
      <c r="HM43" s="265"/>
      <c r="HN43" s="265"/>
      <c r="HO43" s="265"/>
      <c r="HP43" s="265"/>
      <c r="HQ43" s="265"/>
      <c r="HR43" s="265"/>
      <c r="HS43" s="265"/>
      <c r="HT43" s="368"/>
      <c r="HU43" s="55">
        <f t="shared" si="105"/>
        <v>0</v>
      </c>
    </row>
    <row r="44" spans="1:229" x14ac:dyDescent="0.25">
      <c r="A44" s="2">
        <v>11</v>
      </c>
      <c r="B44" s="496"/>
      <c r="C44" s="23" t="s">
        <v>11</v>
      </c>
      <c r="D44" s="2" t="s">
        <v>17</v>
      </c>
      <c r="E44" s="73"/>
      <c r="F44" s="31"/>
      <c r="G44" s="31"/>
      <c r="H44" s="31"/>
      <c r="I44" s="31"/>
      <c r="J44" s="31"/>
      <c r="K44" s="31"/>
      <c r="L44" s="72"/>
      <c r="M44" s="106">
        <f t="shared" si="104"/>
        <v>0</v>
      </c>
      <c r="N44" s="129"/>
      <c r="O44" s="7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01"/>
      <c r="AQ44" s="162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>
        <v>0</v>
      </c>
      <c r="BW44" s="162"/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265">
        <v>0</v>
      </c>
      <c r="CZ44" s="13">
        <v>0</v>
      </c>
      <c r="DA44" s="269">
        <v>0</v>
      </c>
      <c r="DB44" s="278">
        <v>0</v>
      </c>
      <c r="DC44" s="265">
        <v>0</v>
      </c>
      <c r="DD44" s="13">
        <v>0</v>
      </c>
      <c r="DE44" s="265">
        <v>0</v>
      </c>
      <c r="DF44" s="265">
        <v>0</v>
      </c>
      <c r="DG44" s="265">
        <v>0</v>
      </c>
      <c r="DH44" s="265">
        <v>0</v>
      </c>
      <c r="DI44" s="265">
        <v>0</v>
      </c>
      <c r="DJ44" s="265">
        <v>0</v>
      </c>
      <c r="DK44" s="265">
        <v>0</v>
      </c>
      <c r="DL44" s="265">
        <v>0</v>
      </c>
      <c r="DM44" s="265">
        <v>0</v>
      </c>
      <c r="DN44" s="265">
        <v>0</v>
      </c>
      <c r="DO44" s="265">
        <v>0</v>
      </c>
      <c r="DP44" s="265">
        <v>0</v>
      </c>
      <c r="DQ44" s="265">
        <v>0</v>
      </c>
      <c r="DR44" s="265">
        <v>0</v>
      </c>
      <c r="DS44" s="265">
        <v>0</v>
      </c>
      <c r="DT44" s="265">
        <v>0</v>
      </c>
      <c r="DU44" s="265">
        <v>0</v>
      </c>
      <c r="DV44" s="265">
        <v>0</v>
      </c>
      <c r="DW44" s="265">
        <v>0</v>
      </c>
      <c r="DX44" s="265">
        <v>0</v>
      </c>
      <c r="DY44" s="265">
        <v>0</v>
      </c>
      <c r="DZ44" s="265">
        <v>0</v>
      </c>
      <c r="EA44" s="265">
        <v>0</v>
      </c>
      <c r="EB44" s="265">
        <v>0</v>
      </c>
      <c r="EC44" s="265">
        <v>0</v>
      </c>
      <c r="ED44" s="265">
        <v>0</v>
      </c>
      <c r="EE44" s="265">
        <v>0</v>
      </c>
      <c r="EF44" s="368">
        <v>0</v>
      </c>
      <c r="EG44" s="278">
        <v>0</v>
      </c>
      <c r="EH44" s="265">
        <v>0</v>
      </c>
      <c r="EI44" s="265">
        <v>0</v>
      </c>
      <c r="EJ44" s="265">
        <v>0</v>
      </c>
      <c r="EK44" s="265">
        <v>0</v>
      </c>
      <c r="EL44" s="265">
        <v>0</v>
      </c>
      <c r="EM44" s="265">
        <v>0</v>
      </c>
      <c r="EN44" s="265">
        <v>0</v>
      </c>
      <c r="EO44" s="265">
        <v>0</v>
      </c>
      <c r="EP44" s="265">
        <v>0</v>
      </c>
      <c r="EQ44" s="265">
        <v>0</v>
      </c>
      <c r="ER44" s="265">
        <v>0</v>
      </c>
      <c r="ES44" s="265">
        <v>0</v>
      </c>
      <c r="ET44" s="265">
        <v>0</v>
      </c>
      <c r="EU44" s="265">
        <v>0</v>
      </c>
      <c r="EV44" s="265">
        <v>0</v>
      </c>
      <c r="EW44" s="265">
        <v>0</v>
      </c>
      <c r="EX44" s="265">
        <v>0</v>
      </c>
      <c r="EY44" s="265">
        <v>0</v>
      </c>
      <c r="EZ44" s="265">
        <v>0</v>
      </c>
      <c r="FA44" s="265">
        <v>0</v>
      </c>
      <c r="FB44" s="265">
        <v>0</v>
      </c>
      <c r="FC44" s="265">
        <v>0</v>
      </c>
      <c r="FD44" s="265">
        <v>0</v>
      </c>
      <c r="FE44" s="265">
        <v>0</v>
      </c>
      <c r="FF44" s="265">
        <v>0</v>
      </c>
      <c r="FG44" s="265">
        <v>0</v>
      </c>
      <c r="FH44" s="265">
        <v>0</v>
      </c>
      <c r="FI44" s="265">
        <v>0</v>
      </c>
      <c r="FJ44" s="269">
        <v>0</v>
      </c>
      <c r="FK44" s="278">
        <v>0</v>
      </c>
      <c r="FL44" s="265">
        <v>0</v>
      </c>
      <c r="FM44" s="265">
        <v>0</v>
      </c>
      <c r="FN44" s="265">
        <v>0</v>
      </c>
      <c r="FO44" s="265">
        <v>0</v>
      </c>
      <c r="FP44" s="265">
        <v>0</v>
      </c>
      <c r="FQ44" s="265">
        <v>0</v>
      </c>
      <c r="FR44" s="265">
        <v>0</v>
      </c>
      <c r="FS44" s="265">
        <v>0</v>
      </c>
      <c r="FT44" s="265">
        <v>0</v>
      </c>
      <c r="FU44" s="265">
        <v>0</v>
      </c>
      <c r="FV44" s="265">
        <v>0</v>
      </c>
      <c r="FW44" s="265">
        <v>0</v>
      </c>
      <c r="FX44" s="265">
        <v>0</v>
      </c>
      <c r="FY44" s="265">
        <v>0</v>
      </c>
      <c r="FZ44" s="265">
        <v>0</v>
      </c>
      <c r="GA44" s="265">
        <v>0</v>
      </c>
      <c r="GB44" s="265">
        <v>0</v>
      </c>
      <c r="GC44" s="265">
        <v>0</v>
      </c>
      <c r="GD44" s="265">
        <v>0</v>
      </c>
      <c r="GE44" s="265">
        <v>0</v>
      </c>
      <c r="GF44" s="265">
        <v>0</v>
      </c>
      <c r="GG44" s="265">
        <v>0</v>
      </c>
      <c r="GH44" s="265">
        <v>0</v>
      </c>
      <c r="GI44" s="265">
        <v>0</v>
      </c>
      <c r="GJ44" s="265">
        <v>0</v>
      </c>
      <c r="GK44" s="265">
        <v>0</v>
      </c>
      <c r="GL44" s="265">
        <v>0</v>
      </c>
      <c r="GM44" s="265">
        <v>0</v>
      </c>
      <c r="GN44" s="265">
        <v>0</v>
      </c>
      <c r="GO44" s="269">
        <v>0</v>
      </c>
      <c r="GP44" s="278">
        <v>0</v>
      </c>
      <c r="GQ44" s="265">
        <v>0</v>
      </c>
      <c r="GR44" s="265">
        <v>0</v>
      </c>
      <c r="GS44" s="265">
        <v>0</v>
      </c>
      <c r="GT44" s="265">
        <v>0</v>
      </c>
      <c r="GU44" s="265">
        <v>0</v>
      </c>
      <c r="GV44" s="265">
        <v>0</v>
      </c>
      <c r="GW44" s="265">
        <v>0</v>
      </c>
      <c r="GX44" s="265">
        <v>0</v>
      </c>
      <c r="GY44" s="265">
        <v>0</v>
      </c>
      <c r="GZ44" s="265">
        <v>0</v>
      </c>
      <c r="HA44" s="265">
        <v>0</v>
      </c>
      <c r="HB44" s="265">
        <v>0</v>
      </c>
      <c r="HC44" s="265">
        <v>0</v>
      </c>
      <c r="HD44" s="265">
        <v>0</v>
      </c>
      <c r="HE44" s="265">
        <v>0</v>
      </c>
      <c r="HF44" s="265">
        <v>0</v>
      </c>
      <c r="HG44" s="265">
        <v>0</v>
      </c>
      <c r="HH44" s="265">
        <v>0</v>
      </c>
      <c r="HI44" s="265"/>
      <c r="HJ44" s="265"/>
      <c r="HK44" s="265"/>
      <c r="HL44" s="265"/>
      <c r="HM44" s="265"/>
      <c r="HN44" s="265"/>
      <c r="HO44" s="265"/>
      <c r="HP44" s="265"/>
      <c r="HQ44" s="265"/>
      <c r="HR44" s="265"/>
      <c r="HS44" s="265"/>
      <c r="HT44" s="368"/>
      <c r="HU44" s="55">
        <f t="shared" si="105"/>
        <v>0</v>
      </c>
    </row>
    <row r="45" spans="1:229" s="7" customFormat="1" ht="24.75" customHeight="1" thickBot="1" x14ac:dyDescent="0.3">
      <c r="A45" s="15"/>
      <c r="B45" s="15"/>
      <c r="C45" s="24" t="s">
        <v>12</v>
      </c>
      <c r="D45" s="78" t="s">
        <v>17</v>
      </c>
      <c r="E45" s="74">
        <f t="shared" ref="E45:L45" si="106">SUM(E34:E44)</f>
        <v>0</v>
      </c>
      <c r="F45" s="18">
        <f t="shared" si="106"/>
        <v>0</v>
      </c>
      <c r="G45" s="18">
        <f t="shared" si="106"/>
        <v>0</v>
      </c>
      <c r="H45" s="18">
        <f t="shared" si="106"/>
        <v>0</v>
      </c>
      <c r="I45" s="18">
        <f t="shared" si="106"/>
        <v>0</v>
      </c>
      <c r="J45" s="18">
        <f t="shared" si="106"/>
        <v>0</v>
      </c>
      <c r="K45" s="18">
        <f t="shared" si="106"/>
        <v>0</v>
      </c>
      <c r="L45" s="75">
        <f t="shared" si="106"/>
        <v>0</v>
      </c>
      <c r="M45" s="110">
        <f>SUM(M34:M44)</f>
        <v>0</v>
      </c>
      <c r="N45" s="132"/>
      <c r="O45" s="74">
        <f>SUM(O34:O44)</f>
        <v>0</v>
      </c>
      <c r="P45" s="18">
        <f>SUM(P34:P44)</f>
        <v>0</v>
      </c>
      <c r="Q45" s="18">
        <f>SUM(Q34:Q44)</f>
        <v>0</v>
      </c>
      <c r="R45" s="18">
        <f>SUM(R34:R44)</f>
        <v>0</v>
      </c>
      <c r="S45" s="18">
        <f>SUM(S34:S44)</f>
        <v>0</v>
      </c>
      <c r="T45" s="18">
        <f t="shared" ref="T45:AP45" si="107">SUM(T34:T44)</f>
        <v>0</v>
      </c>
      <c r="U45" s="18">
        <f t="shared" si="107"/>
        <v>0</v>
      </c>
      <c r="V45" s="18">
        <f t="shared" si="107"/>
        <v>0</v>
      </c>
      <c r="W45" s="18">
        <f t="shared" si="107"/>
        <v>0</v>
      </c>
      <c r="X45" s="18">
        <f t="shared" si="107"/>
        <v>0</v>
      </c>
      <c r="Y45" s="18">
        <f t="shared" si="107"/>
        <v>0</v>
      </c>
      <c r="Z45" s="18">
        <f t="shared" si="107"/>
        <v>0</v>
      </c>
      <c r="AA45" s="18">
        <f t="shared" si="107"/>
        <v>0</v>
      </c>
      <c r="AB45" s="18">
        <f t="shared" si="107"/>
        <v>0</v>
      </c>
      <c r="AC45" s="18">
        <f t="shared" si="107"/>
        <v>0</v>
      </c>
      <c r="AD45" s="18">
        <f t="shared" si="107"/>
        <v>0</v>
      </c>
      <c r="AE45" s="18">
        <f t="shared" si="107"/>
        <v>0</v>
      </c>
      <c r="AF45" s="18">
        <f t="shared" si="107"/>
        <v>0</v>
      </c>
      <c r="AG45" s="18">
        <f t="shared" si="107"/>
        <v>0</v>
      </c>
      <c r="AH45" s="18">
        <f t="shared" si="107"/>
        <v>0</v>
      </c>
      <c r="AI45" s="18">
        <f t="shared" si="107"/>
        <v>0</v>
      </c>
      <c r="AJ45" s="18">
        <f t="shared" si="107"/>
        <v>0</v>
      </c>
      <c r="AK45" s="18">
        <f t="shared" si="107"/>
        <v>0</v>
      </c>
      <c r="AL45" s="18">
        <f t="shared" si="107"/>
        <v>0</v>
      </c>
      <c r="AM45" s="18">
        <f t="shared" si="107"/>
        <v>0</v>
      </c>
      <c r="AN45" s="18">
        <f t="shared" si="107"/>
        <v>0</v>
      </c>
      <c r="AO45" s="18">
        <f t="shared" si="107"/>
        <v>0</v>
      </c>
      <c r="AP45" s="349">
        <f t="shared" si="107"/>
        <v>0</v>
      </c>
      <c r="AQ45" s="385"/>
      <c r="AR45" s="18">
        <f t="shared" ref="AR45:AZ45" si="108">SUM(AR34:AR44)</f>
        <v>0</v>
      </c>
      <c r="AS45" s="18">
        <f t="shared" si="108"/>
        <v>0</v>
      </c>
      <c r="AT45" s="18">
        <f t="shared" si="108"/>
        <v>0</v>
      </c>
      <c r="AU45" s="18">
        <f t="shared" si="108"/>
        <v>0</v>
      </c>
      <c r="AV45" s="18">
        <f t="shared" si="108"/>
        <v>0</v>
      </c>
      <c r="AW45" s="18">
        <f t="shared" si="108"/>
        <v>0</v>
      </c>
      <c r="AX45" s="18">
        <f t="shared" si="108"/>
        <v>0</v>
      </c>
      <c r="AY45" s="18">
        <f t="shared" si="108"/>
        <v>0</v>
      </c>
      <c r="AZ45" s="18">
        <f t="shared" si="108"/>
        <v>0</v>
      </c>
      <c r="BA45" s="18">
        <f>SUM(BA34:BA44)</f>
        <v>0</v>
      </c>
      <c r="BB45" s="18">
        <f t="shared" ref="BB45:BV45" si="109">SUM(BB34:BB44)</f>
        <v>0</v>
      </c>
      <c r="BC45" s="18">
        <f t="shared" si="109"/>
        <v>0</v>
      </c>
      <c r="BD45" s="18">
        <f t="shared" si="109"/>
        <v>0</v>
      </c>
      <c r="BE45" s="18">
        <f t="shared" si="109"/>
        <v>0</v>
      </c>
      <c r="BF45" s="18">
        <f t="shared" si="109"/>
        <v>0</v>
      </c>
      <c r="BG45" s="18">
        <f t="shared" si="109"/>
        <v>0</v>
      </c>
      <c r="BH45" s="18">
        <f t="shared" si="109"/>
        <v>0</v>
      </c>
      <c r="BI45" s="18">
        <f t="shared" si="109"/>
        <v>0</v>
      </c>
      <c r="BJ45" s="18">
        <f t="shared" si="109"/>
        <v>0</v>
      </c>
      <c r="BK45" s="18">
        <f t="shared" si="109"/>
        <v>0</v>
      </c>
      <c r="BL45" s="18">
        <f t="shared" si="109"/>
        <v>0</v>
      </c>
      <c r="BM45" s="18">
        <f t="shared" si="109"/>
        <v>0</v>
      </c>
      <c r="BN45" s="18">
        <f t="shared" si="109"/>
        <v>0</v>
      </c>
      <c r="BO45" s="18">
        <f t="shared" si="109"/>
        <v>0</v>
      </c>
      <c r="BP45" s="18">
        <f t="shared" si="109"/>
        <v>0</v>
      </c>
      <c r="BQ45" s="18">
        <f t="shared" si="109"/>
        <v>0</v>
      </c>
      <c r="BR45" s="18">
        <f t="shared" si="109"/>
        <v>0</v>
      </c>
      <c r="BS45" s="18">
        <f t="shared" si="109"/>
        <v>0</v>
      </c>
      <c r="BT45" s="18">
        <f t="shared" si="109"/>
        <v>0</v>
      </c>
      <c r="BU45" s="18">
        <f t="shared" si="109"/>
        <v>0</v>
      </c>
      <c r="BV45" s="18">
        <f t="shared" si="109"/>
        <v>1</v>
      </c>
      <c r="BW45" s="385"/>
      <c r="BX45" s="18">
        <f t="shared" ref="BX45:CF45" si="110">SUM(BX34:BX44)</f>
        <v>0</v>
      </c>
      <c r="BY45" s="18">
        <f t="shared" si="110"/>
        <v>0</v>
      </c>
      <c r="BZ45" s="18">
        <f t="shared" si="110"/>
        <v>0</v>
      </c>
      <c r="CA45" s="18">
        <f t="shared" si="110"/>
        <v>0</v>
      </c>
      <c r="CB45" s="18">
        <f t="shared" si="110"/>
        <v>0</v>
      </c>
      <c r="CC45" s="18">
        <v>0</v>
      </c>
      <c r="CD45" s="18">
        <f t="shared" si="110"/>
        <v>0</v>
      </c>
      <c r="CE45" s="18">
        <v>0</v>
      </c>
      <c r="CF45" s="18">
        <f t="shared" si="110"/>
        <v>0</v>
      </c>
      <c r="CG45" s="18">
        <f>SUM(CG34:CG44)</f>
        <v>0</v>
      </c>
      <c r="CH45" s="18">
        <v>0</v>
      </c>
      <c r="CI45" s="18">
        <f t="shared" ref="CI45:CZ45" si="111">SUM(CI34:CI44)</f>
        <v>0</v>
      </c>
      <c r="CJ45" s="18">
        <v>0</v>
      </c>
      <c r="CK45" s="18">
        <f t="shared" si="111"/>
        <v>0</v>
      </c>
      <c r="CL45" s="18">
        <f t="shared" si="111"/>
        <v>0</v>
      </c>
      <c r="CM45" s="18">
        <f t="shared" si="111"/>
        <v>0</v>
      </c>
      <c r="CN45" s="18">
        <f t="shared" si="111"/>
        <v>0</v>
      </c>
      <c r="CO45" s="18">
        <f t="shared" si="111"/>
        <v>0</v>
      </c>
      <c r="CP45" s="18">
        <f t="shared" si="111"/>
        <v>0</v>
      </c>
      <c r="CQ45" s="18">
        <f t="shared" si="111"/>
        <v>0</v>
      </c>
      <c r="CR45" s="18">
        <f t="shared" si="111"/>
        <v>0</v>
      </c>
      <c r="CS45" s="18">
        <f t="shared" si="111"/>
        <v>0</v>
      </c>
      <c r="CT45" s="18">
        <v>0</v>
      </c>
      <c r="CU45" s="18">
        <v>0</v>
      </c>
      <c r="CV45" s="18">
        <v>0</v>
      </c>
      <c r="CW45" s="18">
        <f t="shared" si="111"/>
        <v>0</v>
      </c>
      <c r="CX45" s="18">
        <f t="shared" si="111"/>
        <v>0</v>
      </c>
      <c r="CY45" s="18">
        <f t="shared" si="111"/>
        <v>2</v>
      </c>
      <c r="CZ45" s="18">
        <f t="shared" si="111"/>
        <v>0</v>
      </c>
      <c r="DA45" s="349">
        <f t="shared" ref="DA45:DE45" si="112">SUM(DA34:DA44)</f>
        <v>4</v>
      </c>
      <c r="DB45" s="74">
        <f t="shared" si="112"/>
        <v>0</v>
      </c>
      <c r="DC45" s="18">
        <f t="shared" si="112"/>
        <v>1</v>
      </c>
      <c r="DD45" s="18">
        <f t="shared" si="112"/>
        <v>0</v>
      </c>
      <c r="DE45" s="18">
        <f t="shared" si="112"/>
        <v>0</v>
      </c>
      <c r="DF45" s="18">
        <f t="shared" ref="DF45:DI45" si="113">SUM(DF34:DF44)</f>
        <v>1</v>
      </c>
      <c r="DG45" s="18">
        <f t="shared" si="113"/>
        <v>2</v>
      </c>
      <c r="DH45" s="18">
        <f t="shared" si="113"/>
        <v>1</v>
      </c>
      <c r="DI45" s="18">
        <f t="shared" si="113"/>
        <v>0</v>
      </c>
      <c r="DJ45" s="18">
        <f t="shared" ref="DJ45:DQ45" si="114">SUM(DJ34:DJ44)</f>
        <v>0</v>
      </c>
      <c r="DK45" s="18">
        <f t="shared" si="114"/>
        <v>1</v>
      </c>
      <c r="DL45" s="18">
        <f t="shared" si="114"/>
        <v>0</v>
      </c>
      <c r="DM45" s="18">
        <f t="shared" si="114"/>
        <v>0</v>
      </c>
      <c r="DN45" s="18">
        <f t="shared" si="114"/>
        <v>0</v>
      </c>
      <c r="DO45" s="18">
        <f t="shared" si="114"/>
        <v>0</v>
      </c>
      <c r="DP45" s="18">
        <f t="shared" si="114"/>
        <v>0</v>
      </c>
      <c r="DQ45" s="18">
        <f t="shared" si="114"/>
        <v>0</v>
      </c>
      <c r="DR45" s="18">
        <f t="shared" ref="DR45:DS45" si="115">SUM(DR34:DR44)</f>
        <v>0</v>
      </c>
      <c r="DS45" s="18">
        <f t="shared" si="115"/>
        <v>0</v>
      </c>
      <c r="DT45" s="18">
        <f t="shared" ref="DT45:DU45" si="116">SUM(DT34:DT44)</f>
        <v>0</v>
      </c>
      <c r="DU45" s="18">
        <f t="shared" si="116"/>
        <v>0</v>
      </c>
      <c r="DV45" s="18">
        <f t="shared" ref="DV45" si="117">SUM(DV34:DV44)</f>
        <v>0</v>
      </c>
      <c r="DW45" s="18">
        <f t="shared" ref="DW45:DX45" si="118">SUM(DW34:DW44)</f>
        <v>0</v>
      </c>
      <c r="DX45" s="18">
        <f t="shared" si="118"/>
        <v>0</v>
      </c>
      <c r="DY45" s="18">
        <f t="shared" ref="DY45:DZ45" si="119">SUM(DY34:DY44)</f>
        <v>0</v>
      </c>
      <c r="DZ45" s="18">
        <f t="shared" si="119"/>
        <v>0</v>
      </c>
      <c r="EA45" s="18">
        <f t="shared" ref="EA45:EF45" si="120">SUM(EA34:EA44)</f>
        <v>0</v>
      </c>
      <c r="EB45" s="18">
        <f t="shared" si="120"/>
        <v>0</v>
      </c>
      <c r="EC45" s="18">
        <f t="shared" si="120"/>
        <v>0</v>
      </c>
      <c r="ED45" s="18">
        <f t="shared" si="120"/>
        <v>0</v>
      </c>
      <c r="EE45" s="18">
        <f t="shared" si="120"/>
        <v>0</v>
      </c>
      <c r="EF45" s="75">
        <f t="shared" si="120"/>
        <v>6</v>
      </c>
      <c r="EG45" s="74">
        <f t="shared" ref="EG45:EH45" si="121">SUM(EG34:EG44)</f>
        <v>3</v>
      </c>
      <c r="EH45" s="18">
        <f t="shared" si="121"/>
        <v>4</v>
      </c>
      <c r="EI45" s="18">
        <f t="shared" ref="EI45:EJ45" si="122">SUM(EI34:EI44)</f>
        <v>4</v>
      </c>
      <c r="EJ45" s="18">
        <f t="shared" si="122"/>
        <v>4</v>
      </c>
      <c r="EK45" s="18">
        <f t="shared" ref="EK45:EL45" si="123">SUM(EK34:EK44)</f>
        <v>0</v>
      </c>
      <c r="EL45" s="18">
        <f t="shared" si="123"/>
        <v>3</v>
      </c>
      <c r="EM45" s="18">
        <f t="shared" ref="EM45:EN45" si="124">SUM(EM34:EM44)</f>
        <v>3</v>
      </c>
      <c r="EN45" s="18">
        <f t="shared" si="124"/>
        <v>5</v>
      </c>
      <c r="EO45" s="18">
        <f t="shared" ref="EO45:EQ45" si="125">SUM(EO34:EO44)</f>
        <v>1</v>
      </c>
      <c r="EP45" s="18">
        <f t="shared" si="125"/>
        <v>0</v>
      </c>
      <c r="EQ45" s="18">
        <f t="shared" si="125"/>
        <v>4</v>
      </c>
      <c r="ER45" s="18">
        <f t="shared" ref="ER45:EU45" si="126">SUM(ER34:ER44)</f>
        <v>0</v>
      </c>
      <c r="ES45" s="18">
        <f t="shared" si="126"/>
        <v>2</v>
      </c>
      <c r="ET45" s="18">
        <f t="shared" si="126"/>
        <v>0</v>
      </c>
      <c r="EU45" s="18">
        <f t="shared" si="126"/>
        <v>1</v>
      </c>
      <c r="EV45" s="18">
        <f t="shared" ref="EV45:EW45" si="127">SUM(EV34:EV44)</f>
        <v>1</v>
      </c>
      <c r="EW45" s="18">
        <f t="shared" si="127"/>
        <v>1</v>
      </c>
      <c r="EX45" s="18">
        <f t="shared" ref="EX45:EY45" si="128">SUM(EX34:EX44)</f>
        <v>0</v>
      </c>
      <c r="EY45" s="18">
        <f t="shared" si="128"/>
        <v>0</v>
      </c>
      <c r="EZ45" s="18">
        <f t="shared" ref="EZ45:FA45" si="129">SUM(EZ34:EZ44)</f>
        <v>1</v>
      </c>
      <c r="FA45" s="18">
        <f t="shared" si="129"/>
        <v>0</v>
      </c>
      <c r="FB45" s="18">
        <f t="shared" ref="FB45:FC45" si="130">SUM(FB34:FB44)</f>
        <v>0</v>
      </c>
      <c r="FC45" s="18">
        <f t="shared" si="130"/>
        <v>0</v>
      </c>
      <c r="FD45" s="18">
        <f t="shared" ref="FD45:FG45" si="131">SUM(FD34:FD44)</f>
        <v>5</v>
      </c>
      <c r="FE45" s="18">
        <f t="shared" si="131"/>
        <v>0</v>
      </c>
      <c r="FF45" s="18">
        <f t="shared" si="131"/>
        <v>0</v>
      </c>
      <c r="FG45" s="18">
        <f t="shared" si="131"/>
        <v>2</v>
      </c>
      <c r="FH45" s="18">
        <f t="shared" ref="FH45:FJ45" si="132">SUM(FH34:FH44)</f>
        <v>0</v>
      </c>
      <c r="FI45" s="18">
        <f t="shared" si="132"/>
        <v>0</v>
      </c>
      <c r="FJ45" s="349">
        <f t="shared" si="132"/>
        <v>0</v>
      </c>
      <c r="FK45" s="74">
        <f t="shared" ref="FK45:FL45" si="133">SUM(FK34:FK44)</f>
        <v>0</v>
      </c>
      <c r="FL45" s="18">
        <f t="shared" si="133"/>
        <v>0</v>
      </c>
      <c r="FM45" s="18">
        <f t="shared" ref="FM45:FN45" si="134">SUM(FM34:FM44)</f>
        <v>0</v>
      </c>
      <c r="FN45" s="18">
        <f t="shared" si="134"/>
        <v>0</v>
      </c>
      <c r="FO45" s="18">
        <f t="shared" ref="FO45:FP45" si="135">SUM(FO34:FO44)</f>
        <v>0</v>
      </c>
      <c r="FP45" s="18">
        <f t="shared" si="135"/>
        <v>0</v>
      </c>
      <c r="FQ45" s="18">
        <f t="shared" ref="FQ45:FR45" si="136">SUM(FQ34:FQ44)</f>
        <v>0</v>
      </c>
      <c r="FR45" s="18">
        <f t="shared" si="136"/>
        <v>0</v>
      </c>
      <c r="FS45" s="18">
        <f t="shared" ref="FS45:FU45" si="137">SUM(FS34:FS44)</f>
        <v>0</v>
      </c>
      <c r="FT45" s="18">
        <f t="shared" si="137"/>
        <v>0</v>
      </c>
      <c r="FU45" s="18">
        <f t="shared" si="137"/>
        <v>0</v>
      </c>
      <c r="FV45" s="18">
        <f t="shared" ref="FV45:FW45" si="138">SUM(FV34:FV44)</f>
        <v>0</v>
      </c>
      <c r="FW45" s="18">
        <f t="shared" si="138"/>
        <v>0</v>
      </c>
      <c r="FX45" s="18">
        <f t="shared" ref="FX45:FY45" si="139">SUM(FX34:FX44)</f>
        <v>0</v>
      </c>
      <c r="FY45" s="18">
        <f t="shared" si="139"/>
        <v>0</v>
      </c>
      <c r="FZ45" s="18">
        <f t="shared" ref="FZ45:GA45" si="140">SUM(FZ34:FZ44)</f>
        <v>0</v>
      </c>
      <c r="GA45" s="18">
        <f t="shared" si="140"/>
        <v>0</v>
      </c>
      <c r="GB45" s="18">
        <f t="shared" ref="GB45:GE45" si="141">SUM(GB34:GB44)</f>
        <v>2</v>
      </c>
      <c r="GC45" s="18">
        <f t="shared" si="141"/>
        <v>0</v>
      </c>
      <c r="GD45" s="18">
        <f t="shared" si="141"/>
        <v>0</v>
      </c>
      <c r="GE45" s="18">
        <f t="shared" si="141"/>
        <v>0</v>
      </c>
      <c r="GF45" s="18">
        <f t="shared" ref="GF45:GH45" si="142">SUM(GF34:GF44)</f>
        <v>0</v>
      </c>
      <c r="GG45" s="18">
        <f t="shared" si="142"/>
        <v>1</v>
      </c>
      <c r="GH45" s="18">
        <f t="shared" si="142"/>
        <v>0</v>
      </c>
      <c r="GI45" s="18">
        <f t="shared" ref="GI45:GK45" si="143">SUM(GI34:GI44)</f>
        <v>0</v>
      </c>
      <c r="GJ45" s="18">
        <f t="shared" si="143"/>
        <v>0</v>
      </c>
      <c r="GK45" s="18">
        <f t="shared" si="143"/>
        <v>0</v>
      </c>
      <c r="GL45" s="18">
        <f t="shared" ref="GL45:GM45" si="144">SUM(GL34:GL44)</f>
        <v>0</v>
      </c>
      <c r="GM45" s="18">
        <f t="shared" si="144"/>
        <v>0</v>
      </c>
      <c r="GN45" s="18">
        <f t="shared" ref="GN45:GP45" si="145">SUM(GN34:GN44)</f>
        <v>0</v>
      </c>
      <c r="GO45" s="349">
        <f t="shared" si="145"/>
        <v>0</v>
      </c>
      <c r="GP45" s="74">
        <f t="shared" si="145"/>
        <v>0</v>
      </c>
      <c r="GQ45" s="18">
        <f t="shared" ref="GQ45:GR45" si="146">SUM(GQ34:GQ44)</f>
        <v>0</v>
      </c>
      <c r="GR45" s="18">
        <f t="shared" si="146"/>
        <v>0</v>
      </c>
      <c r="GS45" s="18">
        <f t="shared" ref="GS45:GT45" si="147">SUM(GS34:GS44)</f>
        <v>0</v>
      </c>
      <c r="GT45" s="18">
        <f t="shared" si="147"/>
        <v>0</v>
      </c>
      <c r="GU45" s="18">
        <f t="shared" ref="GU45:GW45" si="148">SUM(GU34:GU44)</f>
        <v>0</v>
      </c>
      <c r="GV45" s="18">
        <f t="shared" si="148"/>
        <v>0</v>
      </c>
      <c r="GW45" s="18">
        <f t="shared" si="148"/>
        <v>0</v>
      </c>
      <c r="GX45" s="18">
        <f t="shared" ref="GX45:GY45" si="149">SUM(GX34:GX44)</f>
        <v>0</v>
      </c>
      <c r="GY45" s="18">
        <f t="shared" si="149"/>
        <v>0</v>
      </c>
      <c r="GZ45" s="18">
        <f t="shared" ref="GZ45:HA45" si="150">SUM(GZ34:GZ44)</f>
        <v>0</v>
      </c>
      <c r="HA45" s="18">
        <f t="shared" si="150"/>
        <v>0</v>
      </c>
      <c r="HB45" s="18">
        <f t="shared" ref="HB45:HD45" si="151">SUM(HB34:HB44)</f>
        <v>0</v>
      </c>
      <c r="HC45" s="18">
        <f t="shared" si="151"/>
        <v>0</v>
      </c>
      <c r="HD45" s="18">
        <f t="shared" si="151"/>
        <v>0</v>
      </c>
      <c r="HE45" s="18">
        <f t="shared" ref="HE45:HF45" si="152">SUM(HE34:HE44)</f>
        <v>0</v>
      </c>
      <c r="HF45" s="18">
        <f t="shared" si="152"/>
        <v>0</v>
      </c>
      <c r="HG45" s="18">
        <f t="shared" ref="HG45:HH45" si="153">SUM(HG34:HG44)</f>
        <v>0</v>
      </c>
      <c r="HH45" s="18">
        <f t="shared" si="153"/>
        <v>0</v>
      </c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75"/>
      <c r="HU45" s="422">
        <f>SUM(HU34:HU44)</f>
        <v>66</v>
      </c>
    </row>
    <row r="46" spans="1:229" ht="15.75" thickBot="1" x14ac:dyDescent="0.3">
      <c r="A46" s="188"/>
      <c r="B46" s="121"/>
      <c r="C46" s="383"/>
      <c r="D46" s="121"/>
      <c r="E46" s="121"/>
      <c r="F46" s="121"/>
      <c r="G46" s="121"/>
      <c r="H46" s="121"/>
      <c r="I46" s="121"/>
      <c r="J46" s="121"/>
      <c r="K46" s="121"/>
      <c r="L46" s="121"/>
      <c r="M46" s="384"/>
      <c r="N46" s="384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88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21"/>
      <c r="GQ46" s="275"/>
      <c r="GR46" s="275"/>
      <c r="GS46" s="275"/>
      <c r="GT46" s="275"/>
      <c r="GU46" s="275"/>
      <c r="GV46" s="275"/>
      <c r="GW46" s="275"/>
      <c r="GX46" s="275"/>
      <c r="GY46" s="275"/>
      <c r="GZ46" s="275"/>
      <c r="HA46" s="275"/>
      <c r="HB46" s="275"/>
      <c r="HC46" s="275"/>
      <c r="HD46" s="275"/>
      <c r="HE46" s="275"/>
      <c r="HF46" s="275"/>
      <c r="HG46" s="275"/>
      <c r="HH46" s="275"/>
      <c r="HI46" s="275"/>
      <c r="HJ46" s="275"/>
      <c r="HK46" s="275"/>
      <c r="HL46" s="275"/>
      <c r="HM46" s="275"/>
      <c r="HN46" s="275"/>
      <c r="HO46" s="275"/>
      <c r="HP46" s="275"/>
      <c r="HQ46" s="275"/>
      <c r="HR46" s="275"/>
      <c r="HS46" s="275"/>
      <c r="HT46" s="357"/>
      <c r="HU46" s="412"/>
    </row>
    <row r="47" spans="1:229" x14ac:dyDescent="0.25">
      <c r="A47" s="32">
        <v>1</v>
      </c>
      <c r="B47" s="481" t="s">
        <v>115</v>
      </c>
      <c r="C47" s="25" t="s">
        <v>1</v>
      </c>
      <c r="D47" s="32" t="s">
        <v>17</v>
      </c>
      <c r="E47" s="71"/>
      <c r="F47" s="33"/>
      <c r="G47" s="33"/>
      <c r="H47" s="33"/>
      <c r="I47" s="33"/>
      <c r="J47" s="33"/>
      <c r="K47" s="33"/>
      <c r="L47" s="380"/>
      <c r="M47" s="381">
        <f t="shared" ref="M47:M57" si="154">SUM(E47:L47)</f>
        <v>0</v>
      </c>
      <c r="N47" s="382"/>
      <c r="O47" s="71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157"/>
      <c r="AQ47" s="165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165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267"/>
      <c r="CZ47" s="37"/>
      <c r="DA47" s="268"/>
      <c r="DB47" s="279"/>
      <c r="DC47" s="267"/>
      <c r="DD47" s="37"/>
      <c r="DE47" s="267"/>
      <c r="DF47" s="267"/>
      <c r="DG47" s="267"/>
      <c r="DH47" s="267"/>
      <c r="DI47" s="267"/>
      <c r="DJ47" s="267"/>
      <c r="DK47" s="267"/>
      <c r="DL47" s="267"/>
      <c r="DM47" s="267"/>
      <c r="DN47" s="267"/>
      <c r="DO47" s="267"/>
      <c r="DP47" s="267"/>
      <c r="DQ47" s="267"/>
      <c r="DR47" s="267"/>
      <c r="DS47" s="267"/>
      <c r="DT47" s="267"/>
      <c r="DU47" s="267"/>
      <c r="DV47" s="267"/>
      <c r="DW47" s="267"/>
      <c r="DX47" s="267"/>
      <c r="DY47" s="267"/>
      <c r="DZ47" s="267"/>
      <c r="EA47" s="267"/>
      <c r="EB47" s="267"/>
      <c r="EC47" s="267"/>
      <c r="ED47" s="267"/>
      <c r="EE47" s="267"/>
      <c r="EF47" s="268"/>
      <c r="EG47" s="279"/>
      <c r="EH47" s="267"/>
      <c r="EI47" s="267"/>
      <c r="EJ47" s="267"/>
      <c r="EK47" s="267"/>
      <c r="EL47" s="267"/>
      <c r="EM47" s="267"/>
      <c r="EN47" s="267"/>
      <c r="EO47" s="267"/>
      <c r="EP47" s="267"/>
      <c r="EQ47" s="267"/>
      <c r="ER47" s="267"/>
      <c r="ES47" s="267"/>
      <c r="ET47" s="267"/>
      <c r="EU47" s="267">
        <v>0</v>
      </c>
      <c r="EV47" s="267">
        <v>0</v>
      </c>
      <c r="EW47" s="267">
        <v>0</v>
      </c>
      <c r="EX47" s="267">
        <v>0</v>
      </c>
      <c r="EY47" s="267">
        <v>0</v>
      </c>
      <c r="EZ47" s="267">
        <v>0</v>
      </c>
      <c r="FA47" s="267">
        <v>0</v>
      </c>
      <c r="FB47" s="267">
        <v>0</v>
      </c>
      <c r="FC47" s="267">
        <v>0</v>
      </c>
      <c r="FD47" s="267">
        <v>0</v>
      </c>
      <c r="FE47" s="267">
        <v>0</v>
      </c>
      <c r="FF47" s="267">
        <v>0</v>
      </c>
      <c r="FG47" s="267">
        <v>0</v>
      </c>
      <c r="FH47" s="267">
        <v>0</v>
      </c>
      <c r="FI47" s="267">
        <v>0</v>
      </c>
      <c r="FJ47" s="268">
        <v>0</v>
      </c>
      <c r="FK47" s="279">
        <v>0</v>
      </c>
      <c r="FL47" s="267">
        <v>0</v>
      </c>
      <c r="FM47" s="267">
        <v>0</v>
      </c>
      <c r="FN47" s="267">
        <v>0</v>
      </c>
      <c r="FO47" s="267">
        <v>0</v>
      </c>
      <c r="FP47" s="267">
        <v>0</v>
      </c>
      <c r="FQ47" s="267">
        <v>0</v>
      </c>
      <c r="FR47" s="267">
        <v>0</v>
      </c>
      <c r="FS47" s="267">
        <v>0</v>
      </c>
      <c r="FT47" s="267">
        <v>0</v>
      </c>
      <c r="FU47" s="267">
        <v>0</v>
      </c>
      <c r="FV47" s="267">
        <v>0</v>
      </c>
      <c r="FW47" s="267">
        <v>0</v>
      </c>
      <c r="FX47" s="267">
        <v>0</v>
      </c>
      <c r="FY47" s="267">
        <v>0</v>
      </c>
      <c r="FZ47" s="267">
        <v>0</v>
      </c>
      <c r="GA47" s="267">
        <v>0</v>
      </c>
      <c r="GB47" s="267">
        <v>0</v>
      </c>
      <c r="GC47" s="267">
        <v>0</v>
      </c>
      <c r="GD47" s="267">
        <v>0</v>
      </c>
      <c r="GE47" s="267">
        <v>0</v>
      </c>
      <c r="GF47" s="267">
        <v>0</v>
      </c>
      <c r="GG47" s="267">
        <v>0</v>
      </c>
      <c r="GH47" s="267">
        <v>0</v>
      </c>
      <c r="GI47" s="267">
        <v>0</v>
      </c>
      <c r="GJ47" s="267">
        <v>0</v>
      </c>
      <c r="GK47" s="267">
        <v>0</v>
      </c>
      <c r="GL47" s="267">
        <v>0</v>
      </c>
      <c r="GM47" s="267">
        <v>0</v>
      </c>
      <c r="GN47" s="267">
        <v>0</v>
      </c>
      <c r="GO47" s="268">
        <v>0</v>
      </c>
      <c r="GP47" s="279">
        <v>0</v>
      </c>
      <c r="GQ47" s="267">
        <v>0</v>
      </c>
      <c r="GR47" s="267">
        <v>0</v>
      </c>
      <c r="GS47" s="267">
        <v>0</v>
      </c>
      <c r="GT47" s="267">
        <v>0</v>
      </c>
      <c r="GU47" s="267">
        <v>0</v>
      </c>
      <c r="GV47" s="267">
        <v>0</v>
      </c>
      <c r="GW47" s="267">
        <v>0</v>
      </c>
      <c r="GX47" s="267">
        <v>0</v>
      </c>
      <c r="GY47" s="267">
        <v>0</v>
      </c>
      <c r="GZ47" s="267">
        <v>0</v>
      </c>
      <c r="HA47" s="267">
        <v>0</v>
      </c>
      <c r="HB47" s="267">
        <v>0</v>
      </c>
      <c r="HC47" s="267">
        <v>0</v>
      </c>
      <c r="HD47" s="267">
        <v>2</v>
      </c>
      <c r="HE47" s="267">
        <v>0</v>
      </c>
      <c r="HF47" s="267">
        <v>0</v>
      </c>
      <c r="HG47" s="267">
        <v>0</v>
      </c>
      <c r="HH47" s="267">
        <v>0</v>
      </c>
      <c r="HI47" s="267"/>
      <c r="HJ47" s="267"/>
      <c r="HK47" s="267"/>
      <c r="HL47" s="267"/>
      <c r="HM47" s="267"/>
      <c r="HN47" s="267"/>
      <c r="HO47" s="267"/>
      <c r="HP47" s="267"/>
      <c r="HQ47" s="267"/>
      <c r="HR47" s="267"/>
      <c r="HS47" s="267"/>
      <c r="HT47" s="367"/>
      <c r="HU47" s="55">
        <f>SUM(O47:HT47)</f>
        <v>2</v>
      </c>
    </row>
    <row r="48" spans="1:229" x14ac:dyDescent="0.25">
      <c r="A48" s="2">
        <v>2</v>
      </c>
      <c r="B48" s="474"/>
      <c r="C48" s="23" t="s">
        <v>2</v>
      </c>
      <c r="D48" s="2" t="s">
        <v>17</v>
      </c>
      <c r="E48" s="73"/>
      <c r="F48" s="31"/>
      <c r="G48" s="31"/>
      <c r="H48" s="31"/>
      <c r="I48" s="31"/>
      <c r="J48" s="31"/>
      <c r="K48" s="31"/>
      <c r="L48" s="72"/>
      <c r="M48" s="106">
        <f t="shared" si="154"/>
        <v>0</v>
      </c>
      <c r="N48" s="129"/>
      <c r="O48" s="7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01"/>
      <c r="AQ48" s="162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62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265"/>
      <c r="CZ48" s="13"/>
      <c r="DA48" s="269"/>
      <c r="DB48" s="278"/>
      <c r="DC48" s="265"/>
      <c r="DD48" s="13"/>
      <c r="DE48" s="265"/>
      <c r="DF48" s="265"/>
      <c r="DG48" s="265"/>
      <c r="DH48" s="265"/>
      <c r="DI48" s="265"/>
      <c r="DJ48" s="265"/>
      <c r="DK48" s="265"/>
      <c r="DL48" s="265"/>
      <c r="DM48" s="265"/>
      <c r="DN48" s="265"/>
      <c r="DO48" s="265"/>
      <c r="DP48" s="265"/>
      <c r="DQ48" s="265"/>
      <c r="DR48" s="265"/>
      <c r="DS48" s="265"/>
      <c r="DT48" s="265"/>
      <c r="DU48" s="265"/>
      <c r="DV48" s="265"/>
      <c r="DW48" s="265"/>
      <c r="DX48" s="265"/>
      <c r="DY48" s="265"/>
      <c r="DZ48" s="265"/>
      <c r="EA48" s="265"/>
      <c r="EB48" s="265"/>
      <c r="EC48" s="265"/>
      <c r="ED48" s="265"/>
      <c r="EE48" s="265"/>
      <c r="EF48" s="269"/>
      <c r="EG48" s="278"/>
      <c r="EH48" s="265"/>
      <c r="EI48" s="265"/>
      <c r="EJ48" s="265"/>
      <c r="EK48" s="265"/>
      <c r="EL48" s="265"/>
      <c r="EM48" s="265"/>
      <c r="EN48" s="265"/>
      <c r="EO48" s="265"/>
      <c r="EP48" s="265"/>
      <c r="EQ48" s="265"/>
      <c r="ER48" s="265"/>
      <c r="ES48" s="265"/>
      <c r="ET48" s="265"/>
      <c r="EU48" s="265">
        <v>1</v>
      </c>
      <c r="EV48" s="265">
        <v>0</v>
      </c>
      <c r="EW48" s="265">
        <v>0</v>
      </c>
      <c r="EX48" s="265">
        <v>0</v>
      </c>
      <c r="EY48" s="265">
        <v>0</v>
      </c>
      <c r="EZ48" s="265">
        <v>0</v>
      </c>
      <c r="FA48" s="265">
        <v>0</v>
      </c>
      <c r="FB48" s="265">
        <v>0</v>
      </c>
      <c r="FC48" s="265">
        <v>0</v>
      </c>
      <c r="FD48" s="265">
        <v>0</v>
      </c>
      <c r="FE48" s="265">
        <v>0</v>
      </c>
      <c r="FF48" s="265">
        <v>0</v>
      </c>
      <c r="FG48" s="265">
        <v>0</v>
      </c>
      <c r="FH48" s="265">
        <v>0</v>
      </c>
      <c r="FI48" s="265">
        <v>0</v>
      </c>
      <c r="FJ48" s="269">
        <v>0</v>
      </c>
      <c r="FK48" s="278">
        <v>0</v>
      </c>
      <c r="FL48" s="265">
        <v>0</v>
      </c>
      <c r="FM48" s="265">
        <v>0</v>
      </c>
      <c r="FN48" s="265">
        <v>0</v>
      </c>
      <c r="FO48" s="265">
        <v>0</v>
      </c>
      <c r="FP48" s="265">
        <v>0</v>
      </c>
      <c r="FQ48" s="265">
        <v>0</v>
      </c>
      <c r="FR48" s="265">
        <v>0</v>
      </c>
      <c r="FS48" s="265">
        <v>0</v>
      </c>
      <c r="FT48" s="265">
        <v>0</v>
      </c>
      <c r="FU48" s="265">
        <v>0</v>
      </c>
      <c r="FV48" s="265">
        <v>0</v>
      </c>
      <c r="FW48" s="265">
        <v>0</v>
      </c>
      <c r="FX48" s="265">
        <v>0</v>
      </c>
      <c r="FY48" s="265">
        <v>0</v>
      </c>
      <c r="FZ48" s="265">
        <v>0</v>
      </c>
      <c r="GA48" s="265">
        <v>0</v>
      </c>
      <c r="GB48" s="265">
        <v>0</v>
      </c>
      <c r="GC48" s="265">
        <v>0</v>
      </c>
      <c r="GD48" s="265">
        <v>0</v>
      </c>
      <c r="GE48" s="265">
        <v>0</v>
      </c>
      <c r="GF48" s="265">
        <v>0</v>
      </c>
      <c r="GG48" s="265">
        <v>0</v>
      </c>
      <c r="GH48" s="265">
        <v>0</v>
      </c>
      <c r="GI48" s="265">
        <v>0</v>
      </c>
      <c r="GJ48" s="265">
        <v>0</v>
      </c>
      <c r="GK48" s="265">
        <v>0</v>
      </c>
      <c r="GL48" s="265">
        <v>0</v>
      </c>
      <c r="GM48" s="265">
        <v>0</v>
      </c>
      <c r="GN48" s="265">
        <v>0</v>
      </c>
      <c r="GO48" s="269">
        <v>0</v>
      </c>
      <c r="GP48" s="278">
        <v>0</v>
      </c>
      <c r="GQ48" s="265">
        <v>0</v>
      </c>
      <c r="GR48" s="265">
        <v>0</v>
      </c>
      <c r="GS48" s="265">
        <v>0</v>
      </c>
      <c r="GT48" s="265">
        <v>0</v>
      </c>
      <c r="GU48" s="265">
        <v>0</v>
      </c>
      <c r="GV48" s="265">
        <v>0</v>
      </c>
      <c r="GW48" s="265">
        <v>0</v>
      </c>
      <c r="GX48" s="265">
        <v>0</v>
      </c>
      <c r="GY48" s="265">
        <v>0</v>
      </c>
      <c r="GZ48" s="265">
        <v>0</v>
      </c>
      <c r="HA48" s="265">
        <v>0</v>
      </c>
      <c r="HB48" s="265">
        <v>0</v>
      </c>
      <c r="HC48" s="265">
        <v>0</v>
      </c>
      <c r="HD48" s="265">
        <v>0</v>
      </c>
      <c r="HE48" s="265">
        <v>0</v>
      </c>
      <c r="HF48" s="265">
        <v>0</v>
      </c>
      <c r="HG48" s="265">
        <v>0</v>
      </c>
      <c r="HH48" s="265">
        <v>0</v>
      </c>
      <c r="HI48" s="265"/>
      <c r="HJ48" s="265"/>
      <c r="HK48" s="265"/>
      <c r="HL48" s="265"/>
      <c r="HM48" s="265"/>
      <c r="HN48" s="265"/>
      <c r="HO48" s="265"/>
      <c r="HP48" s="265"/>
      <c r="HQ48" s="265"/>
      <c r="HR48" s="265"/>
      <c r="HS48" s="265"/>
      <c r="HT48" s="368"/>
      <c r="HU48" s="55">
        <f t="shared" ref="HU48:HU57" si="155">SUM(O48:HT48)</f>
        <v>1</v>
      </c>
    </row>
    <row r="49" spans="1:229" x14ac:dyDescent="0.25">
      <c r="A49" s="2">
        <v>3</v>
      </c>
      <c r="B49" s="474"/>
      <c r="C49" s="23" t="s">
        <v>3</v>
      </c>
      <c r="D49" s="2" t="s">
        <v>17</v>
      </c>
      <c r="E49" s="73"/>
      <c r="F49" s="31"/>
      <c r="G49" s="31"/>
      <c r="H49" s="31"/>
      <c r="I49" s="31"/>
      <c r="J49" s="31"/>
      <c r="K49" s="31"/>
      <c r="L49" s="72"/>
      <c r="M49" s="106">
        <f t="shared" si="154"/>
        <v>0</v>
      </c>
      <c r="N49" s="129"/>
      <c r="O49" s="7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01"/>
      <c r="AQ49" s="162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62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265"/>
      <c r="CZ49" s="13"/>
      <c r="DA49" s="269"/>
      <c r="DB49" s="278"/>
      <c r="DC49" s="265"/>
      <c r="DD49" s="13"/>
      <c r="DE49" s="265"/>
      <c r="DF49" s="265"/>
      <c r="DG49" s="265"/>
      <c r="DH49" s="265"/>
      <c r="DI49" s="265"/>
      <c r="DJ49" s="265"/>
      <c r="DK49" s="265"/>
      <c r="DL49" s="265"/>
      <c r="DM49" s="265"/>
      <c r="DN49" s="265"/>
      <c r="DO49" s="265"/>
      <c r="DP49" s="265"/>
      <c r="DQ49" s="265"/>
      <c r="DR49" s="265"/>
      <c r="DS49" s="265"/>
      <c r="DT49" s="265"/>
      <c r="DU49" s="265"/>
      <c r="DV49" s="265"/>
      <c r="DW49" s="265"/>
      <c r="DX49" s="265"/>
      <c r="DY49" s="265"/>
      <c r="DZ49" s="265"/>
      <c r="EA49" s="265"/>
      <c r="EB49" s="265"/>
      <c r="EC49" s="265"/>
      <c r="ED49" s="265"/>
      <c r="EE49" s="265"/>
      <c r="EF49" s="269"/>
      <c r="EG49" s="278"/>
      <c r="EH49" s="265"/>
      <c r="EI49" s="265"/>
      <c r="EJ49" s="265"/>
      <c r="EK49" s="265"/>
      <c r="EL49" s="265"/>
      <c r="EM49" s="265"/>
      <c r="EN49" s="265"/>
      <c r="EO49" s="265"/>
      <c r="EP49" s="265"/>
      <c r="EQ49" s="265"/>
      <c r="ER49" s="265"/>
      <c r="ES49" s="265"/>
      <c r="ET49" s="265"/>
      <c r="EU49" s="265">
        <v>0</v>
      </c>
      <c r="EV49" s="265">
        <v>0</v>
      </c>
      <c r="EW49" s="265">
        <v>0</v>
      </c>
      <c r="EX49" s="265">
        <v>0</v>
      </c>
      <c r="EY49" s="265">
        <v>0</v>
      </c>
      <c r="EZ49" s="265">
        <v>0</v>
      </c>
      <c r="FA49" s="265">
        <v>0</v>
      </c>
      <c r="FB49" s="265">
        <v>0</v>
      </c>
      <c r="FC49" s="265">
        <v>0</v>
      </c>
      <c r="FD49" s="265">
        <v>0</v>
      </c>
      <c r="FE49" s="265">
        <v>0</v>
      </c>
      <c r="FF49" s="265">
        <v>0</v>
      </c>
      <c r="FG49" s="265">
        <v>0</v>
      </c>
      <c r="FH49" s="265">
        <v>0</v>
      </c>
      <c r="FI49" s="265">
        <v>0</v>
      </c>
      <c r="FJ49" s="269">
        <v>0</v>
      </c>
      <c r="FK49" s="278">
        <v>0</v>
      </c>
      <c r="FL49" s="265">
        <v>0</v>
      </c>
      <c r="FM49" s="265">
        <v>0</v>
      </c>
      <c r="FN49" s="265">
        <v>0</v>
      </c>
      <c r="FO49" s="265">
        <v>0</v>
      </c>
      <c r="FP49" s="265">
        <v>0</v>
      </c>
      <c r="FQ49" s="265">
        <v>0</v>
      </c>
      <c r="FR49" s="265">
        <v>0</v>
      </c>
      <c r="FS49" s="265">
        <v>0</v>
      </c>
      <c r="FT49" s="265">
        <v>0</v>
      </c>
      <c r="FU49" s="265">
        <v>0</v>
      </c>
      <c r="FV49" s="265">
        <v>0</v>
      </c>
      <c r="FW49" s="265">
        <v>0</v>
      </c>
      <c r="FX49" s="265">
        <v>0</v>
      </c>
      <c r="FY49" s="265">
        <v>0</v>
      </c>
      <c r="FZ49" s="265">
        <v>0</v>
      </c>
      <c r="GA49" s="265">
        <v>0</v>
      </c>
      <c r="GB49" s="265">
        <v>0</v>
      </c>
      <c r="GC49" s="265">
        <v>0</v>
      </c>
      <c r="GD49" s="265">
        <v>0</v>
      </c>
      <c r="GE49" s="265">
        <v>0</v>
      </c>
      <c r="GF49" s="265">
        <v>0</v>
      </c>
      <c r="GG49" s="265">
        <v>0</v>
      </c>
      <c r="GH49" s="265">
        <v>0</v>
      </c>
      <c r="GI49" s="265">
        <v>0</v>
      </c>
      <c r="GJ49" s="265">
        <v>0</v>
      </c>
      <c r="GK49" s="265">
        <v>0</v>
      </c>
      <c r="GL49" s="265">
        <v>0</v>
      </c>
      <c r="GM49" s="265">
        <v>0</v>
      </c>
      <c r="GN49" s="265">
        <v>0</v>
      </c>
      <c r="GO49" s="269">
        <v>0</v>
      </c>
      <c r="GP49" s="278">
        <v>0</v>
      </c>
      <c r="GQ49" s="265">
        <v>0</v>
      </c>
      <c r="GR49" s="265">
        <v>0</v>
      </c>
      <c r="GS49" s="265">
        <v>0</v>
      </c>
      <c r="GT49" s="265">
        <v>0</v>
      </c>
      <c r="GU49" s="265">
        <v>0</v>
      </c>
      <c r="GV49" s="265">
        <v>0</v>
      </c>
      <c r="GW49" s="265">
        <v>0</v>
      </c>
      <c r="GX49" s="265">
        <v>0</v>
      </c>
      <c r="GY49" s="265">
        <v>0</v>
      </c>
      <c r="GZ49" s="265">
        <v>0</v>
      </c>
      <c r="HA49" s="265">
        <v>0</v>
      </c>
      <c r="HB49" s="265">
        <v>0</v>
      </c>
      <c r="HC49" s="265">
        <v>0</v>
      </c>
      <c r="HD49" s="265">
        <v>0</v>
      </c>
      <c r="HE49" s="265">
        <v>0</v>
      </c>
      <c r="HF49" s="265">
        <v>0</v>
      </c>
      <c r="HG49" s="265">
        <v>0</v>
      </c>
      <c r="HH49" s="265">
        <v>0</v>
      </c>
      <c r="HI49" s="265"/>
      <c r="HJ49" s="265"/>
      <c r="HK49" s="265"/>
      <c r="HL49" s="265"/>
      <c r="HM49" s="265"/>
      <c r="HN49" s="265"/>
      <c r="HO49" s="265"/>
      <c r="HP49" s="265"/>
      <c r="HQ49" s="265"/>
      <c r="HR49" s="265"/>
      <c r="HS49" s="265"/>
      <c r="HT49" s="368"/>
      <c r="HU49" s="55">
        <f t="shared" si="155"/>
        <v>0</v>
      </c>
    </row>
    <row r="50" spans="1:229" x14ac:dyDescent="0.25">
      <c r="A50" s="2">
        <v>4</v>
      </c>
      <c r="B50" s="474"/>
      <c r="C50" s="23" t="s">
        <v>4</v>
      </c>
      <c r="D50" s="2" t="s">
        <v>17</v>
      </c>
      <c r="E50" s="73"/>
      <c r="F50" s="31"/>
      <c r="G50" s="31"/>
      <c r="H50" s="31"/>
      <c r="I50" s="31"/>
      <c r="J50" s="31"/>
      <c r="K50" s="31"/>
      <c r="L50" s="72"/>
      <c r="M50" s="106">
        <f t="shared" si="154"/>
        <v>0</v>
      </c>
      <c r="N50" s="129"/>
      <c r="O50" s="7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01"/>
      <c r="AQ50" s="162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62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265"/>
      <c r="CZ50" s="13"/>
      <c r="DA50" s="269"/>
      <c r="DB50" s="278"/>
      <c r="DC50" s="265"/>
      <c r="DD50" s="13"/>
      <c r="DE50" s="265"/>
      <c r="DF50" s="265"/>
      <c r="DG50" s="265"/>
      <c r="DH50" s="265"/>
      <c r="DI50" s="265"/>
      <c r="DJ50" s="265"/>
      <c r="DK50" s="265"/>
      <c r="DL50" s="265"/>
      <c r="DM50" s="265"/>
      <c r="DN50" s="265"/>
      <c r="DO50" s="265"/>
      <c r="DP50" s="265"/>
      <c r="DQ50" s="265"/>
      <c r="DR50" s="265"/>
      <c r="DS50" s="265"/>
      <c r="DT50" s="265"/>
      <c r="DU50" s="265"/>
      <c r="DV50" s="265"/>
      <c r="DW50" s="265"/>
      <c r="DX50" s="265"/>
      <c r="DY50" s="265"/>
      <c r="DZ50" s="265"/>
      <c r="EA50" s="265"/>
      <c r="EB50" s="265"/>
      <c r="EC50" s="265"/>
      <c r="ED50" s="265"/>
      <c r="EE50" s="265"/>
      <c r="EF50" s="269"/>
      <c r="EG50" s="278"/>
      <c r="EH50" s="265"/>
      <c r="EI50" s="265"/>
      <c r="EJ50" s="265"/>
      <c r="EK50" s="265"/>
      <c r="EL50" s="265"/>
      <c r="EM50" s="265"/>
      <c r="EN50" s="265"/>
      <c r="EO50" s="265"/>
      <c r="EP50" s="265"/>
      <c r="EQ50" s="265"/>
      <c r="ER50" s="265"/>
      <c r="ES50" s="265"/>
      <c r="ET50" s="265"/>
      <c r="EU50" s="265">
        <v>0</v>
      </c>
      <c r="EV50" s="265">
        <v>0</v>
      </c>
      <c r="EW50" s="265">
        <v>0</v>
      </c>
      <c r="EX50" s="265">
        <v>0</v>
      </c>
      <c r="EY50" s="265">
        <v>0</v>
      </c>
      <c r="EZ50" s="265">
        <v>0</v>
      </c>
      <c r="FA50" s="265">
        <v>0</v>
      </c>
      <c r="FB50" s="265">
        <v>0</v>
      </c>
      <c r="FC50" s="265">
        <v>0</v>
      </c>
      <c r="FD50" s="265">
        <v>0</v>
      </c>
      <c r="FE50" s="265">
        <v>0</v>
      </c>
      <c r="FF50" s="265">
        <v>0</v>
      </c>
      <c r="FG50" s="265">
        <v>0</v>
      </c>
      <c r="FH50" s="265">
        <v>0</v>
      </c>
      <c r="FI50" s="265">
        <v>0</v>
      </c>
      <c r="FJ50" s="269">
        <v>0</v>
      </c>
      <c r="FK50" s="278">
        <v>0</v>
      </c>
      <c r="FL50" s="265">
        <v>0</v>
      </c>
      <c r="FM50" s="265">
        <v>0</v>
      </c>
      <c r="FN50" s="265">
        <v>0</v>
      </c>
      <c r="FO50" s="265">
        <v>0</v>
      </c>
      <c r="FP50" s="265">
        <v>0</v>
      </c>
      <c r="FQ50" s="265">
        <v>0</v>
      </c>
      <c r="FR50" s="265">
        <v>0</v>
      </c>
      <c r="FS50" s="265">
        <v>0</v>
      </c>
      <c r="FT50" s="265">
        <v>0</v>
      </c>
      <c r="FU50" s="265">
        <v>0</v>
      </c>
      <c r="FV50" s="265">
        <v>0</v>
      </c>
      <c r="FW50" s="265">
        <v>0</v>
      </c>
      <c r="FX50" s="265">
        <v>0</v>
      </c>
      <c r="FY50" s="265">
        <v>0</v>
      </c>
      <c r="FZ50" s="265">
        <v>0</v>
      </c>
      <c r="GA50" s="265">
        <v>0</v>
      </c>
      <c r="GB50" s="265">
        <v>0</v>
      </c>
      <c r="GC50" s="265">
        <v>0</v>
      </c>
      <c r="GD50" s="265">
        <v>0</v>
      </c>
      <c r="GE50" s="265">
        <v>0</v>
      </c>
      <c r="GF50" s="265">
        <v>0</v>
      </c>
      <c r="GG50" s="265">
        <v>0</v>
      </c>
      <c r="GH50" s="265">
        <v>0</v>
      </c>
      <c r="GI50" s="265">
        <v>0</v>
      </c>
      <c r="GJ50" s="265">
        <v>0</v>
      </c>
      <c r="GK50" s="265">
        <v>0</v>
      </c>
      <c r="GL50" s="265">
        <v>0</v>
      </c>
      <c r="GM50" s="265">
        <v>0</v>
      </c>
      <c r="GN50" s="265">
        <v>0</v>
      </c>
      <c r="GO50" s="269">
        <v>0</v>
      </c>
      <c r="GP50" s="278">
        <v>0</v>
      </c>
      <c r="GQ50" s="265">
        <v>0</v>
      </c>
      <c r="GR50" s="265">
        <v>0</v>
      </c>
      <c r="GS50" s="265">
        <v>0</v>
      </c>
      <c r="GT50" s="265">
        <v>0</v>
      </c>
      <c r="GU50" s="265">
        <v>0</v>
      </c>
      <c r="GV50" s="265">
        <v>0</v>
      </c>
      <c r="GW50" s="265">
        <v>0</v>
      </c>
      <c r="GX50" s="265">
        <v>0</v>
      </c>
      <c r="GY50" s="265">
        <v>0</v>
      </c>
      <c r="GZ50" s="265">
        <v>0</v>
      </c>
      <c r="HA50" s="265">
        <v>0</v>
      </c>
      <c r="HB50" s="265">
        <v>0</v>
      </c>
      <c r="HC50" s="265">
        <v>0</v>
      </c>
      <c r="HD50" s="265">
        <v>0</v>
      </c>
      <c r="HE50" s="265">
        <v>0</v>
      </c>
      <c r="HF50" s="265">
        <v>0</v>
      </c>
      <c r="HG50" s="265">
        <v>0</v>
      </c>
      <c r="HH50" s="265">
        <v>0</v>
      </c>
      <c r="HI50" s="265"/>
      <c r="HJ50" s="265"/>
      <c r="HK50" s="265"/>
      <c r="HL50" s="265"/>
      <c r="HM50" s="265"/>
      <c r="HN50" s="265"/>
      <c r="HO50" s="265"/>
      <c r="HP50" s="265"/>
      <c r="HQ50" s="265"/>
      <c r="HR50" s="265"/>
      <c r="HS50" s="265"/>
      <c r="HT50" s="368"/>
      <c r="HU50" s="55">
        <f t="shared" si="155"/>
        <v>0</v>
      </c>
    </row>
    <row r="51" spans="1:229" x14ac:dyDescent="0.25">
      <c r="A51" s="2">
        <v>5</v>
      </c>
      <c r="B51" s="474"/>
      <c r="C51" s="23" t="s">
        <v>5</v>
      </c>
      <c r="D51" s="2" t="s">
        <v>17</v>
      </c>
      <c r="E51" s="73"/>
      <c r="F51" s="31"/>
      <c r="G51" s="31"/>
      <c r="H51" s="31"/>
      <c r="I51" s="31"/>
      <c r="J51" s="31"/>
      <c r="K51" s="31"/>
      <c r="L51" s="72"/>
      <c r="M51" s="106">
        <f t="shared" si="154"/>
        <v>0</v>
      </c>
      <c r="N51" s="129"/>
      <c r="O51" s="7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01"/>
      <c r="AQ51" s="162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62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265"/>
      <c r="CZ51" s="13"/>
      <c r="DA51" s="269"/>
      <c r="DB51" s="278"/>
      <c r="DC51" s="265"/>
      <c r="DD51" s="13"/>
      <c r="DE51" s="265"/>
      <c r="DF51" s="265"/>
      <c r="DG51" s="265"/>
      <c r="DH51" s="265"/>
      <c r="DI51" s="265"/>
      <c r="DJ51" s="265"/>
      <c r="DK51" s="265"/>
      <c r="DL51" s="265"/>
      <c r="DM51" s="265"/>
      <c r="DN51" s="265"/>
      <c r="DO51" s="265"/>
      <c r="DP51" s="265"/>
      <c r="DQ51" s="265"/>
      <c r="DR51" s="265"/>
      <c r="DS51" s="265"/>
      <c r="DT51" s="265"/>
      <c r="DU51" s="265"/>
      <c r="DV51" s="265"/>
      <c r="DW51" s="265"/>
      <c r="DX51" s="265"/>
      <c r="DY51" s="265"/>
      <c r="DZ51" s="265"/>
      <c r="EA51" s="265"/>
      <c r="EB51" s="265"/>
      <c r="EC51" s="265"/>
      <c r="ED51" s="265"/>
      <c r="EE51" s="265"/>
      <c r="EF51" s="269"/>
      <c r="EG51" s="278"/>
      <c r="EH51" s="265"/>
      <c r="EI51" s="265"/>
      <c r="EJ51" s="265"/>
      <c r="EK51" s="265"/>
      <c r="EL51" s="265"/>
      <c r="EM51" s="265"/>
      <c r="EN51" s="265"/>
      <c r="EO51" s="265"/>
      <c r="EP51" s="265"/>
      <c r="EQ51" s="265"/>
      <c r="ER51" s="265"/>
      <c r="ES51" s="265"/>
      <c r="ET51" s="265"/>
      <c r="EU51" s="265">
        <v>0</v>
      </c>
      <c r="EV51" s="265">
        <v>0</v>
      </c>
      <c r="EW51" s="265">
        <v>0</v>
      </c>
      <c r="EX51" s="265">
        <v>0</v>
      </c>
      <c r="EY51" s="265">
        <v>0</v>
      </c>
      <c r="EZ51" s="265">
        <v>0</v>
      </c>
      <c r="FA51" s="265">
        <v>0</v>
      </c>
      <c r="FB51" s="265">
        <v>0</v>
      </c>
      <c r="FC51" s="265">
        <v>0</v>
      </c>
      <c r="FD51" s="265">
        <v>0</v>
      </c>
      <c r="FE51" s="265">
        <v>0</v>
      </c>
      <c r="FF51" s="265">
        <v>0</v>
      </c>
      <c r="FG51" s="265">
        <v>0</v>
      </c>
      <c r="FH51" s="265">
        <v>0</v>
      </c>
      <c r="FI51" s="265">
        <v>0</v>
      </c>
      <c r="FJ51" s="269">
        <v>0</v>
      </c>
      <c r="FK51" s="278">
        <v>0</v>
      </c>
      <c r="FL51" s="265">
        <v>0</v>
      </c>
      <c r="FM51" s="265">
        <v>0</v>
      </c>
      <c r="FN51" s="265">
        <v>0</v>
      </c>
      <c r="FO51" s="265">
        <v>0</v>
      </c>
      <c r="FP51" s="265">
        <v>0</v>
      </c>
      <c r="FQ51" s="265">
        <v>0</v>
      </c>
      <c r="FR51" s="265">
        <v>0</v>
      </c>
      <c r="FS51" s="265">
        <v>0</v>
      </c>
      <c r="FT51" s="265">
        <v>0</v>
      </c>
      <c r="FU51" s="265">
        <v>0</v>
      </c>
      <c r="FV51" s="265">
        <v>0</v>
      </c>
      <c r="FW51" s="265">
        <v>0</v>
      </c>
      <c r="FX51" s="265">
        <v>0</v>
      </c>
      <c r="FY51" s="265">
        <v>0</v>
      </c>
      <c r="FZ51" s="265">
        <v>0</v>
      </c>
      <c r="GA51" s="265">
        <v>0</v>
      </c>
      <c r="GB51" s="265">
        <v>0</v>
      </c>
      <c r="GC51" s="265">
        <v>0</v>
      </c>
      <c r="GD51" s="265">
        <v>2</v>
      </c>
      <c r="GE51" s="265">
        <v>0</v>
      </c>
      <c r="GF51" s="265">
        <v>4</v>
      </c>
      <c r="GG51" s="265">
        <v>0</v>
      </c>
      <c r="GH51" s="265">
        <v>0</v>
      </c>
      <c r="GI51" s="265">
        <v>0</v>
      </c>
      <c r="GJ51" s="265">
        <v>3</v>
      </c>
      <c r="GK51" s="265">
        <v>0</v>
      </c>
      <c r="GL51" s="265">
        <v>0</v>
      </c>
      <c r="GM51" s="265">
        <v>2</v>
      </c>
      <c r="GN51" s="265">
        <v>3</v>
      </c>
      <c r="GO51" s="269">
        <v>0</v>
      </c>
      <c r="GP51" s="278">
        <v>0</v>
      </c>
      <c r="GQ51" s="265">
        <v>0</v>
      </c>
      <c r="GR51" s="265">
        <v>0</v>
      </c>
      <c r="GS51" s="265">
        <v>0</v>
      </c>
      <c r="GT51" s="265">
        <v>0</v>
      </c>
      <c r="GU51" s="265">
        <v>0</v>
      </c>
      <c r="GV51" s="265">
        <v>0</v>
      </c>
      <c r="GW51" s="265">
        <v>3</v>
      </c>
      <c r="GX51" s="265">
        <v>0</v>
      </c>
      <c r="GY51" s="265">
        <v>0</v>
      </c>
      <c r="GZ51" s="265">
        <v>0</v>
      </c>
      <c r="HA51" s="265">
        <v>0</v>
      </c>
      <c r="HB51" s="265">
        <v>0</v>
      </c>
      <c r="HC51" s="265">
        <v>0</v>
      </c>
      <c r="HD51" s="265">
        <v>0</v>
      </c>
      <c r="HE51" s="265">
        <v>0</v>
      </c>
      <c r="HF51" s="265">
        <v>0</v>
      </c>
      <c r="HG51" s="265">
        <v>0</v>
      </c>
      <c r="HH51" s="265">
        <v>0</v>
      </c>
      <c r="HI51" s="265"/>
      <c r="HJ51" s="265"/>
      <c r="HK51" s="265"/>
      <c r="HL51" s="265"/>
      <c r="HM51" s="265"/>
      <c r="HN51" s="265"/>
      <c r="HO51" s="265"/>
      <c r="HP51" s="265"/>
      <c r="HQ51" s="265"/>
      <c r="HR51" s="265"/>
      <c r="HS51" s="265"/>
      <c r="HT51" s="368"/>
      <c r="HU51" s="55">
        <f t="shared" si="155"/>
        <v>17</v>
      </c>
    </row>
    <row r="52" spans="1:229" x14ac:dyDescent="0.25">
      <c r="A52" s="2">
        <v>6</v>
      </c>
      <c r="B52" s="474"/>
      <c r="C52" s="23" t="s">
        <v>6</v>
      </c>
      <c r="D52" s="2" t="s">
        <v>17</v>
      </c>
      <c r="E52" s="73"/>
      <c r="F52" s="31"/>
      <c r="G52" s="31"/>
      <c r="H52" s="31"/>
      <c r="I52" s="31"/>
      <c r="J52" s="31"/>
      <c r="K52" s="31"/>
      <c r="L52" s="72"/>
      <c r="M52" s="106">
        <f t="shared" si="154"/>
        <v>0</v>
      </c>
      <c r="N52" s="129"/>
      <c r="O52" s="7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01"/>
      <c r="AQ52" s="162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62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265"/>
      <c r="CZ52" s="13"/>
      <c r="DA52" s="269"/>
      <c r="DB52" s="278"/>
      <c r="DC52" s="265"/>
      <c r="DD52" s="13"/>
      <c r="DE52" s="265"/>
      <c r="DF52" s="265"/>
      <c r="DG52" s="265"/>
      <c r="DH52" s="265"/>
      <c r="DI52" s="265"/>
      <c r="DJ52" s="265"/>
      <c r="DK52" s="265"/>
      <c r="DL52" s="265"/>
      <c r="DM52" s="265"/>
      <c r="DN52" s="265"/>
      <c r="DO52" s="265"/>
      <c r="DP52" s="265"/>
      <c r="DQ52" s="265"/>
      <c r="DR52" s="265"/>
      <c r="DS52" s="265"/>
      <c r="DT52" s="265"/>
      <c r="DU52" s="265"/>
      <c r="DV52" s="265"/>
      <c r="DW52" s="265"/>
      <c r="DX52" s="265"/>
      <c r="DY52" s="265"/>
      <c r="DZ52" s="265"/>
      <c r="EA52" s="265"/>
      <c r="EB52" s="265"/>
      <c r="EC52" s="265"/>
      <c r="ED52" s="265"/>
      <c r="EE52" s="265"/>
      <c r="EF52" s="269"/>
      <c r="EG52" s="278"/>
      <c r="EH52" s="265"/>
      <c r="EI52" s="265"/>
      <c r="EJ52" s="265"/>
      <c r="EK52" s="265"/>
      <c r="EL52" s="265"/>
      <c r="EM52" s="265"/>
      <c r="EN52" s="265"/>
      <c r="EO52" s="265"/>
      <c r="EP52" s="265"/>
      <c r="EQ52" s="265"/>
      <c r="ER52" s="265"/>
      <c r="ES52" s="265"/>
      <c r="ET52" s="265"/>
      <c r="EU52" s="265">
        <v>0</v>
      </c>
      <c r="EV52" s="265">
        <v>0</v>
      </c>
      <c r="EW52" s="265">
        <v>0</v>
      </c>
      <c r="EX52" s="265">
        <v>0</v>
      </c>
      <c r="EY52" s="265">
        <v>0</v>
      </c>
      <c r="EZ52" s="265">
        <v>1</v>
      </c>
      <c r="FA52" s="265">
        <v>0</v>
      </c>
      <c r="FB52" s="265">
        <v>0</v>
      </c>
      <c r="FC52" s="265">
        <v>0</v>
      </c>
      <c r="FD52" s="265">
        <v>0</v>
      </c>
      <c r="FE52" s="265">
        <v>3</v>
      </c>
      <c r="FF52" s="265">
        <v>0</v>
      </c>
      <c r="FG52" s="265">
        <v>3</v>
      </c>
      <c r="FH52" s="265">
        <v>0</v>
      </c>
      <c r="FI52" s="265">
        <v>2</v>
      </c>
      <c r="FJ52" s="269">
        <v>0</v>
      </c>
      <c r="FK52" s="278">
        <v>0</v>
      </c>
      <c r="FL52" s="265">
        <v>0</v>
      </c>
      <c r="FM52" s="265">
        <v>0</v>
      </c>
      <c r="FN52" s="265">
        <v>0</v>
      </c>
      <c r="FO52" s="265">
        <v>0</v>
      </c>
      <c r="FP52" s="265">
        <v>0</v>
      </c>
      <c r="FQ52" s="265">
        <v>0</v>
      </c>
      <c r="FR52" s="265">
        <v>0</v>
      </c>
      <c r="FS52" s="265">
        <v>0</v>
      </c>
      <c r="FT52" s="265">
        <v>0</v>
      </c>
      <c r="FU52" s="265">
        <v>0</v>
      </c>
      <c r="FV52" s="265">
        <v>0</v>
      </c>
      <c r="FW52" s="265">
        <v>0</v>
      </c>
      <c r="FX52" s="265">
        <v>0</v>
      </c>
      <c r="FY52" s="265">
        <v>0</v>
      </c>
      <c r="FZ52" s="265">
        <v>0</v>
      </c>
      <c r="GA52" s="265">
        <v>0</v>
      </c>
      <c r="GB52" s="265">
        <v>0</v>
      </c>
      <c r="GC52" s="265">
        <v>0</v>
      </c>
      <c r="GD52" s="265">
        <v>0</v>
      </c>
      <c r="GE52" s="265">
        <v>0</v>
      </c>
      <c r="GF52" s="265">
        <v>0</v>
      </c>
      <c r="GG52" s="265">
        <v>1</v>
      </c>
      <c r="GH52" s="265">
        <v>0</v>
      </c>
      <c r="GI52" s="265">
        <v>0</v>
      </c>
      <c r="GJ52" s="265">
        <v>0</v>
      </c>
      <c r="GK52" s="265">
        <v>0</v>
      </c>
      <c r="GL52" s="265">
        <v>0</v>
      </c>
      <c r="GM52" s="265">
        <v>0</v>
      </c>
      <c r="GN52" s="265">
        <v>0</v>
      </c>
      <c r="GO52" s="269">
        <v>0</v>
      </c>
      <c r="GP52" s="278">
        <v>0</v>
      </c>
      <c r="GQ52" s="265">
        <v>0</v>
      </c>
      <c r="GR52" s="265">
        <v>0</v>
      </c>
      <c r="GS52" s="265">
        <v>0</v>
      </c>
      <c r="GT52" s="265">
        <v>0</v>
      </c>
      <c r="GU52" s="265">
        <v>0</v>
      </c>
      <c r="GV52" s="265">
        <v>0</v>
      </c>
      <c r="GW52" s="265">
        <v>0</v>
      </c>
      <c r="GX52" s="265">
        <v>0</v>
      </c>
      <c r="GY52" s="265">
        <v>0</v>
      </c>
      <c r="GZ52" s="265">
        <v>0</v>
      </c>
      <c r="HA52" s="265">
        <v>0</v>
      </c>
      <c r="HB52" s="265">
        <v>0</v>
      </c>
      <c r="HC52" s="265">
        <v>0</v>
      </c>
      <c r="HD52" s="265">
        <v>2</v>
      </c>
      <c r="HE52" s="265">
        <v>0</v>
      </c>
      <c r="HF52" s="265">
        <v>0</v>
      </c>
      <c r="HG52" s="265">
        <v>0</v>
      </c>
      <c r="HH52" s="265">
        <v>0</v>
      </c>
      <c r="HI52" s="265"/>
      <c r="HJ52" s="265"/>
      <c r="HK52" s="265"/>
      <c r="HL52" s="265"/>
      <c r="HM52" s="265"/>
      <c r="HN52" s="265"/>
      <c r="HO52" s="265"/>
      <c r="HP52" s="265"/>
      <c r="HQ52" s="265"/>
      <c r="HR52" s="265"/>
      <c r="HS52" s="265"/>
      <c r="HT52" s="368"/>
      <c r="HU52" s="55">
        <f t="shared" si="155"/>
        <v>12</v>
      </c>
    </row>
    <row r="53" spans="1:229" x14ac:dyDescent="0.25">
      <c r="A53" s="2">
        <v>7</v>
      </c>
      <c r="B53" s="474"/>
      <c r="C53" s="23" t="s">
        <v>7</v>
      </c>
      <c r="D53" s="2" t="s">
        <v>17</v>
      </c>
      <c r="E53" s="73"/>
      <c r="F53" s="31"/>
      <c r="G53" s="31"/>
      <c r="H53" s="31"/>
      <c r="I53" s="31"/>
      <c r="J53" s="31"/>
      <c r="K53" s="31"/>
      <c r="L53" s="72"/>
      <c r="M53" s="106">
        <f t="shared" si="154"/>
        <v>0</v>
      </c>
      <c r="N53" s="129"/>
      <c r="O53" s="7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01"/>
      <c r="AQ53" s="162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62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265"/>
      <c r="CZ53" s="13"/>
      <c r="DA53" s="269"/>
      <c r="DB53" s="278"/>
      <c r="DC53" s="265"/>
      <c r="DD53" s="13"/>
      <c r="DE53" s="265"/>
      <c r="DF53" s="265"/>
      <c r="DG53" s="265"/>
      <c r="DH53" s="265"/>
      <c r="DI53" s="265"/>
      <c r="DJ53" s="265"/>
      <c r="DK53" s="265"/>
      <c r="DL53" s="265"/>
      <c r="DM53" s="265"/>
      <c r="DN53" s="265"/>
      <c r="DO53" s="265"/>
      <c r="DP53" s="265"/>
      <c r="DQ53" s="265"/>
      <c r="DR53" s="265"/>
      <c r="DS53" s="265"/>
      <c r="DT53" s="265"/>
      <c r="DU53" s="265"/>
      <c r="DV53" s="265"/>
      <c r="DW53" s="265"/>
      <c r="DX53" s="265"/>
      <c r="DY53" s="265"/>
      <c r="DZ53" s="265"/>
      <c r="EA53" s="265"/>
      <c r="EB53" s="265"/>
      <c r="EC53" s="265"/>
      <c r="ED53" s="265"/>
      <c r="EE53" s="265"/>
      <c r="EF53" s="269"/>
      <c r="EG53" s="278"/>
      <c r="EH53" s="265"/>
      <c r="EI53" s="265"/>
      <c r="EJ53" s="265"/>
      <c r="EK53" s="265"/>
      <c r="EL53" s="265"/>
      <c r="EM53" s="265"/>
      <c r="EN53" s="265"/>
      <c r="EO53" s="265"/>
      <c r="EP53" s="265"/>
      <c r="EQ53" s="265"/>
      <c r="ER53" s="265"/>
      <c r="ES53" s="265"/>
      <c r="ET53" s="265"/>
      <c r="EU53" s="265">
        <v>0</v>
      </c>
      <c r="EV53" s="265">
        <v>0</v>
      </c>
      <c r="EW53" s="265">
        <v>0</v>
      </c>
      <c r="EX53" s="265">
        <v>0</v>
      </c>
      <c r="EY53" s="265">
        <v>0</v>
      </c>
      <c r="EZ53" s="265">
        <v>0</v>
      </c>
      <c r="FA53" s="265">
        <v>0</v>
      </c>
      <c r="FB53" s="265">
        <v>0</v>
      </c>
      <c r="FC53" s="265">
        <v>0</v>
      </c>
      <c r="FD53" s="265">
        <v>0</v>
      </c>
      <c r="FE53" s="265">
        <v>0</v>
      </c>
      <c r="FF53" s="265">
        <v>0</v>
      </c>
      <c r="FG53" s="265">
        <v>0</v>
      </c>
      <c r="FH53" s="265">
        <v>1</v>
      </c>
      <c r="FI53" s="265">
        <v>0</v>
      </c>
      <c r="FJ53" s="269">
        <v>0</v>
      </c>
      <c r="FK53" s="278">
        <v>0</v>
      </c>
      <c r="FL53" s="265">
        <v>0</v>
      </c>
      <c r="FM53" s="265">
        <v>0</v>
      </c>
      <c r="FN53" s="265">
        <v>0</v>
      </c>
      <c r="FO53" s="265">
        <v>0</v>
      </c>
      <c r="FP53" s="265">
        <v>0</v>
      </c>
      <c r="FQ53" s="265">
        <v>0</v>
      </c>
      <c r="FR53" s="265">
        <v>0</v>
      </c>
      <c r="FS53" s="265">
        <v>0</v>
      </c>
      <c r="FT53" s="265">
        <v>0</v>
      </c>
      <c r="FU53" s="265">
        <v>0</v>
      </c>
      <c r="FV53" s="265">
        <v>0</v>
      </c>
      <c r="FW53" s="265">
        <v>0</v>
      </c>
      <c r="FX53" s="265">
        <v>0</v>
      </c>
      <c r="FY53" s="265">
        <v>0</v>
      </c>
      <c r="FZ53" s="265">
        <v>0</v>
      </c>
      <c r="GA53" s="265">
        <v>0</v>
      </c>
      <c r="GB53" s="265">
        <v>0</v>
      </c>
      <c r="GC53" s="265">
        <v>1</v>
      </c>
      <c r="GD53" s="265">
        <v>0</v>
      </c>
      <c r="GE53" s="265">
        <v>0</v>
      </c>
      <c r="GF53" s="265">
        <v>0</v>
      </c>
      <c r="GG53" s="265">
        <v>0</v>
      </c>
      <c r="GH53" s="265">
        <v>0</v>
      </c>
      <c r="GI53" s="265">
        <v>0</v>
      </c>
      <c r="GJ53" s="265">
        <v>0</v>
      </c>
      <c r="GK53" s="265">
        <v>0</v>
      </c>
      <c r="GL53" s="265">
        <v>0</v>
      </c>
      <c r="GM53" s="265">
        <v>0</v>
      </c>
      <c r="GN53" s="265">
        <v>0</v>
      </c>
      <c r="GO53" s="269">
        <v>0</v>
      </c>
      <c r="GP53" s="278">
        <v>0</v>
      </c>
      <c r="GQ53" s="265">
        <v>0</v>
      </c>
      <c r="GR53" s="265">
        <v>0</v>
      </c>
      <c r="GS53" s="265">
        <v>0</v>
      </c>
      <c r="GT53" s="265">
        <v>0</v>
      </c>
      <c r="GU53" s="265">
        <v>0</v>
      </c>
      <c r="GV53" s="265">
        <v>0</v>
      </c>
      <c r="GW53" s="265">
        <v>0</v>
      </c>
      <c r="GX53" s="265">
        <v>0</v>
      </c>
      <c r="GY53" s="265">
        <v>0</v>
      </c>
      <c r="GZ53" s="265">
        <v>0</v>
      </c>
      <c r="HA53" s="265">
        <v>2</v>
      </c>
      <c r="HB53" s="265">
        <v>0</v>
      </c>
      <c r="HC53" s="265">
        <v>0</v>
      </c>
      <c r="HD53" s="265">
        <v>0</v>
      </c>
      <c r="HE53" s="265">
        <v>0</v>
      </c>
      <c r="HF53" s="265">
        <v>0</v>
      </c>
      <c r="HG53" s="265">
        <v>0</v>
      </c>
      <c r="HH53" s="265">
        <v>0</v>
      </c>
      <c r="HI53" s="265"/>
      <c r="HJ53" s="265"/>
      <c r="HK53" s="265"/>
      <c r="HL53" s="265"/>
      <c r="HM53" s="265"/>
      <c r="HN53" s="265"/>
      <c r="HO53" s="265"/>
      <c r="HP53" s="265"/>
      <c r="HQ53" s="265"/>
      <c r="HR53" s="265"/>
      <c r="HS53" s="265"/>
      <c r="HT53" s="368"/>
      <c r="HU53" s="55">
        <f t="shared" si="155"/>
        <v>4</v>
      </c>
    </row>
    <row r="54" spans="1:229" x14ac:dyDescent="0.25">
      <c r="A54" s="2">
        <v>8</v>
      </c>
      <c r="B54" s="474"/>
      <c r="C54" s="23" t="s">
        <v>8</v>
      </c>
      <c r="D54" s="2" t="s">
        <v>17</v>
      </c>
      <c r="E54" s="73"/>
      <c r="F54" s="31"/>
      <c r="G54" s="31"/>
      <c r="H54" s="31"/>
      <c r="I54" s="31"/>
      <c r="J54" s="31"/>
      <c r="K54" s="31"/>
      <c r="L54" s="72"/>
      <c r="M54" s="106">
        <f t="shared" si="154"/>
        <v>0</v>
      </c>
      <c r="N54" s="129"/>
      <c r="O54" s="7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01"/>
      <c r="AQ54" s="162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62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265"/>
      <c r="CZ54" s="13"/>
      <c r="DA54" s="269"/>
      <c r="DB54" s="278"/>
      <c r="DC54" s="265"/>
      <c r="DD54" s="13"/>
      <c r="DE54" s="265"/>
      <c r="DF54" s="265"/>
      <c r="DG54" s="265"/>
      <c r="DH54" s="265"/>
      <c r="DI54" s="265"/>
      <c r="DJ54" s="265"/>
      <c r="DK54" s="265"/>
      <c r="DL54" s="265"/>
      <c r="DM54" s="265"/>
      <c r="DN54" s="265"/>
      <c r="DO54" s="265"/>
      <c r="DP54" s="265"/>
      <c r="DQ54" s="265"/>
      <c r="DR54" s="265"/>
      <c r="DS54" s="265"/>
      <c r="DT54" s="265"/>
      <c r="DU54" s="265"/>
      <c r="DV54" s="265"/>
      <c r="DW54" s="265"/>
      <c r="DX54" s="265"/>
      <c r="DY54" s="265"/>
      <c r="DZ54" s="265"/>
      <c r="EA54" s="265"/>
      <c r="EB54" s="265"/>
      <c r="EC54" s="265"/>
      <c r="ED54" s="265"/>
      <c r="EE54" s="265"/>
      <c r="EF54" s="269"/>
      <c r="EG54" s="278"/>
      <c r="EH54" s="265"/>
      <c r="EI54" s="265"/>
      <c r="EJ54" s="265"/>
      <c r="EK54" s="265"/>
      <c r="EL54" s="265"/>
      <c r="EM54" s="265"/>
      <c r="EN54" s="265"/>
      <c r="EO54" s="265"/>
      <c r="EP54" s="265"/>
      <c r="EQ54" s="265"/>
      <c r="ER54" s="265"/>
      <c r="ES54" s="265"/>
      <c r="ET54" s="265"/>
      <c r="EU54" s="265">
        <v>0</v>
      </c>
      <c r="EV54" s="265">
        <v>0</v>
      </c>
      <c r="EW54" s="265">
        <v>0</v>
      </c>
      <c r="EX54" s="265">
        <v>0</v>
      </c>
      <c r="EY54" s="265">
        <v>0</v>
      </c>
      <c r="EZ54" s="265">
        <v>0</v>
      </c>
      <c r="FA54" s="265">
        <v>0</v>
      </c>
      <c r="FB54" s="265">
        <v>0</v>
      </c>
      <c r="FC54" s="265">
        <v>0</v>
      </c>
      <c r="FD54" s="265">
        <v>0</v>
      </c>
      <c r="FE54" s="265">
        <v>0</v>
      </c>
      <c r="FF54" s="265">
        <v>0</v>
      </c>
      <c r="FG54" s="265">
        <v>0</v>
      </c>
      <c r="FH54" s="265">
        <v>0</v>
      </c>
      <c r="FI54" s="265">
        <v>0</v>
      </c>
      <c r="FJ54" s="269">
        <v>0</v>
      </c>
      <c r="FK54" s="278">
        <v>0</v>
      </c>
      <c r="FL54" s="265">
        <v>0</v>
      </c>
      <c r="FM54" s="265">
        <v>0</v>
      </c>
      <c r="FN54" s="265">
        <v>0</v>
      </c>
      <c r="FO54" s="265">
        <v>0</v>
      </c>
      <c r="FP54" s="265">
        <v>0</v>
      </c>
      <c r="FQ54" s="265">
        <v>0</v>
      </c>
      <c r="FR54" s="265">
        <v>0</v>
      </c>
      <c r="FS54" s="265">
        <v>0</v>
      </c>
      <c r="FT54" s="265">
        <v>0</v>
      </c>
      <c r="FU54" s="265">
        <v>0</v>
      </c>
      <c r="FV54" s="265">
        <v>0</v>
      </c>
      <c r="FW54" s="265">
        <v>0</v>
      </c>
      <c r="FX54" s="265">
        <v>0</v>
      </c>
      <c r="FY54" s="265">
        <v>0</v>
      </c>
      <c r="FZ54" s="265">
        <v>0</v>
      </c>
      <c r="GA54" s="265">
        <v>0</v>
      </c>
      <c r="GB54" s="265">
        <v>0</v>
      </c>
      <c r="GC54" s="265">
        <v>0</v>
      </c>
      <c r="GD54" s="265">
        <v>0</v>
      </c>
      <c r="GE54" s="265">
        <v>0</v>
      </c>
      <c r="GF54" s="265">
        <v>0</v>
      </c>
      <c r="GG54" s="265">
        <v>0</v>
      </c>
      <c r="GH54" s="265">
        <v>0</v>
      </c>
      <c r="GI54" s="265">
        <v>0</v>
      </c>
      <c r="GJ54" s="265">
        <v>0</v>
      </c>
      <c r="GK54" s="265">
        <v>0</v>
      </c>
      <c r="GL54" s="265">
        <v>0</v>
      </c>
      <c r="GM54" s="265">
        <v>0</v>
      </c>
      <c r="GN54" s="265">
        <v>0</v>
      </c>
      <c r="GO54" s="269">
        <v>0</v>
      </c>
      <c r="GP54" s="278">
        <v>0</v>
      </c>
      <c r="GQ54" s="265">
        <v>0</v>
      </c>
      <c r="GR54" s="265">
        <v>0</v>
      </c>
      <c r="GS54" s="265">
        <v>0</v>
      </c>
      <c r="GT54" s="265">
        <v>0</v>
      </c>
      <c r="GU54" s="265">
        <v>0</v>
      </c>
      <c r="GV54" s="265">
        <v>0</v>
      </c>
      <c r="GW54" s="265">
        <v>0</v>
      </c>
      <c r="GX54" s="265">
        <v>0</v>
      </c>
      <c r="GY54" s="265">
        <v>0</v>
      </c>
      <c r="GZ54" s="265">
        <v>0</v>
      </c>
      <c r="HA54" s="265">
        <v>0</v>
      </c>
      <c r="HB54" s="265">
        <v>0</v>
      </c>
      <c r="HC54" s="265">
        <v>0</v>
      </c>
      <c r="HD54" s="265">
        <v>0</v>
      </c>
      <c r="HE54" s="265">
        <v>0</v>
      </c>
      <c r="HF54" s="265">
        <v>0</v>
      </c>
      <c r="HG54" s="265">
        <v>0</v>
      </c>
      <c r="HH54" s="265">
        <v>0</v>
      </c>
      <c r="HI54" s="265"/>
      <c r="HJ54" s="265"/>
      <c r="HK54" s="265"/>
      <c r="HL54" s="265"/>
      <c r="HM54" s="265"/>
      <c r="HN54" s="265"/>
      <c r="HO54" s="265"/>
      <c r="HP54" s="265"/>
      <c r="HQ54" s="265"/>
      <c r="HR54" s="265"/>
      <c r="HS54" s="265"/>
      <c r="HT54" s="368"/>
      <c r="HU54" s="55">
        <f t="shared" si="155"/>
        <v>0</v>
      </c>
    </row>
    <row r="55" spans="1:229" x14ac:dyDescent="0.25">
      <c r="A55" s="2">
        <v>9</v>
      </c>
      <c r="B55" s="474"/>
      <c r="C55" s="23" t="s">
        <v>9</v>
      </c>
      <c r="D55" s="2" t="s">
        <v>17</v>
      </c>
      <c r="E55" s="73"/>
      <c r="F55" s="31"/>
      <c r="G55" s="31"/>
      <c r="H55" s="31"/>
      <c r="I55" s="31"/>
      <c r="J55" s="31"/>
      <c r="K55" s="31"/>
      <c r="L55" s="72"/>
      <c r="M55" s="106">
        <f t="shared" si="154"/>
        <v>0</v>
      </c>
      <c r="N55" s="129"/>
      <c r="O55" s="7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01"/>
      <c r="AQ55" s="162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62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265"/>
      <c r="CZ55" s="13"/>
      <c r="DA55" s="269"/>
      <c r="DB55" s="278"/>
      <c r="DC55" s="265"/>
      <c r="DD55" s="13"/>
      <c r="DE55" s="265"/>
      <c r="DF55" s="265"/>
      <c r="DG55" s="265"/>
      <c r="DH55" s="265"/>
      <c r="DI55" s="265"/>
      <c r="DJ55" s="265"/>
      <c r="DK55" s="265"/>
      <c r="DL55" s="265"/>
      <c r="DM55" s="265"/>
      <c r="DN55" s="265"/>
      <c r="DO55" s="265"/>
      <c r="DP55" s="265"/>
      <c r="DQ55" s="265"/>
      <c r="DR55" s="265"/>
      <c r="DS55" s="265"/>
      <c r="DT55" s="265"/>
      <c r="DU55" s="265"/>
      <c r="DV55" s="265"/>
      <c r="DW55" s="265"/>
      <c r="DX55" s="265"/>
      <c r="DY55" s="265"/>
      <c r="DZ55" s="265"/>
      <c r="EA55" s="265"/>
      <c r="EB55" s="265"/>
      <c r="EC55" s="265"/>
      <c r="ED55" s="265"/>
      <c r="EE55" s="265"/>
      <c r="EF55" s="269"/>
      <c r="EG55" s="278"/>
      <c r="EH55" s="265"/>
      <c r="EI55" s="265"/>
      <c r="EJ55" s="265"/>
      <c r="EK55" s="265"/>
      <c r="EL55" s="265"/>
      <c r="EM55" s="265"/>
      <c r="EN55" s="265"/>
      <c r="EO55" s="265"/>
      <c r="EP55" s="265"/>
      <c r="EQ55" s="265"/>
      <c r="ER55" s="265"/>
      <c r="ES55" s="265"/>
      <c r="ET55" s="265"/>
      <c r="EU55" s="265">
        <v>0</v>
      </c>
      <c r="EV55" s="265">
        <v>0</v>
      </c>
      <c r="EW55" s="265">
        <v>0</v>
      </c>
      <c r="EX55" s="265">
        <v>0</v>
      </c>
      <c r="EY55" s="265">
        <v>0</v>
      </c>
      <c r="EZ55" s="265">
        <v>0</v>
      </c>
      <c r="FA55" s="265">
        <v>0</v>
      </c>
      <c r="FB55" s="265">
        <v>0</v>
      </c>
      <c r="FC55" s="265">
        <v>0</v>
      </c>
      <c r="FD55" s="265">
        <v>0</v>
      </c>
      <c r="FE55" s="265">
        <v>0</v>
      </c>
      <c r="FF55" s="265">
        <v>0</v>
      </c>
      <c r="FG55" s="265">
        <v>0</v>
      </c>
      <c r="FH55" s="265">
        <v>0</v>
      </c>
      <c r="FI55" s="265">
        <v>0</v>
      </c>
      <c r="FJ55" s="269">
        <v>0</v>
      </c>
      <c r="FK55" s="278">
        <v>0</v>
      </c>
      <c r="FL55" s="265">
        <v>0</v>
      </c>
      <c r="FM55" s="265">
        <v>0</v>
      </c>
      <c r="FN55" s="265">
        <v>0</v>
      </c>
      <c r="FO55" s="265">
        <v>0</v>
      </c>
      <c r="FP55" s="265">
        <v>0</v>
      </c>
      <c r="FQ55" s="265">
        <v>0</v>
      </c>
      <c r="FR55" s="265">
        <v>0</v>
      </c>
      <c r="FS55" s="265">
        <v>0</v>
      </c>
      <c r="FT55" s="265">
        <v>0</v>
      </c>
      <c r="FU55" s="265">
        <v>0</v>
      </c>
      <c r="FV55" s="265">
        <v>0</v>
      </c>
      <c r="FW55" s="265">
        <v>0</v>
      </c>
      <c r="FX55" s="265">
        <v>0</v>
      </c>
      <c r="FY55" s="265">
        <v>0</v>
      </c>
      <c r="FZ55" s="265">
        <v>0</v>
      </c>
      <c r="GA55" s="265">
        <v>0</v>
      </c>
      <c r="GB55" s="265">
        <v>0</v>
      </c>
      <c r="GC55" s="265">
        <v>0</v>
      </c>
      <c r="GD55" s="265">
        <v>0</v>
      </c>
      <c r="GE55" s="265">
        <v>0</v>
      </c>
      <c r="GF55" s="265">
        <v>0</v>
      </c>
      <c r="GG55" s="265">
        <v>0</v>
      </c>
      <c r="GH55" s="265">
        <v>0</v>
      </c>
      <c r="GI55" s="265">
        <v>0</v>
      </c>
      <c r="GJ55" s="265">
        <v>0</v>
      </c>
      <c r="GK55" s="265">
        <v>0</v>
      </c>
      <c r="GL55" s="265">
        <v>0</v>
      </c>
      <c r="GM55" s="265">
        <v>0</v>
      </c>
      <c r="GN55" s="265">
        <v>0</v>
      </c>
      <c r="GO55" s="269">
        <v>0</v>
      </c>
      <c r="GP55" s="278">
        <v>0</v>
      </c>
      <c r="GQ55" s="265">
        <v>0</v>
      </c>
      <c r="GR55" s="265">
        <v>0</v>
      </c>
      <c r="GS55" s="265">
        <v>0</v>
      </c>
      <c r="GT55" s="265">
        <v>0</v>
      </c>
      <c r="GU55" s="265">
        <v>0</v>
      </c>
      <c r="GV55" s="265">
        <v>0</v>
      </c>
      <c r="GW55" s="265">
        <v>0</v>
      </c>
      <c r="GX55" s="265">
        <v>0</v>
      </c>
      <c r="GY55" s="265">
        <v>0</v>
      </c>
      <c r="GZ55" s="265">
        <v>0</v>
      </c>
      <c r="HA55" s="265">
        <v>0</v>
      </c>
      <c r="HB55" s="265">
        <v>0</v>
      </c>
      <c r="HC55" s="265">
        <v>0</v>
      </c>
      <c r="HD55" s="265">
        <v>0</v>
      </c>
      <c r="HE55" s="265">
        <v>0</v>
      </c>
      <c r="HF55" s="265">
        <v>0</v>
      </c>
      <c r="HG55" s="265">
        <v>0</v>
      </c>
      <c r="HH55" s="265">
        <v>0</v>
      </c>
      <c r="HI55" s="265"/>
      <c r="HJ55" s="265"/>
      <c r="HK55" s="265"/>
      <c r="HL55" s="265"/>
      <c r="HM55" s="265"/>
      <c r="HN55" s="265"/>
      <c r="HO55" s="265"/>
      <c r="HP55" s="265"/>
      <c r="HQ55" s="265"/>
      <c r="HR55" s="265"/>
      <c r="HS55" s="265"/>
      <c r="HT55" s="368"/>
      <c r="HU55" s="55">
        <f t="shared" si="155"/>
        <v>0</v>
      </c>
    </row>
    <row r="56" spans="1:229" x14ac:dyDescent="0.25">
      <c r="A56" s="2">
        <v>10</v>
      </c>
      <c r="B56" s="474"/>
      <c r="C56" s="23" t="s">
        <v>10</v>
      </c>
      <c r="D56" s="2" t="s">
        <v>17</v>
      </c>
      <c r="E56" s="73"/>
      <c r="F56" s="31"/>
      <c r="G56" s="31"/>
      <c r="H56" s="31"/>
      <c r="I56" s="31"/>
      <c r="J56" s="31"/>
      <c r="K56" s="31"/>
      <c r="L56" s="72"/>
      <c r="M56" s="106">
        <f t="shared" si="154"/>
        <v>0</v>
      </c>
      <c r="N56" s="129"/>
      <c r="O56" s="7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01"/>
      <c r="AQ56" s="162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62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265"/>
      <c r="CZ56" s="13"/>
      <c r="DA56" s="269"/>
      <c r="DB56" s="278"/>
      <c r="DC56" s="265"/>
      <c r="DD56" s="13"/>
      <c r="DE56" s="265"/>
      <c r="DF56" s="265"/>
      <c r="DG56" s="265"/>
      <c r="DH56" s="265"/>
      <c r="DI56" s="265"/>
      <c r="DJ56" s="265"/>
      <c r="DK56" s="265"/>
      <c r="DL56" s="265"/>
      <c r="DM56" s="265"/>
      <c r="DN56" s="265"/>
      <c r="DO56" s="265"/>
      <c r="DP56" s="265"/>
      <c r="DQ56" s="265"/>
      <c r="DR56" s="265"/>
      <c r="DS56" s="265"/>
      <c r="DT56" s="265"/>
      <c r="DU56" s="265"/>
      <c r="DV56" s="265"/>
      <c r="DW56" s="265"/>
      <c r="DX56" s="265"/>
      <c r="DY56" s="265"/>
      <c r="DZ56" s="265"/>
      <c r="EA56" s="265"/>
      <c r="EB56" s="265"/>
      <c r="EC56" s="265"/>
      <c r="ED56" s="265"/>
      <c r="EE56" s="265"/>
      <c r="EF56" s="269"/>
      <c r="EG56" s="278"/>
      <c r="EH56" s="265"/>
      <c r="EI56" s="265"/>
      <c r="EJ56" s="265"/>
      <c r="EK56" s="265"/>
      <c r="EL56" s="265"/>
      <c r="EM56" s="265"/>
      <c r="EN56" s="265"/>
      <c r="EO56" s="265"/>
      <c r="EP56" s="265"/>
      <c r="EQ56" s="265"/>
      <c r="ER56" s="265"/>
      <c r="ES56" s="265"/>
      <c r="ET56" s="265"/>
      <c r="EU56" s="265">
        <v>0</v>
      </c>
      <c r="EV56" s="265">
        <v>0</v>
      </c>
      <c r="EW56" s="265">
        <v>0</v>
      </c>
      <c r="EX56" s="265">
        <v>0</v>
      </c>
      <c r="EY56" s="265">
        <v>0</v>
      </c>
      <c r="EZ56" s="265">
        <v>0</v>
      </c>
      <c r="FA56" s="265">
        <v>0</v>
      </c>
      <c r="FB56" s="265">
        <v>0</v>
      </c>
      <c r="FC56" s="265">
        <v>0</v>
      </c>
      <c r="FD56" s="265">
        <v>0</v>
      </c>
      <c r="FE56" s="265">
        <v>0</v>
      </c>
      <c r="FF56" s="265">
        <v>0</v>
      </c>
      <c r="FG56" s="265">
        <v>0</v>
      </c>
      <c r="FH56" s="265">
        <v>0</v>
      </c>
      <c r="FI56" s="265">
        <v>0</v>
      </c>
      <c r="FJ56" s="269">
        <v>0</v>
      </c>
      <c r="FK56" s="278">
        <v>0</v>
      </c>
      <c r="FL56" s="265">
        <v>0</v>
      </c>
      <c r="FM56" s="265">
        <v>0</v>
      </c>
      <c r="FN56" s="265">
        <v>0</v>
      </c>
      <c r="FO56" s="265">
        <v>0</v>
      </c>
      <c r="FP56" s="265">
        <v>0</v>
      </c>
      <c r="FQ56" s="265">
        <v>0</v>
      </c>
      <c r="FR56" s="265">
        <v>0</v>
      </c>
      <c r="FS56" s="265">
        <v>0</v>
      </c>
      <c r="FT56" s="265">
        <v>0</v>
      </c>
      <c r="FU56" s="265">
        <v>0</v>
      </c>
      <c r="FV56" s="265">
        <v>0</v>
      </c>
      <c r="FW56" s="265">
        <v>0</v>
      </c>
      <c r="FX56" s="265">
        <v>0</v>
      </c>
      <c r="FY56" s="265">
        <v>0</v>
      </c>
      <c r="FZ56" s="265">
        <v>0</v>
      </c>
      <c r="GA56" s="265">
        <v>0</v>
      </c>
      <c r="GB56" s="265">
        <v>0</v>
      </c>
      <c r="GC56" s="265">
        <v>0</v>
      </c>
      <c r="GD56" s="265">
        <v>0</v>
      </c>
      <c r="GE56" s="265">
        <v>0</v>
      </c>
      <c r="GF56" s="265">
        <v>0</v>
      </c>
      <c r="GG56" s="265">
        <v>0</v>
      </c>
      <c r="GH56" s="265">
        <v>0</v>
      </c>
      <c r="GI56" s="265">
        <v>0</v>
      </c>
      <c r="GJ56" s="265">
        <v>0</v>
      </c>
      <c r="GK56" s="265">
        <v>0</v>
      </c>
      <c r="GL56" s="265">
        <v>0</v>
      </c>
      <c r="GM56" s="265">
        <v>0</v>
      </c>
      <c r="GN56" s="265">
        <v>0</v>
      </c>
      <c r="GO56" s="269">
        <v>0</v>
      </c>
      <c r="GP56" s="278">
        <v>0</v>
      </c>
      <c r="GQ56" s="265">
        <v>0</v>
      </c>
      <c r="GR56" s="265">
        <v>0</v>
      </c>
      <c r="GS56" s="265">
        <v>0</v>
      </c>
      <c r="GT56" s="265">
        <v>0</v>
      </c>
      <c r="GU56" s="265">
        <v>0</v>
      </c>
      <c r="GV56" s="265">
        <v>0</v>
      </c>
      <c r="GW56" s="265">
        <v>0</v>
      </c>
      <c r="GX56" s="265">
        <v>0</v>
      </c>
      <c r="GY56" s="265">
        <v>0</v>
      </c>
      <c r="GZ56" s="265">
        <v>0</v>
      </c>
      <c r="HA56" s="265">
        <v>0</v>
      </c>
      <c r="HB56" s="265">
        <v>0</v>
      </c>
      <c r="HC56" s="265">
        <v>0</v>
      </c>
      <c r="HD56" s="265">
        <v>0</v>
      </c>
      <c r="HE56" s="265">
        <v>0</v>
      </c>
      <c r="HF56" s="265">
        <v>0</v>
      </c>
      <c r="HG56" s="265">
        <v>0</v>
      </c>
      <c r="HH56" s="265">
        <v>0</v>
      </c>
      <c r="HI56" s="265"/>
      <c r="HJ56" s="265"/>
      <c r="HK56" s="265"/>
      <c r="HL56" s="265"/>
      <c r="HM56" s="265"/>
      <c r="HN56" s="265"/>
      <c r="HO56" s="265"/>
      <c r="HP56" s="265"/>
      <c r="HQ56" s="265"/>
      <c r="HR56" s="265"/>
      <c r="HS56" s="265"/>
      <c r="HT56" s="368"/>
      <c r="HU56" s="55">
        <f t="shared" si="155"/>
        <v>0</v>
      </c>
    </row>
    <row r="57" spans="1:229" x14ac:dyDescent="0.25">
      <c r="A57" s="2">
        <v>11</v>
      </c>
      <c r="B57" s="496"/>
      <c r="C57" s="23" t="s">
        <v>11</v>
      </c>
      <c r="D57" s="2" t="s">
        <v>17</v>
      </c>
      <c r="E57" s="73"/>
      <c r="F57" s="31"/>
      <c r="G57" s="31"/>
      <c r="H57" s="31"/>
      <c r="I57" s="31"/>
      <c r="J57" s="31"/>
      <c r="K57" s="31"/>
      <c r="L57" s="72"/>
      <c r="M57" s="106">
        <f t="shared" si="154"/>
        <v>0</v>
      </c>
      <c r="N57" s="129"/>
      <c r="O57" s="7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01"/>
      <c r="AQ57" s="162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62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265"/>
      <c r="CZ57" s="13"/>
      <c r="DA57" s="269"/>
      <c r="DB57" s="278"/>
      <c r="DC57" s="265"/>
      <c r="DD57" s="13"/>
      <c r="DE57" s="265"/>
      <c r="DF57" s="265"/>
      <c r="DG57" s="265"/>
      <c r="DH57" s="265"/>
      <c r="DI57" s="265"/>
      <c r="DJ57" s="265"/>
      <c r="DK57" s="265"/>
      <c r="DL57" s="265"/>
      <c r="DM57" s="265"/>
      <c r="DN57" s="265"/>
      <c r="DO57" s="265"/>
      <c r="DP57" s="265"/>
      <c r="DQ57" s="265"/>
      <c r="DR57" s="265"/>
      <c r="DS57" s="265"/>
      <c r="DT57" s="265"/>
      <c r="DU57" s="265"/>
      <c r="DV57" s="265"/>
      <c r="DW57" s="265"/>
      <c r="DX57" s="265"/>
      <c r="DY57" s="265"/>
      <c r="DZ57" s="265"/>
      <c r="EA57" s="265"/>
      <c r="EB57" s="265"/>
      <c r="EC57" s="265"/>
      <c r="ED57" s="265"/>
      <c r="EE57" s="265"/>
      <c r="EF57" s="269"/>
      <c r="EG57" s="278"/>
      <c r="EH57" s="265"/>
      <c r="EI57" s="265"/>
      <c r="EJ57" s="265"/>
      <c r="EK57" s="265"/>
      <c r="EL57" s="265"/>
      <c r="EM57" s="265"/>
      <c r="EN57" s="265"/>
      <c r="EO57" s="265"/>
      <c r="EP57" s="265"/>
      <c r="EQ57" s="265"/>
      <c r="ER57" s="265"/>
      <c r="ES57" s="265"/>
      <c r="ET57" s="265"/>
      <c r="EU57" s="265">
        <v>0</v>
      </c>
      <c r="EV57" s="265">
        <v>0</v>
      </c>
      <c r="EW57" s="265">
        <v>0</v>
      </c>
      <c r="EX57" s="265">
        <v>0</v>
      </c>
      <c r="EY57" s="265">
        <v>0</v>
      </c>
      <c r="EZ57" s="265">
        <v>0</v>
      </c>
      <c r="FA57" s="265">
        <v>0</v>
      </c>
      <c r="FB57" s="265">
        <v>0</v>
      </c>
      <c r="FC57" s="265">
        <v>0</v>
      </c>
      <c r="FD57" s="265">
        <v>0</v>
      </c>
      <c r="FE57" s="265">
        <v>0</v>
      </c>
      <c r="FF57" s="265">
        <v>0</v>
      </c>
      <c r="FG57" s="265">
        <v>0</v>
      </c>
      <c r="FH57" s="265">
        <v>0</v>
      </c>
      <c r="FI57" s="265">
        <v>0</v>
      </c>
      <c r="FJ57" s="269">
        <v>0</v>
      </c>
      <c r="FK57" s="278">
        <v>0</v>
      </c>
      <c r="FL57" s="265">
        <v>0</v>
      </c>
      <c r="FM57" s="265">
        <v>0</v>
      </c>
      <c r="FN57" s="265">
        <v>0</v>
      </c>
      <c r="FO57" s="265">
        <v>0</v>
      </c>
      <c r="FP57" s="265">
        <v>0</v>
      </c>
      <c r="FQ57" s="265">
        <v>0</v>
      </c>
      <c r="FR57" s="265">
        <v>0</v>
      </c>
      <c r="FS57" s="265">
        <v>0</v>
      </c>
      <c r="FT57" s="265">
        <v>0</v>
      </c>
      <c r="FU57" s="265">
        <v>0</v>
      </c>
      <c r="FV57" s="265">
        <v>0</v>
      </c>
      <c r="FW57" s="265">
        <v>0</v>
      </c>
      <c r="FX57" s="265">
        <v>0</v>
      </c>
      <c r="FY57" s="265">
        <v>0</v>
      </c>
      <c r="FZ57" s="265">
        <v>0</v>
      </c>
      <c r="GA57" s="265">
        <v>0</v>
      </c>
      <c r="GB57" s="265">
        <v>0</v>
      </c>
      <c r="GC57" s="265">
        <v>0</v>
      </c>
      <c r="GD57" s="265">
        <v>0</v>
      </c>
      <c r="GE57" s="265">
        <v>0</v>
      </c>
      <c r="GF57" s="265">
        <v>0</v>
      </c>
      <c r="GG57" s="265">
        <v>0</v>
      </c>
      <c r="GH57" s="265">
        <v>0</v>
      </c>
      <c r="GI57" s="265">
        <v>0</v>
      </c>
      <c r="GJ57" s="265">
        <v>0</v>
      </c>
      <c r="GK57" s="265">
        <v>0</v>
      </c>
      <c r="GL57" s="265">
        <v>0</v>
      </c>
      <c r="GM57" s="265">
        <v>0</v>
      </c>
      <c r="GN57" s="265">
        <v>0</v>
      </c>
      <c r="GO57" s="269">
        <v>0</v>
      </c>
      <c r="GP57" s="278">
        <v>0</v>
      </c>
      <c r="GQ57" s="265">
        <v>0</v>
      </c>
      <c r="GR57" s="265">
        <v>0</v>
      </c>
      <c r="GS57" s="265">
        <v>0</v>
      </c>
      <c r="GT57" s="265">
        <v>0</v>
      </c>
      <c r="GU57" s="265">
        <v>0</v>
      </c>
      <c r="GV57" s="265">
        <v>0</v>
      </c>
      <c r="GW57" s="265">
        <v>0</v>
      </c>
      <c r="GX57" s="265">
        <v>0</v>
      </c>
      <c r="GY57" s="265">
        <v>0</v>
      </c>
      <c r="GZ57" s="265">
        <v>0</v>
      </c>
      <c r="HA57" s="265">
        <v>0</v>
      </c>
      <c r="HB57" s="265">
        <v>0</v>
      </c>
      <c r="HC57" s="265">
        <v>0</v>
      </c>
      <c r="HD57" s="265">
        <v>0</v>
      </c>
      <c r="HE57" s="265">
        <v>0</v>
      </c>
      <c r="HF57" s="265">
        <v>0</v>
      </c>
      <c r="HG57" s="265">
        <v>0</v>
      </c>
      <c r="HH57" s="265">
        <v>0</v>
      </c>
      <c r="HI57" s="265"/>
      <c r="HJ57" s="265"/>
      <c r="HK57" s="265"/>
      <c r="HL57" s="265"/>
      <c r="HM57" s="265"/>
      <c r="HN57" s="265"/>
      <c r="HO57" s="265"/>
      <c r="HP57" s="265"/>
      <c r="HQ57" s="265"/>
      <c r="HR57" s="265"/>
      <c r="HS57" s="265"/>
      <c r="HT57" s="368"/>
      <c r="HU57" s="55">
        <f t="shared" si="155"/>
        <v>0</v>
      </c>
    </row>
    <row r="58" spans="1:229" ht="16.5" thickBot="1" x14ac:dyDescent="0.3">
      <c r="A58" s="15"/>
      <c r="B58" s="15"/>
      <c r="C58" s="24" t="s">
        <v>12</v>
      </c>
      <c r="D58" s="78" t="s">
        <v>17</v>
      </c>
      <c r="E58" s="74">
        <f t="shared" ref="E58:L58" si="156">SUM(E47:E57)</f>
        <v>0</v>
      </c>
      <c r="F58" s="18">
        <f t="shared" si="156"/>
        <v>0</v>
      </c>
      <c r="G58" s="18">
        <f t="shared" si="156"/>
        <v>0</v>
      </c>
      <c r="H58" s="18">
        <f t="shared" si="156"/>
        <v>0</v>
      </c>
      <c r="I58" s="18">
        <f t="shared" si="156"/>
        <v>0</v>
      </c>
      <c r="J58" s="18">
        <f t="shared" si="156"/>
        <v>0</v>
      </c>
      <c r="K58" s="18">
        <f t="shared" si="156"/>
        <v>0</v>
      </c>
      <c r="L58" s="75">
        <f t="shared" si="156"/>
        <v>0</v>
      </c>
      <c r="M58" s="110">
        <f>SUM(M47:M57)</f>
        <v>0</v>
      </c>
      <c r="N58" s="132"/>
      <c r="O58" s="93">
        <f>SUM(O47:O57)</f>
        <v>0</v>
      </c>
      <c r="P58" s="94">
        <f>SUM(P47:P57)</f>
        <v>0</v>
      </c>
      <c r="Q58" s="94">
        <f>SUM(Q47:Q57)</f>
        <v>0</v>
      </c>
      <c r="R58" s="94">
        <f>SUM(R47:R57)</f>
        <v>0</v>
      </c>
      <c r="S58" s="94">
        <f>SUM(S47:S57)</f>
        <v>0</v>
      </c>
      <c r="T58" s="94">
        <f t="shared" ref="T58:AP58" si="157">SUM(T47:T57)</f>
        <v>0</v>
      </c>
      <c r="U58" s="94">
        <f t="shared" si="157"/>
        <v>0</v>
      </c>
      <c r="V58" s="94">
        <f t="shared" si="157"/>
        <v>0</v>
      </c>
      <c r="W58" s="94">
        <f t="shared" si="157"/>
        <v>0</v>
      </c>
      <c r="X58" s="94">
        <f t="shared" si="157"/>
        <v>0</v>
      </c>
      <c r="Y58" s="94">
        <f t="shared" si="157"/>
        <v>0</v>
      </c>
      <c r="Z58" s="94">
        <f t="shared" si="157"/>
        <v>0</v>
      </c>
      <c r="AA58" s="94">
        <f t="shared" si="157"/>
        <v>0</v>
      </c>
      <c r="AB58" s="94">
        <f t="shared" si="157"/>
        <v>0</v>
      </c>
      <c r="AC58" s="94">
        <f t="shared" si="157"/>
        <v>0</v>
      </c>
      <c r="AD58" s="94">
        <f t="shared" si="157"/>
        <v>0</v>
      </c>
      <c r="AE58" s="94">
        <f t="shared" si="157"/>
        <v>0</v>
      </c>
      <c r="AF58" s="94">
        <f t="shared" si="157"/>
        <v>0</v>
      </c>
      <c r="AG58" s="94">
        <f t="shared" si="157"/>
        <v>0</v>
      </c>
      <c r="AH58" s="94">
        <f t="shared" si="157"/>
        <v>0</v>
      </c>
      <c r="AI58" s="94">
        <f t="shared" si="157"/>
        <v>0</v>
      </c>
      <c r="AJ58" s="94">
        <f t="shared" si="157"/>
        <v>0</v>
      </c>
      <c r="AK58" s="94">
        <f t="shared" si="157"/>
        <v>0</v>
      </c>
      <c r="AL58" s="94">
        <f t="shared" si="157"/>
        <v>0</v>
      </c>
      <c r="AM58" s="94">
        <f t="shared" si="157"/>
        <v>0</v>
      </c>
      <c r="AN58" s="94">
        <f t="shared" si="157"/>
        <v>0</v>
      </c>
      <c r="AO58" s="94">
        <f t="shared" si="157"/>
        <v>0</v>
      </c>
      <c r="AP58" s="156">
        <f t="shared" si="157"/>
        <v>0</v>
      </c>
      <c r="AQ58" s="163"/>
      <c r="AR58" s="94">
        <f t="shared" ref="AR58:AZ58" si="158">SUM(AR47:AR57)</f>
        <v>0</v>
      </c>
      <c r="AS58" s="94">
        <f t="shared" si="158"/>
        <v>0</v>
      </c>
      <c r="AT58" s="94">
        <f t="shared" si="158"/>
        <v>0</v>
      </c>
      <c r="AU58" s="94">
        <f t="shared" si="158"/>
        <v>0</v>
      </c>
      <c r="AV58" s="94">
        <f t="shared" si="158"/>
        <v>0</v>
      </c>
      <c r="AW58" s="94">
        <f t="shared" si="158"/>
        <v>0</v>
      </c>
      <c r="AX58" s="94">
        <f t="shared" si="158"/>
        <v>0</v>
      </c>
      <c r="AY58" s="94">
        <f t="shared" si="158"/>
        <v>0</v>
      </c>
      <c r="AZ58" s="94">
        <f t="shared" si="158"/>
        <v>0</v>
      </c>
      <c r="BA58" s="94">
        <f>SUM(BA47:BA57)</f>
        <v>0</v>
      </c>
      <c r="BB58" s="94">
        <f t="shared" ref="BB58:BV58" si="159">SUM(BB47:BB57)</f>
        <v>0</v>
      </c>
      <c r="BC58" s="94">
        <f t="shared" si="159"/>
        <v>0</v>
      </c>
      <c r="BD58" s="94">
        <f t="shared" si="159"/>
        <v>0</v>
      </c>
      <c r="BE58" s="94">
        <f t="shared" si="159"/>
        <v>0</v>
      </c>
      <c r="BF58" s="94">
        <f t="shared" si="159"/>
        <v>0</v>
      </c>
      <c r="BG58" s="94">
        <f t="shared" si="159"/>
        <v>0</v>
      </c>
      <c r="BH58" s="94">
        <f t="shared" si="159"/>
        <v>0</v>
      </c>
      <c r="BI58" s="94">
        <f t="shared" si="159"/>
        <v>0</v>
      </c>
      <c r="BJ58" s="94">
        <f t="shared" si="159"/>
        <v>0</v>
      </c>
      <c r="BK58" s="94">
        <f t="shared" si="159"/>
        <v>0</v>
      </c>
      <c r="BL58" s="94">
        <f t="shared" si="159"/>
        <v>0</v>
      </c>
      <c r="BM58" s="94">
        <f t="shared" si="159"/>
        <v>0</v>
      </c>
      <c r="BN58" s="94">
        <f t="shared" si="159"/>
        <v>0</v>
      </c>
      <c r="BO58" s="94">
        <f t="shared" si="159"/>
        <v>0</v>
      </c>
      <c r="BP58" s="94">
        <f t="shared" si="159"/>
        <v>0</v>
      </c>
      <c r="BQ58" s="94">
        <f t="shared" si="159"/>
        <v>0</v>
      </c>
      <c r="BR58" s="94">
        <f t="shared" si="159"/>
        <v>0</v>
      </c>
      <c r="BS58" s="94">
        <f t="shared" si="159"/>
        <v>0</v>
      </c>
      <c r="BT58" s="94">
        <f t="shared" si="159"/>
        <v>0</v>
      </c>
      <c r="BU58" s="94">
        <f t="shared" si="159"/>
        <v>0</v>
      </c>
      <c r="BV58" s="94">
        <f t="shared" si="159"/>
        <v>0</v>
      </c>
      <c r="BW58" s="163"/>
      <c r="BX58" s="94">
        <f t="shared" ref="BX58:CB58" si="160">SUM(BX47:BX57)</f>
        <v>0</v>
      </c>
      <c r="BY58" s="94">
        <f t="shared" si="160"/>
        <v>0</v>
      </c>
      <c r="BZ58" s="94">
        <f t="shared" si="160"/>
        <v>0</v>
      </c>
      <c r="CA58" s="94">
        <f t="shared" si="160"/>
        <v>0</v>
      </c>
      <c r="CB58" s="94">
        <f t="shared" si="160"/>
        <v>0</v>
      </c>
      <c r="CC58" s="94">
        <v>0</v>
      </c>
      <c r="CD58" s="94">
        <f t="shared" ref="CD58" si="161">SUM(CD47:CD57)</f>
        <v>0</v>
      </c>
      <c r="CE58" s="94">
        <v>0</v>
      </c>
      <c r="CF58" s="94">
        <f t="shared" ref="CF58" si="162">SUM(CF47:CF57)</f>
        <v>0</v>
      </c>
      <c r="CG58" s="94">
        <f>SUM(CG47:CG57)</f>
        <v>0</v>
      </c>
      <c r="CH58" s="94">
        <v>0</v>
      </c>
      <c r="CI58" s="94">
        <f t="shared" ref="CI58" si="163">SUM(CI47:CI57)</f>
        <v>0</v>
      </c>
      <c r="CJ58" s="94">
        <v>0</v>
      </c>
      <c r="CK58" s="94">
        <f t="shared" ref="CK58:CS58" si="164">SUM(CK47:CK57)</f>
        <v>0</v>
      </c>
      <c r="CL58" s="94">
        <f t="shared" si="164"/>
        <v>0</v>
      </c>
      <c r="CM58" s="94">
        <f t="shared" si="164"/>
        <v>0</v>
      </c>
      <c r="CN58" s="94">
        <f t="shared" si="164"/>
        <v>0</v>
      </c>
      <c r="CO58" s="94">
        <f t="shared" si="164"/>
        <v>0</v>
      </c>
      <c r="CP58" s="94">
        <f t="shared" si="164"/>
        <v>0</v>
      </c>
      <c r="CQ58" s="94">
        <f t="shared" si="164"/>
        <v>0</v>
      </c>
      <c r="CR58" s="94">
        <f t="shared" si="164"/>
        <v>0</v>
      </c>
      <c r="CS58" s="94">
        <f t="shared" si="164"/>
        <v>0</v>
      </c>
      <c r="CT58" s="94">
        <v>0</v>
      </c>
      <c r="CU58" s="94">
        <v>0</v>
      </c>
      <c r="CV58" s="94">
        <v>0</v>
      </c>
      <c r="CW58" s="94">
        <f t="shared" ref="CW58:EU58" si="165">SUM(CW47:CW57)</f>
        <v>0</v>
      </c>
      <c r="CX58" s="94">
        <f t="shared" si="165"/>
        <v>0</v>
      </c>
      <c r="CY58" s="94">
        <f t="shared" si="165"/>
        <v>0</v>
      </c>
      <c r="CZ58" s="94">
        <f t="shared" si="165"/>
        <v>0</v>
      </c>
      <c r="DA58" s="156">
        <f t="shared" si="165"/>
        <v>0</v>
      </c>
      <c r="DB58" s="93">
        <f t="shared" si="165"/>
        <v>0</v>
      </c>
      <c r="DC58" s="94">
        <f t="shared" si="165"/>
        <v>0</v>
      </c>
      <c r="DD58" s="94">
        <f t="shared" si="165"/>
        <v>0</v>
      </c>
      <c r="DE58" s="94">
        <f t="shared" si="165"/>
        <v>0</v>
      </c>
      <c r="DF58" s="94">
        <f t="shared" si="165"/>
        <v>0</v>
      </c>
      <c r="DG58" s="94">
        <f t="shared" si="165"/>
        <v>0</v>
      </c>
      <c r="DH58" s="94">
        <f t="shared" si="165"/>
        <v>0</v>
      </c>
      <c r="DI58" s="94">
        <f t="shared" si="165"/>
        <v>0</v>
      </c>
      <c r="DJ58" s="94">
        <f t="shared" si="165"/>
        <v>0</v>
      </c>
      <c r="DK58" s="94">
        <f t="shared" si="165"/>
        <v>0</v>
      </c>
      <c r="DL58" s="94">
        <f t="shared" si="165"/>
        <v>0</v>
      </c>
      <c r="DM58" s="94">
        <f t="shared" si="165"/>
        <v>0</v>
      </c>
      <c r="DN58" s="94">
        <f t="shared" si="165"/>
        <v>0</v>
      </c>
      <c r="DO58" s="94">
        <f t="shared" si="165"/>
        <v>0</v>
      </c>
      <c r="DP58" s="94">
        <f t="shared" si="165"/>
        <v>0</v>
      </c>
      <c r="DQ58" s="94">
        <f t="shared" si="165"/>
        <v>0</v>
      </c>
      <c r="DR58" s="94">
        <f t="shared" si="165"/>
        <v>0</v>
      </c>
      <c r="DS58" s="94">
        <f t="shared" si="165"/>
        <v>0</v>
      </c>
      <c r="DT58" s="94">
        <f t="shared" si="165"/>
        <v>0</v>
      </c>
      <c r="DU58" s="94">
        <f t="shared" si="165"/>
        <v>0</v>
      </c>
      <c r="DV58" s="94">
        <f t="shared" si="165"/>
        <v>0</v>
      </c>
      <c r="DW58" s="94">
        <f t="shared" si="165"/>
        <v>0</v>
      </c>
      <c r="DX58" s="94">
        <f t="shared" si="165"/>
        <v>0</v>
      </c>
      <c r="DY58" s="94">
        <f t="shared" si="165"/>
        <v>0</v>
      </c>
      <c r="DZ58" s="94">
        <f t="shared" si="165"/>
        <v>0</v>
      </c>
      <c r="EA58" s="94">
        <f t="shared" si="165"/>
        <v>0</v>
      </c>
      <c r="EB58" s="94">
        <f t="shared" si="165"/>
        <v>0</v>
      </c>
      <c r="EC58" s="94">
        <f t="shared" si="165"/>
        <v>0</v>
      </c>
      <c r="ED58" s="94">
        <f t="shared" si="165"/>
        <v>0</v>
      </c>
      <c r="EE58" s="94">
        <f t="shared" si="165"/>
        <v>0</v>
      </c>
      <c r="EF58" s="156">
        <f t="shared" si="165"/>
        <v>0</v>
      </c>
      <c r="EG58" s="74">
        <f t="shared" si="165"/>
        <v>0</v>
      </c>
      <c r="EH58" s="18">
        <f t="shared" si="165"/>
        <v>0</v>
      </c>
      <c r="EI58" s="18">
        <f t="shared" si="165"/>
        <v>0</v>
      </c>
      <c r="EJ58" s="18">
        <f t="shared" si="165"/>
        <v>0</v>
      </c>
      <c r="EK58" s="18">
        <f t="shared" si="165"/>
        <v>0</v>
      </c>
      <c r="EL58" s="18">
        <f t="shared" si="165"/>
        <v>0</v>
      </c>
      <c r="EM58" s="18">
        <f t="shared" si="165"/>
        <v>0</v>
      </c>
      <c r="EN58" s="18">
        <f t="shared" si="165"/>
        <v>0</v>
      </c>
      <c r="EO58" s="18">
        <f t="shared" si="165"/>
        <v>0</v>
      </c>
      <c r="EP58" s="18">
        <f t="shared" si="165"/>
        <v>0</v>
      </c>
      <c r="EQ58" s="18">
        <f t="shared" si="165"/>
        <v>0</v>
      </c>
      <c r="ER58" s="18">
        <f t="shared" si="165"/>
        <v>0</v>
      </c>
      <c r="ES58" s="18">
        <f t="shared" si="165"/>
        <v>0</v>
      </c>
      <c r="ET58" s="18">
        <f t="shared" si="165"/>
        <v>0</v>
      </c>
      <c r="EU58" s="18">
        <f t="shared" si="165"/>
        <v>1</v>
      </c>
      <c r="EV58" s="18">
        <f t="shared" ref="EV58:EW58" si="166">SUM(EV47:EV57)</f>
        <v>0</v>
      </c>
      <c r="EW58" s="18">
        <f t="shared" si="166"/>
        <v>0</v>
      </c>
      <c r="EX58" s="18">
        <f t="shared" ref="EX58:EY58" si="167">SUM(EX47:EX57)</f>
        <v>0</v>
      </c>
      <c r="EY58" s="18">
        <f t="shared" si="167"/>
        <v>0</v>
      </c>
      <c r="EZ58" s="18">
        <f t="shared" ref="EZ58:FA58" si="168">SUM(EZ47:EZ57)</f>
        <v>1</v>
      </c>
      <c r="FA58" s="18">
        <f t="shared" si="168"/>
        <v>0</v>
      </c>
      <c r="FB58" s="18">
        <f t="shared" ref="FB58:FC58" si="169">SUM(FB47:FB57)</f>
        <v>0</v>
      </c>
      <c r="FC58" s="18">
        <f t="shared" si="169"/>
        <v>0</v>
      </c>
      <c r="FD58" s="18">
        <f t="shared" ref="FD58:FG58" si="170">SUM(FD47:FD57)</f>
        <v>0</v>
      </c>
      <c r="FE58" s="18">
        <f t="shared" si="170"/>
        <v>3</v>
      </c>
      <c r="FF58" s="18">
        <f t="shared" si="170"/>
        <v>0</v>
      </c>
      <c r="FG58" s="18">
        <f t="shared" si="170"/>
        <v>3</v>
      </c>
      <c r="FH58" s="18">
        <f t="shared" ref="FH58:FJ58" si="171">SUM(FH47:FH57)</f>
        <v>1</v>
      </c>
      <c r="FI58" s="18">
        <f t="shared" si="171"/>
        <v>2</v>
      </c>
      <c r="FJ58" s="349">
        <f t="shared" si="171"/>
        <v>0</v>
      </c>
      <c r="FK58" s="74">
        <f t="shared" ref="FK58:FL58" si="172">SUM(FK47:FK57)</f>
        <v>0</v>
      </c>
      <c r="FL58" s="18">
        <f t="shared" si="172"/>
        <v>0</v>
      </c>
      <c r="FM58" s="18">
        <f t="shared" ref="FM58:FN58" si="173">SUM(FM47:FM57)</f>
        <v>0</v>
      </c>
      <c r="FN58" s="18">
        <f t="shared" si="173"/>
        <v>0</v>
      </c>
      <c r="FO58" s="18">
        <f t="shared" ref="FO58:FP58" si="174">SUM(FO47:FO57)</f>
        <v>0</v>
      </c>
      <c r="FP58" s="18">
        <f t="shared" si="174"/>
        <v>0</v>
      </c>
      <c r="FQ58" s="18">
        <f t="shared" ref="FQ58:FR58" si="175">SUM(FQ47:FQ57)</f>
        <v>0</v>
      </c>
      <c r="FR58" s="18">
        <f t="shared" si="175"/>
        <v>0</v>
      </c>
      <c r="FS58" s="18">
        <f t="shared" ref="FS58:FU58" si="176">SUM(FS47:FS57)</f>
        <v>0</v>
      </c>
      <c r="FT58" s="18">
        <f t="shared" si="176"/>
        <v>0</v>
      </c>
      <c r="FU58" s="18">
        <f t="shared" si="176"/>
        <v>0</v>
      </c>
      <c r="FV58" s="18">
        <f t="shared" ref="FV58:FW58" si="177">SUM(FV47:FV57)</f>
        <v>0</v>
      </c>
      <c r="FW58" s="18">
        <f t="shared" si="177"/>
        <v>0</v>
      </c>
      <c r="FX58" s="18">
        <f t="shared" ref="FX58:FY58" si="178">SUM(FX47:FX57)</f>
        <v>0</v>
      </c>
      <c r="FY58" s="18">
        <f t="shared" si="178"/>
        <v>0</v>
      </c>
      <c r="FZ58" s="18">
        <f t="shared" ref="FZ58:GA58" si="179">SUM(FZ47:FZ57)</f>
        <v>0</v>
      </c>
      <c r="GA58" s="18">
        <f t="shared" si="179"/>
        <v>0</v>
      </c>
      <c r="GB58" s="18">
        <f t="shared" ref="GB58:GE58" si="180">SUM(GB47:GB57)</f>
        <v>0</v>
      </c>
      <c r="GC58" s="18">
        <f t="shared" si="180"/>
        <v>1</v>
      </c>
      <c r="GD58" s="18">
        <f t="shared" si="180"/>
        <v>2</v>
      </c>
      <c r="GE58" s="18">
        <f t="shared" si="180"/>
        <v>0</v>
      </c>
      <c r="GF58" s="18">
        <f t="shared" ref="GF58:GH58" si="181">SUM(GF47:GF57)</f>
        <v>4</v>
      </c>
      <c r="GG58" s="18">
        <f t="shared" si="181"/>
        <v>1</v>
      </c>
      <c r="GH58" s="18">
        <f t="shared" si="181"/>
        <v>0</v>
      </c>
      <c r="GI58" s="18">
        <f t="shared" ref="GI58:GK58" si="182">SUM(GI47:GI57)</f>
        <v>0</v>
      </c>
      <c r="GJ58" s="18">
        <f t="shared" si="182"/>
        <v>3</v>
      </c>
      <c r="GK58" s="18">
        <f t="shared" si="182"/>
        <v>0</v>
      </c>
      <c r="GL58" s="18">
        <f t="shared" ref="GL58:GM58" si="183">SUM(GL47:GL57)</f>
        <v>0</v>
      </c>
      <c r="GM58" s="18">
        <f t="shared" si="183"/>
        <v>2</v>
      </c>
      <c r="GN58" s="18">
        <f t="shared" ref="GN58:GP58" si="184">SUM(GN47:GN57)</f>
        <v>3</v>
      </c>
      <c r="GO58" s="349">
        <f t="shared" si="184"/>
        <v>0</v>
      </c>
      <c r="GP58" s="74">
        <f t="shared" si="184"/>
        <v>0</v>
      </c>
      <c r="GQ58" s="18">
        <f t="shared" ref="GQ58:GR58" si="185">SUM(GQ47:GQ57)</f>
        <v>0</v>
      </c>
      <c r="GR58" s="18">
        <f t="shared" si="185"/>
        <v>0</v>
      </c>
      <c r="GS58" s="18">
        <f t="shared" ref="GS58:GT58" si="186">SUM(GS47:GS57)</f>
        <v>0</v>
      </c>
      <c r="GT58" s="18">
        <f t="shared" si="186"/>
        <v>0</v>
      </c>
      <c r="GU58" s="18">
        <f t="shared" ref="GU58:GW58" si="187">SUM(GU47:GU57)</f>
        <v>0</v>
      </c>
      <c r="GV58" s="18">
        <f t="shared" si="187"/>
        <v>0</v>
      </c>
      <c r="GW58" s="18">
        <f t="shared" si="187"/>
        <v>3</v>
      </c>
      <c r="GX58" s="18">
        <f t="shared" ref="GX58:GY58" si="188">SUM(GX47:GX57)</f>
        <v>0</v>
      </c>
      <c r="GY58" s="18">
        <f t="shared" si="188"/>
        <v>0</v>
      </c>
      <c r="GZ58" s="18">
        <f t="shared" ref="GZ58:HA58" si="189">SUM(GZ47:GZ57)</f>
        <v>0</v>
      </c>
      <c r="HA58" s="18">
        <f t="shared" si="189"/>
        <v>2</v>
      </c>
      <c r="HB58" s="18">
        <f t="shared" ref="HB58:HD58" si="190">SUM(HB47:HB57)</f>
        <v>0</v>
      </c>
      <c r="HC58" s="18">
        <f t="shared" si="190"/>
        <v>0</v>
      </c>
      <c r="HD58" s="18">
        <f t="shared" si="190"/>
        <v>4</v>
      </c>
      <c r="HE58" s="18">
        <f t="shared" ref="HE58:HF58" si="191">SUM(HE47:HE57)</f>
        <v>0</v>
      </c>
      <c r="HF58" s="18">
        <f t="shared" si="191"/>
        <v>0</v>
      </c>
      <c r="HG58" s="18">
        <f t="shared" ref="HG58:HH58" si="192">SUM(HG47:HG57)</f>
        <v>0</v>
      </c>
      <c r="HH58" s="18">
        <f t="shared" si="192"/>
        <v>0</v>
      </c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75"/>
      <c r="HU58" s="422">
        <f>SUM(HU47:HU57)</f>
        <v>36</v>
      </c>
    </row>
    <row r="59" spans="1:229" ht="15.75" thickBot="1" x14ac:dyDescent="0.3">
      <c r="A59" s="188"/>
      <c r="B59" s="121"/>
      <c r="C59" s="383"/>
      <c r="D59" s="121"/>
      <c r="E59" s="121"/>
      <c r="F59" s="121"/>
      <c r="G59" s="121"/>
      <c r="H59" s="121"/>
      <c r="I59" s="121"/>
      <c r="J59" s="121"/>
      <c r="K59" s="121"/>
      <c r="L59" s="121"/>
      <c r="M59" s="384"/>
      <c r="N59" s="384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88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21"/>
      <c r="GQ59" s="275"/>
      <c r="GR59" s="275"/>
      <c r="GS59" s="275"/>
      <c r="GT59" s="275"/>
      <c r="GU59" s="275"/>
      <c r="GV59" s="275"/>
      <c r="GW59" s="275"/>
      <c r="GX59" s="275"/>
      <c r="GY59" s="275"/>
      <c r="GZ59" s="275"/>
      <c r="HA59" s="275"/>
      <c r="HB59" s="275"/>
      <c r="HC59" s="275"/>
      <c r="HD59" s="275"/>
      <c r="HE59" s="275"/>
      <c r="HF59" s="275"/>
      <c r="HG59" s="275"/>
      <c r="HH59" s="275"/>
      <c r="HI59" s="275"/>
      <c r="HJ59" s="275"/>
      <c r="HK59" s="275"/>
      <c r="HL59" s="275"/>
      <c r="HM59" s="275"/>
      <c r="HN59" s="275"/>
      <c r="HO59" s="275"/>
      <c r="HP59" s="275"/>
      <c r="HQ59" s="275"/>
      <c r="HR59" s="275"/>
      <c r="HS59" s="275"/>
      <c r="HT59" s="357"/>
      <c r="HU59" s="412"/>
    </row>
    <row r="60" spans="1:229" x14ac:dyDescent="0.25">
      <c r="A60" s="32">
        <v>1</v>
      </c>
      <c r="B60" s="481" t="s">
        <v>139</v>
      </c>
      <c r="C60" s="25" t="s">
        <v>1</v>
      </c>
      <c r="D60" s="32" t="s">
        <v>17</v>
      </c>
      <c r="E60" s="71"/>
      <c r="F60" s="33"/>
      <c r="G60" s="33"/>
      <c r="H60" s="33"/>
      <c r="I60" s="33"/>
      <c r="J60" s="33"/>
      <c r="K60" s="33"/>
      <c r="L60" s="380"/>
      <c r="M60" s="381">
        <f t="shared" ref="M60:M70" si="193">SUM(E60:L60)</f>
        <v>0</v>
      </c>
      <c r="N60" s="382"/>
      <c r="O60" s="71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157"/>
      <c r="AQ60" s="165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165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267"/>
      <c r="CZ60" s="37"/>
      <c r="DA60" s="268"/>
      <c r="DB60" s="279"/>
      <c r="DC60" s="267"/>
      <c r="DD60" s="37"/>
      <c r="DE60" s="267"/>
      <c r="DF60" s="267"/>
      <c r="DG60" s="267"/>
      <c r="DH60" s="267"/>
      <c r="DI60" s="267"/>
      <c r="DJ60" s="267"/>
      <c r="DK60" s="267"/>
      <c r="DL60" s="267"/>
      <c r="DM60" s="267"/>
      <c r="DN60" s="267"/>
      <c r="DO60" s="267"/>
      <c r="DP60" s="267"/>
      <c r="DQ60" s="267"/>
      <c r="DR60" s="267"/>
      <c r="DS60" s="267"/>
      <c r="DT60" s="267"/>
      <c r="DU60" s="267"/>
      <c r="DV60" s="267"/>
      <c r="DW60" s="267"/>
      <c r="DX60" s="267"/>
      <c r="DY60" s="267"/>
      <c r="DZ60" s="267"/>
      <c r="EA60" s="267"/>
      <c r="EB60" s="267"/>
      <c r="EC60" s="267"/>
      <c r="ED60" s="267"/>
      <c r="EE60" s="267"/>
      <c r="EF60" s="268"/>
      <c r="EG60" s="279"/>
      <c r="EH60" s="267"/>
      <c r="EI60" s="267"/>
      <c r="EJ60" s="267"/>
      <c r="EK60" s="267"/>
      <c r="EL60" s="267"/>
      <c r="EM60" s="267"/>
      <c r="EN60" s="267"/>
      <c r="EO60" s="267"/>
      <c r="EP60" s="267"/>
      <c r="EQ60" s="267"/>
      <c r="ER60" s="267"/>
      <c r="ES60" s="267"/>
      <c r="ET60" s="267"/>
      <c r="EU60" s="267"/>
      <c r="EV60" s="267"/>
      <c r="EW60" s="267"/>
      <c r="EX60" s="267"/>
      <c r="EY60" s="267"/>
      <c r="EZ60" s="267"/>
      <c r="FA60" s="267"/>
      <c r="FB60" s="267"/>
      <c r="FC60" s="267"/>
      <c r="FD60" s="267"/>
      <c r="FE60" s="267"/>
      <c r="FF60" s="267"/>
      <c r="FG60" s="267"/>
      <c r="FH60" s="267"/>
      <c r="FI60" s="267"/>
      <c r="FJ60" s="268"/>
      <c r="FK60" s="279"/>
      <c r="FL60" s="267"/>
      <c r="FM60" s="267"/>
      <c r="FN60" s="267"/>
      <c r="FO60" s="267"/>
      <c r="FP60" s="267"/>
      <c r="FQ60" s="267"/>
      <c r="FR60" s="267"/>
      <c r="FS60" s="267"/>
      <c r="FT60" s="267"/>
      <c r="FU60" s="267"/>
      <c r="FV60" s="267"/>
      <c r="FW60" s="267"/>
      <c r="FX60" s="267"/>
      <c r="FY60" s="267"/>
      <c r="FZ60" s="267"/>
      <c r="GA60" s="267"/>
      <c r="GB60" s="267"/>
      <c r="GC60" s="267"/>
      <c r="GD60" s="267"/>
      <c r="GE60" s="267"/>
      <c r="GF60" s="267"/>
      <c r="GG60" s="267"/>
      <c r="GH60" s="267"/>
      <c r="GI60" s="267"/>
      <c r="GJ60" s="267"/>
      <c r="GK60" s="267"/>
      <c r="GL60" s="267"/>
      <c r="GM60" s="267"/>
      <c r="GN60" s="267"/>
      <c r="GO60" s="268"/>
      <c r="GP60" s="279"/>
      <c r="GQ60" s="267"/>
      <c r="GR60" s="267"/>
      <c r="GS60" s="267"/>
      <c r="GT60" s="267"/>
      <c r="GU60" s="267"/>
      <c r="GV60" s="267"/>
      <c r="GW60" s="267"/>
      <c r="GX60" s="267"/>
      <c r="GY60" s="267"/>
      <c r="GZ60" s="267"/>
      <c r="HA60" s="267">
        <v>0</v>
      </c>
      <c r="HB60" s="267">
        <v>0</v>
      </c>
      <c r="HC60" s="267">
        <v>0</v>
      </c>
      <c r="HD60" s="267">
        <v>0</v>
      </c>
      <c r="HE60" s="267">
        <v>0</v>
      </c>
      <c r="HF60" s="267">
        <v>0</v>
      </c>
      <c r="HG60" s="267">
        <v>0</v>
      </c>
      <c r="HH60" s="267">
        <v>0</v>
      </c>
      <c r="HI60" s="267"/>
      <c r="HJ60" s="267"/>
      <c r="HK60" s="267"/>
      <c r="HL60" s="267"/>
      <c r="HM60" s="267"/>
      <c r="HN60" s="267"/>
      <c r="HO60" s="267"/>
      <c r="HP60" s="267"/>
      <c r="HQ60" s="267"/>
      <c r="HR60" s="267"/>
      <c r="HS60" s="267"/>
      <c r="HT60" s="367"/>
      <c r="HU60" s="55">
        <f>SUM(O60:HT60)</f>
        <v>0</v>
      </c>
    </row>
    <row r="61" spans="1:229" x14ac:dyDescent="0.25">
      <c r="A61" s="2">
        <v>2</v>
      </c>
      <c r="B61" s="474"/>
      <c r="C61" s="23" t="s">
        <v>2</v>
      </c>
      <c r="D61" s="2" t="s">
        <v>17</v>
      </c>
      <c r="E61" s="73"/>
      <c r="F61" s="31"/>
      <c r="G61" s="31"/>
      <c r="H61" s="31"/>
      <c r="I61" s="31"/>
      <c r="J61" s="31"/>
      <c r="K61" s="31"/>
      <c r="L61" s="72"/>
      <c r="M61" s="106">
        <f t="shared" si="193"/>
        <v>0</v>
      </c>
      <c r="N61" s="129"/>
      <c r="O61" s="7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01"/>
      <c r="AQ61" s="162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62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265"/>
      <c r="CZ61" s="13"/>
      <c r="DA61" s="269"/>
      <c r="DB61" s="278"/>
      <c r="DC61" s="265"/>
      <c r="DD61" s="13"/>
      <c r="DE61" s="265"/>
      <c r="DF61" s="265"/>
      <c r="DG61" s="265"/>
      <c r="DH61" s="265"/>
      <c r="DI61" s="265"/>
      <c r="DJ61" s="265"/>
      <c r="DK61" s="265"/>
      <c r="DL61" s="265"/>
      <c r="DM61" s="265"/>
      <c r="DN61" s="265"/>
      <c r="DO61" s="265"/>
      <c r="DP61" s="265"/>
      <c r="DQ61" s="265"/>
      <c r="DR61" s="265"/>
      <c r="DS61" s="265"/>
      <c r="DT61" s="265"/>
      <c r="DU61" s="265"/>
      <c r="DV61" s="265"/>
      <c r="DW61" s="265"/>
      <c r="DX61" s="265"/>
      <c r="DY61" s="265"/>
      <c r="DZ61" s="265"/>
      <c r="EA61" s="265"/>
      <c r="EB61" s="265"/>
      <c r="EC61" s="265"/>
      <c r="ED61" s="265"/>
      <c r="EE61" s="265"/>
      <c r="EF61" s="269"/>
      <c r="EG61" s="278"/>
      <c r="EH61" s="265"/>
      <c r="EI61" s="265"/>
      <c r="EJ61" s="265"/>
      <c r="EK61" s="265"/>
      <c r="EL61" s="265"/>
      <c r="EM61" s="265"/>
      <c r="EN61" s="265"/>
      <c r="EO61" s="265"/>
      <c r="EP61" s="265"/>
      <c r="EQ61" s="265"/>
      <c r="ER61" s="265"/>
      <c r="ES61" s="265"/>
      <c r="ET61" s="265"/>
      <c r="EU61" s="265"/>
      <c r="EV61" s="265"/>
      <c r="EW61" s="265"/>
      <c r="EX61" s="265"/>
      <c r="EY61" s="265"/>
      <c r="EZ61" s="265"/>
      <c r="FA61" s="265"/>
      <c r="FB61" s="265"/>
      <c r="FC61" s="265"/>
      <c r="FD61" s="265"/>
      <c r="FE61" s="265"/>
      <c r="FF61" s="265"/>
      <c r="FG61" s="265"/>
      <c r="FH61" s="265"/>
      <c r="FI61" s="265"/>
      <c r="FJ61" s="269"/>
      <c r="FK61" s="278"/>
      <c r="FL61" s="265"/>
      <c r="FM61" s="265"/>
      <c r="FN61" s="265"/>
      <c r="FO61" s="265"/>
      <c r="FP61" s="265"/>
      <c r="FQ61" s="265"/>
      <c r="FR61" s="265"/>
      <c r="FS61" s="265"/>
      <c r="FT61" s="265"/>
      <c r="FU61" s="265"/>
      <c r="FV61" s="265"/>
      <c r="FW61" s="265"/>
      <c r="FX61" s="265"/>
      <c r="FY61" s="265"/>
      <c r="FZ61" s="265"/>
      <c r="GA61" s="265"/>
      <c r="GB61" s="265"/>
      <c r="GC61" s="265"/>
      <c r="GD61" s="265"/>
      <c r="GE61" s="265"/>
      <c r="GF61" s="265"/>
      <c r="GG61" s="265"/>
      <c r="GH61" s="265"/>
      <c r="GI61" s="265"/>
      <c r="GJ61" s="265"/>
      <c r="GK61" s="265"/>
      <c r="GL61" s="265"/>
      <c r="GM61" s="265"/>
      <c r="GN61" s="265"/>
      <c r="GO61" s="269"/>
      <c r="GP61" s="278"/>
      <c r="GQ61" s="265"/>
      <c r="GR61" s="265"/>
      <c r="GS61" s="265"/>
      <c r="GT61" s="265"/>
      <c r="GU61" s="265"/>
      <c r="GV61" s="265"/>
      <c r="GW61" s="265"/>
      <c r="GX61" s="265"/>
      <c r="GY61" s="265"/>
      <c r="GZ61" s="265"/>
      <c r="HA61" s="265">
        <v>1</v>
      </c>
      <c r="HB61" s="265">
        <v>0</v>
      </c>
      <c r="HC61" s="265">
        <v>0</v>
      </c>
      <c r="HD61" s="265">
        <v>0</v>
      </c>
      <c r="HE61" s="265">
        <v>0</v>
      </c>
      <c r="HF61" s="265">
        <v>0</v>
      </c>
      <c r="HG61" s="265">
        <v>0</v>
      </c>
      <c r="HH61" s="265">
        <v>0</v>
      </c>
      <c r="HI61" s="265"/>
      <c r="HJ61" s="265"/>
      <c r="HK61" s="265"/>
      <c r="HL61" s="265"/>
      <c r="HM61" s="265"/>
      <c r="HN61" s="265"/>
      <c r="HO61" s="265"/>
      <c r="HP61" s="265"/>
      <c r="HQ61" s="265"/>
      <c r="HR61" s="265"/>
      <c r="HS61" s="265"/>
      <c r="HT61" s="368"/>
      <c r="HU61" s="55">
        <f t="shared" ref="HU61:HU70" si="194">SUM(O61:HT61)</f>
        <v>1</v>
      </c>
    </row>
    <row r="62" spans="1:229" x14ac:dyDescent="0.25">
      <c r="A62" s="2">
        <v>3</v>
      </c>
      <c r="B62" s="474"/>
      <c r="C62" s="23" t="s">
        <v>3</v>
      </c>
      <c r="D62" s="2" t="s">
        <v>17</v>
      </c>
      <c r="E62" s="73"/>
      <c r="F62" s="31"/>
      <c r="G62" s="31"/>
      <c r="H62" s="31"/>
      <c r="I62" s="31"/>
      <c r="J62" s="31"/>
      <c r="K62" s="31"/>
      <c r="L62" s="72"/>
      <c r="M62" s="106">
        <f t="shared" si="193"/>
        <v>0</v>
      </c>
      <c r="N62" s="129"/>
      <c r="O62" s="7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01"/>
      <c r="AQ62" s="162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62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265"/>
      <c r="CZ62" s="13"/>
      <c r="DA62" s="269"/>
      <c r="DB62" s="278"/>
      <c r="DC62" s="265"/>
      <c r="DD62" s="13"/>
      <c r="DE62" s="265"/>
      <c r="DF62" s="265"/>
      <c r="DG62" s="265"/>
      <c r="DH62" s="265"/>
      <c r="DI62" s="265"/>
      <c r="DJ62" s="265"/>
      <c r="DK62" s="265"/>
      <c r="DL62" s="265"/>
      <c r="DM62" s="265"/>
      <c r="DN62" s="265"/>
      <c r="DO62" s="265"/>
      <c r="DP62" s="265"/>
      <c r="DQ62" s="265"/>
      <c r="DR62" s="265"/>
      <c r="DS62" s="265"/>
      <c r="DT62" s="265"/>
      <c r="DU62" s="265"/>
      <c r="DV62" s="265"/>
      <c r="DW62" s="265"/>
      <c r="DX62" s="265"/>
      <c r="DY62" s="265"/>
      <c r="DZ62" s="265"/>
      <c r="EA62" s="265"/>
      <c r="EB62" s="265"/>
      <c r="EC62" s="265"/>
      <c r="ED62" s="265"/>
      <c r="EE62" s="265"/>
      <c r="EF62" s="269"/>
      <c r="EG62" s="278"/>
      <c r="EH62" s="265"/>
      <c r="EI62" s="265"/>
      <c r="EJ62" s="265"/>
      <c r="EK62" s="265"/>
      <c r="EL62" s="265"/>
      <c r="EM62" s="265"/>
      <c r="EN62" s="265"/>
      <c r="EO62" s="265"/>
      <c r="EP62" s="265"/>
      <c r="EQ62" s="265"/>
      <c r="ER62" s="265"/>
      <c r="ES62" s="265"/>
      <c r="ET62" s="265"/>
      <c r="EU62" s="265"/>
      <c r="EV62" s="265"/>
      <c r="EW62" s="265"/>
      <c r="EX62" s="265"/>
      <c r="EY62" s="265"/>
      <c r="EZ62" s="265"/>
      <c r="FA62" s="265"/>
      <c r="FB62" s="265"/>
      <c r="FC62" s="265"/>
      <c r="FD62" s="265"/>
      <c r="FE62" s="265"/>
      <c r="FF62" s="265"/>
      <c r="FG62" s="265"/>
      <c r="FH62" s="265"/>
      <c r="FI62" s="265"/>
      <c r="FJ62" s="269"/>
      <c r="FK62" s="278"/>
      <c r="FL62" s="265"/>
      <c r="FM62" s="265"/>
      <c r="FN62" s="265"/>
      <c r="FO62" s="265"/>
      <c r="FP62" s="265"/>
      <c r="FQ62" s="265"/>
      <c r="FR62" s="265"/>
      <c r="FS62" s="265"/>
      <c r="FT62" s="265"/>
      <c r="FU62" s="265"/>
      <c r="FV62" s="265"/>
      <c r="FW62" s="265"/>
      <c r="FX62" s="265"/>
      <c r="FY62" s="265"/>
      <c r="FZ62" s="265"/>
      <c r="GA62" s="265"/>
      <c r="GB62" s="265"/>
      <c r="GC62" s="265"/>
      <c r="GD62" s="265"/>
      <c r="GE62" s="265"/>
      <c r="GF62" s="265"/>
      <c r="GG62" s="265"/>
      <c r="GH62" s="265"/>
      <c r="GI62" s="265"/>
      <c r="GJ62" s="265"/>
      <c r="GK62" s="265"/>
      <c r="GL62" s="265"/>
      <c r="GM62" s="265"/>
      <c r="GN62" s="265"/>
      <c r="GO62" s="269"/>
      <c r="GP62" s="278"/>
      <c r="GQ62" s="265"/>
      <c r="GR62" s="265"/>
      <c r="GS62" s="265"/>
      <c r="GT62" s="265"/>
      <c r="GU62" s="265"/>
      <c r="GV62" s="265"/>
      <c r="GW62" s="265"/>
      <c r="GX62" s="265"/>
      <c r="GY62" s="265"/>
      <c r="GZ62" s="265"/>
      <c r="HA62" s="265">
        <v>0</v>
      </c>
      <c r="HB62" s="265">
        <v>0</v>
      </c>
      <c r="HC62" s="265">
        <v>0</v>
      </c>
      <c r="HD62" s="265">
        <v>0</v>
      </c>
      <c r="HE62" s="265">
        <v>0</v>
      </c>
      <c r="HF62" s="265">
        <v>0</v>
      </c>
      <c r="HG62" s="265">
        <v>0</v>
      </c>
      <c r="HH62" s="265">
        <v>0</v>
      </c>
      <c r="HI62" s="265"/>
      <c r="HJ62" s="265"/>
      <c r="HK62" s="265"/>
      <c r="HL62" s="265"/>
      <c r="HM62" s="265"/>
      <c r="HN62" s="265"/>
      <c r="HO62" s="265"/>
      <c r="HP62" s="265"/>
      <c r="HQ62" s="265"/>
      <c r="HR62" s="265"/>
      <c r="HS62" s="265"/>
      <c r="HT62" s="368"/>
      <c r="HU62" s="55">
        <f t="shared" si="194"/>
        <v>0</v>
      </c>
    </row>
    <row r="63" spans="1:229" x14ac:dyDescent="0.25">
      <c r="A63" s="2">
        <v>4</v>
      </c>
      <c r="B63" s="474"/>
      <c r="C63" s="23" t="s">
        <v>4</v>
      </c>
      <c r="D63" s="2" t="s">
        <v>17</v>
      </c>
      <c r="E63" s="73"/>
      <c r="F63" s="31"/>
      <c r="G63" s="31"/>
      <c r="H63" s="31"/>
      <c r="I63" s="31"/>
      <c r="J63" s="31"/>
      <c r="K63" s="31"/>
      <c r="L63" s="72"/>
      <c r="M63" s="106">
        <f t="shared" si="193"/>
        <v>0</v>
      </c>
      <c r="N63" s="129"/>
      <c r="O63" s="7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01"/>
      <c r="AQ63" s="162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62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265"/>
      <c r="CZ63" s="13"/>
      <c r="DA63" s="269"/>
      <c r="DB63" s="278"/>
      <c r="DC63" s="265"/>
      <c r="DD63" s="13"/>
      <c r="DE63" s="265"/>
      <c r="DF63" s="265"/>
      <c r="DG63" s="265"/>
      <c r="DH63" s="265"/>
      <c r="DI63" s="265"/>
      <c r="DJ63" s="265"/>
      <c r="DK63" s="265"/>
      <c r="DL63" s="265"/>
      <c r="DM63" s="265"/>
      <c r="DN63" s="265"/>
      <c r="DO63" s="265"/>
      <c r="DP63" s="265"/>
      <c r="DQ63" s="265"/>
      <c r="DR63" s="265"/>
      <c r="DS63" s="265"/>
      <c r="DT63" s="265"/>
      <c r="DU63" s="265"/>
      <c r="DV63" s="265"/>
      <c r="DW63" s="265"/>
      <c r="DX63" s="265"/>
      <c r="DY63" s="265"/>
      <c r="DZ63" s="265"/>
      <c r="EA63" s="265"/>
      <c r="EB63" s="265"/>
      <c r="EC63" s="265"/>
      <c r="ED63" s="265"/>
      <c r="EE63" s="265"/>
      <c r="EF63" s="269"/>
      <c r="EG63" s="278"/>
      <c r="EH63" s="265"/>
      <c r="EI63" s="265"/>
      <c r="EJ63" s="265"/>
      <c r="EK63" s="265"/>
      <c r="EL63" s="265"/>
      <c r="EM63" s="265"/>
      <c r="EN63" s="265"/>
      <c r="EO63" s="265"/>
      <c r="EP63" s="265"/>
      <c r="EQ63" s="265"/>
      <c r="ER63" s="265"/>
      <c r="ES63" s="265"/>
      <c r="ET63" s="265"/>
      <c r="EU63" s="265"/>
      <c r="EV63" s="265"/>
      <c r="EW63" s="265"/>
      <c r="EX63" s="265"/>
      <c r="EY63" s="265"/>
      <c r="EZ63" s="265"/>
      <c r="FA63" s="265"/>
      <c r="FB63" s="265"/>
      <c r="FC63" s="265"/>
      <c r="FD63" s="265"/>
      <c r="FE63" s="265"/>
      <c r="FF63" s="265"/>
      <c r="FG63" s="265"/>
      <c r="FH63" s="265"/>
      <c r="FI63" s="265"/>
      <c r="FJ63" s="269"/>
      <c r="FK63" s="278"/>
      <c r="FL63" s="265"/>
      <c r="FM63" s="265"/>
      <c r="FN63" s="265"/>
      <c r="FO63" s="265"/>
      <c r="FP63" s="265"/>
      <c r="FQ63" s="265"/>
      <c r="FR63" s="265"/>
      <c r="FS63" s="265"/>
      <c r="FT63" s="265"/>
      <c r="FU63" s="265"/>
      <c r="FV63" s="265"/>
      <c r="FW63" s="265"/>
      <c r="FX63" s="265"/>
      <c r="FY63" s="265"/>
      <c r="FZ63" s="265"/>
      <c r="GA63" s="265"/>
      <c r="GB63" s="265"/>
      <c r="GC63" s="265"/>
      <c r="GD63" s="265"/>
      <c r="GE63" s="265"/>
      <c r="GF63" s="265"/>
      <c r="GG63" s="265"/>
      <c r="GH63" s="265"/>
      <c r="GI63" s="265"/>
      <c r="GJ63" s="265"/>
      <c r="GK63" s="265"/>
      <c r="GL63" s="265"/>
      <c r="GM63" s="265"/>
      <c r="GN63" s="265"/>
      <c r="GO63" s="269"/>
      <c r="GP63" s="278"/>
      <c r="GQ63" s="265"/>
      <c r="GR63" s="265"/>
      <c r="GS63" s="265"/>
      <c r="GT63" s="265"/>
      <c r="GU63" s="265"/>
      <c r="GV63" s="265"/>
      <c r="GW63" s="265"/>
      <c r="GX63" s="265"/>
      <c r="GY63" s="265"/>
      <c r="GZ63" s="265"/>
      <c r="HA63" s="265">
        <v>0</v>
      </c>
      <c r="HB63" s="265">
        <v>0</v>
      </c>
      <c r="HC63" s="265">
        <v>0</v>
      </c>
      <c r="HD63" s="265">
        <v>0</v>
      </c>
      <c r="HE63" s="265">
        <v>0</v>
      </c>
      <c r="HF63" s="265">
        <v>0</v>
      </c>
      <c r="HG63" s="265">
        <v>0</v>
      </c>
      <c r="HH63" s="265">
        <v>0</v>
      </c>
      <c r="HI63" s="265"/>
      <c r="HJ63" s="265"/>
      <c r="HK63" s="265"/>
      <c r="HL63" s="265"/>
      <c r="HM63" s="265"/>
      <c r="HN63" s="265"/>
      <c r="HO63" s="265"/>
      <c r="HP63" s="265"/>
      <c r="HQ63" s="265"/>
      <c r="HR63" s="265"/>
      <c r="HS63" s="265"/>
      <c r="HT63" s="368"/>
      <c r="HU63" s="55">
        <f t="shared" si="194"/>
        <v>0</v>
      </c>
    </row>
    <row r="64" spans="1:229" x14ac:dyDescent="0.25">
      <c r="A64" s="2">
        <v>5</v>
      </c>
      <c r="B64" s="474"/>
      <c r="C64" s="23" t="s">
        <v>5</v>
      </c>
      <c r="D64" s="2" t="s">
        <v>17</v>
      </c>
      <c r="E64" s="73"/>
      <c r="F64" s="31"/>
      <c r="G64" s="31"/>
      <c r="H64" s="31"/>
      <c r="I64" s="31"/>
      <c r="J64" s="31"/>
      <c r="K64" s="31"/>
      <c r="L64" s="72"/>
      <c r="M64" s="106">
        <f t="shared" si="193"/>
        <v>0</v>
      </c>
      <c r="N64" s="129"/>
      <c r="O64" s="7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01"/>
      <c r="AQ64" s="162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62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265"/>
      <c r="CZ64" s="13"/>
      <c r="DA64" s="269"/>
      <c r="DB64" s="278"/>
      <c r="DC64" s="265"/>
      <c r="DD64" s="13"/>
      <c r="DE64" s="265"/>
      <c r="DF64" s="265"/>
      <c r="DG64" s="265"/>
      <c r="DH64" s="265"/>
      <c r="DI64" s="265"/>
      <c r="DJ64" s="265"/>
      <c r="DK64" s="265"/>
      <c r="DL64" s="265"/>
      <c r="DM64" s="265"/>
      <c r="DN64" s="265"/>
      <c r="DO64" s="265"/>
      <c r="DP64" s="265"/>
      <c r="DQ64" s="265"/>
      <c r="DR64" s="265"/>
      <c r="DS64" s="265"/>
      <c r="DT64" s="265"/>
      <c r="DU64" s="265"/>
      <c r="DV64" s="265"/>
      <c r="DW64" s="265"/>
      <c r="DX64" s="265"/>
      <c r="DY64" s="265"/>
      <c r="DZ64" s="265"/>
      <c r="EA64" s="265"/>
      <c r="EB64" s="265"/>
      <c r="EC64" s="265"/>
      <c r="ED64" s="265"/>
      <c r="EE64" s="265"/>
      <c r="EF64" s="269"/>
      <c r="EG64" s="278"/>
      <c r="EH64" s="265"/>
      <c r="EI64" s="265"/>
      <c r="EJ64" s="265"/>
      <c r="EK64" s="265"/>
      <c r="EL64" s="265"/>
      <c r="EM64" s="265"/>
      <c r="EN64" s="265"/>
      <c r="EO64" s="265"/>
      <c r="EP64" s="265"/>
      <c r="EQ64" s="265"/>
      <c r="ER64" s="265"/>
      <c r="ES64" s="265"/>
      <c r="ET64" s="265"/>
      <c r="EU64" s="265"/>
      <c r="EV64" s="265"/>
      <c r="EW64" s="265"/>
      <c r="EX64" s="265"/>
      <c r="EY64" s="265"/>
      <c r="EZ64" s="265"/>
      <c r="FA64" s="265"/>
      <c r="FB64" s="265"/>
      <c r="FC64" s="265"/>
      <c r="FD64" s="265"/>
      <c r="FE64" s="265"/>
      <c r="FF64" s="265"/>
      <c r="FG64" s="265"/>
      <c r="FH64" s="265"/>
      <c r="FI64" s="265"/>
      <c r="FJ64" s="269"/>
      <c r="FK64" s="278"/>
      <c r="FL64" s="265"/>
      <c r="FM64" s="265"/>
      <c r="FN64" s="265"/>
      <c r="FO64" s="265"/>
      <c r="FP64" s="265"/>
      <c r="FQ64" s="265"/>
      <c r="FR64" s="265"/>
      <c r="FS64" s="265"/>
      <c r="FT64" s="265"/>
      <c r="FU64" s="265"/>
      <c r="FV64" s="265"/>
      <c r="FW64" s="265"/>
      <c r="FX64" s="265"/>
      <c r="FY64" s="265"/>
      <c r="FZ64" s="265"/>
      <c r="GA64" s="265"/>
      <c r="GB64" s="265"/>
      <c r="GC64" s="265"/>
      <c r="GD64" s="265"/>
      <c r="GE64" s="265"/>
      <c r="GF64" s="265"/>
      <c r="GG64" s="265"/>
      <c r="GH64" s="265"/>
      <c r="GI64" s="265"/>
      <c r="GJ64" s="265"/>
      <c r="GK64" s="265"/>
      <c r="GL64" s="265"/>
      <c r="GM64" s="265"/>
      <c r="GN64" s="265"/>
      <c r="GO64" s="269"/>
      <c r="GP64" s="278"/>
      <c r="GQ64" s="265"/>
      <c r="GR64" s="265"/>
      <c r="GS64" s="265"/>
      <c r="GT64" s="265"/>
      <c r="GU64" s="265"/>
      <c r="GV64" s="265"/>
      <c r="GW64" s="265"/>
      <c r="GX64" s="265"/>
      <c r="GY64" s="265"/>
      <c r="GZ64" s="265"/>
      <c r="HA64" s="265">
        <v>0</v>
      </c>
      <c r="HB64" s="265">
        <v>0</v>
      </c>
      <c r="HC64" s="265">
        <v>0</v>
      </c>
      <c r="HD64" s="265">
        <v>0</v>
      </c>
      <c r="HE64" s="265">
        <v>0</v>
      </c>
      <c r="HF64" s="265">
        <v>0</v>
      </c>
      <c r="HG64" s="265">
        <v>0</v>
      </c>
      <c r="HH64" s="265">
        <v>0</v>
      </c>
      <c r="HI64" s="265"/>
      <c r="HJ64" s="265"/>
      <c r="HK64" s="265"/>
      <c r="HL64" s="265"/>
      <c r="HM64" s="265"/>
      <c r="HN64" s="265"/>
      <c r="HO64" s="265"/>
      <c r="HP64" s="265"/>
      <c r="HQ64" s="265"/>
      <c r="HR64" s="265"/>
      <c r="HS64" s="265"/>
      <c r="HT64" s="368"/>
      <c r="HU64" s="55">
        <f t="shared" si="194"/>
        <v>0</v>
      </c>
    </row>
    <row r="65" spans="1:229" x14ac:dyDescent="0.25">
      <c r="A65" s="2">
        <v>6</v>
      </c>
      <c r="B65" s="474"/>
      <c r="C65" s="23" t="s">
        <v>6</v>
      </c>
      <c r="D65" s="2" t="s">
        <v>17</v>
      </c>
      <c r="E65" s="73"/>
      <c r="F65" s="31"/>
      <c r="G65" s="31"/>
      <c r="H65" s="31"/>
      <c r="I65" s="31"/>
      <c r="J65" s="31"/>
      <c r="K65" s="31"/>
      <c r="L65" s="72"/>
      <c r="M65" s="106">
        <f t="shared" si="193"/>
        <v>0</v>
      </c>
      <c r="N65" s="129"/>
      <c r="O65" s="7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01"/>
      <c r="AQ65" s="162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62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265"/>
      <c r="CZ65" s="13"/>
      <c r="DA65" s="269"/>
      <c r="DB65" s="278"/>
      <c r="DC65" s="265"/>
      <c r="DD65" s="13"/>
      <c r="DE65" s="265"/>
      <c r="DF65" s="265"/>
      <c r="DG65" s="265"/>
      <c r="DH65" s="265"/>
      <c r="DI65" s="265"/>
      <c r="DJ65" s="265"/>
      <c r="DK65" s="265"/>
      <c r="DL65" s="265"/>
      <c r="DM65" s="265"/>
      <c r="DN65" s="265"/>
      <c r="DO65" s="265"/>
      <c r="DP65" s="265"/>
      <c r="DQ65" s="265"/>
      <c r="DR65" s="265"/>
      <c r="DS65" s="265"/>
      <c r="DT65" s="265"/>
      <c r="DU65" s="265"/>
      <c r="DV65" s="265"/>
      <c r="DW65" s="265"/>
      <c r="DX65" s="265"/>
      <c r="DY65" s="265"/>
      <c r="DZ65" s="265"/>
      <c r="EA65" s="265"/>
      <c r="EB65" s="265"/>
      <c r="EC65" s="265"/>
      <c r="ED65" s="265"/>
      <c r="EE65" s="265"/>
      <c r="EF65" s="269"/>
      <c r="EG65" s="278"/>
      <c r="EH65" s="265"/>
      <c r="EI65" s="265"/>
      <c r="EJ65" s="265"/>
      <c r="EK65" s="265"/>
      <c r="EL65" s="265"/>
      <c r="EM65" s="265"/>
      <c r="EN65" s="265"/>
      <c r="EO65" s="265"/>
      <c r="EP65" s="265"/>
      <c r="EQ65" s="265"/>
      <c r="ER65" s="265"/>
      <c r="ES65" s="265"/>
      <c r="ET65" s="265"/>
      <c r="EU65" s="265"/>
      <c r="EV65" s="265"/>
      <c r="EW65" s="265"/>
      <c r="EX65" s="265"/>
      <c r="EY65" s="265"/>
      <c r="EZ65" s="265"/>
      <c r="FA65" s="265"/>
      <c r="FB65" s="265"/>
      <c r="FC65" s="265"/>
      <c r="FD65" s="265"/>
      <c r="FE65" s="265"/>
      <c r="FF65" s="265"/>
      <c r="FG65" s="265"/>
      <c r="FH65" s="265"/>
      <c r="FI65" s="265"/>
      <c r="FJ65" s="269"/>
      <c r="FK65" s="278"/>
      <c r="FL65" s="265"/>
      <c r="FM65" s="265"/>
      <c r="FN65" s="265"/>
      <c r="FO65" s="265"/>
      <c r="FP65" s="265"/>
      <c r="FQ65" s="265"/>
      <c r="FR65" s="265"/>
      <c r="FS65" s="265"/>
      <c r="FT65" s="265"/>
      <c r="FU65" s="265"/>
      <c r="FV65" s="265"/>
      <c r="FW65" s="265"/>
      <c r="FX65" s="265"/>
      <c r="FY65" s="265"/>
      <c r="FZ65" s="265"/>
      <c r="GA65" s="265"/>
      <c r="GB65" s="265"/>
      <c r="GC65" s="265"/>
      <c r="GD65" s="265"/>
      <c r="GE65" s="265"/>
      <c r="GF65" s="265"/>
      <c r="GG65" s="265"/>
      <c r="GH65" s="265"/>
      <c r="GI65" s="265"/>
      <c r="GJ65" s="265"/>
      <c r="GK65" s="265"/>
      <c r="GL65" s="265"/>
      <c r="GM65" s="265"/>
      <c r="GN65" s="265"/>
      <c r="GO65" s="269"/>
      <c r="GP65" s="278"/>
      <c r="GQ65" s="265"/>
      <c r="GR65" s="265"/>
      <c r="GS65" s="265"/>
      <c r="GT65" s="265"/>
      <c r="GU65" s="265"/>
      <c r="GV65" s="265"/>
      <c r="GW65" s="265"/>
      <c r="GX65" s="265"/>
      <c r="GY65" s="265"/>
      <c r="GZ65" s="265"/>
      <c r="HA65" s="265">
        <v>0</v>
      </c>
      <c r="HB65" s="265">
        <v>0</v>
      </c>
      <c r="HC65" s="265">
        <v>0</v>
      </c>
      <c r="HD65" s="265">
        <v>0</v>
      </c>
      <c r="HE65" s="265">
        <v>0</v>
      </c>
      <c r="HF65" s="265">
        <v>0</v>
      </c>
      <c r="HG65" s="265">
        <v>0</v>
      </c>
      <c r="HH65" s="265">
        <v>0</v>
      </c>
      <c r="HI65" s="265"/>
      <c r="HJ65" s="265"/>
      <c r="HK65" s="265"/>
      <c r="HL65" s="265"/>
      <c r="HM65" s="265"/>
      <c r="HN65" s="265"/>
      <c r="HO65" s="265"/>
      <c r="HP65" s="265"/>
      <c r="HQ65" s="265"/>
      <c r="HR65" s="265"/>
      <c r="HS65" s="265"/>
      <c r="HT65" s="368"/>
      <c r="HU65" s="55">
        <f t="shared" si="194"/>
        <v>0</v>
      </c>
    </row>
    <row r="66" spans="1:229" x14ac:dyDescent="0.25">
      <c r="A66" s="2">
        <v>7</v>
      </c>
      <c r="B66" s="474"/>
      <c r="C66" s="23" t="s">
        <v>7</v>
      </c>
      <c r="D66" s="2" t="s">
        <v>17</v>
      </c>
      <c r="E66" s="73"/>
      <c r="F66" s="31"/>
      <c r="G66" s="31"/>
      <c r="H66" s="31"/>
      <c r="I66" s="31"/>
      <c r="J66" s="31"/>
      <c r="K66" s="31"/>
      <c r="L66" s="72"/>
      <c r="M66" s="106">
        <f t="shared" si="193"/>
        <v>0</v>
      </c>
      <c r="N66" s="129"/>
      <c r="O66" s="7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01"/>
      <c r="AQ66" s="162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62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265"/>
      <c r="CZ66" s="13"/>
      <c r="DA66" s="269"/>
      <c r="DB66" s="278"/>
      <c r="DC66" s="265"/>
      <c r="DD66" s="13"/>
      <c r="DE66" s="265"/>
      <c r="DF66" s="265"/>
      <c r="DG66" s="265"/>
      <c r="DH66" s="265"/>
      <c r="DI66" s="265"/>
      <c r="DJ66" s="265"/>
      <c r="DK66" s="265"/>
      <c r="DL66" s="265"/>
      <c r="DM66" s="265"/>
      <c r="DN66" s="265"/>
      <c r="DO66" s="265"/>
      <c r="DP66" s="265"/>
      <c r="DQ66" s="265"/>
      <c r="DR66" s="265"/>
      <c r="DS66" s="265"/>
      <c r="DT66" s="265"/>
      <c r="DU66" s="265"/>
      <c r="DV66" s="265"/>
      <c r="DW66" s="265"/>
      <c r="DX66" s="265"/>
      <c r="DY66" s="265"/>
      <c r="DZ66" s="265"/>
      <c r="EA66" s="265"/>
      <c r="EB66" s="265"/>
      <c r="EC66" s="265"/>
      <c r="ED66" s="265"/>
      <c r="EE66" s="265"/>
      <c r="EF66" s="269"/>
      <c r="EG66" s="278"/>
      <c r="EH66" s="265"/>
      <c r="EI66" s="265"/>
      <c r="EJ66" s="265"/>
      <c r="EK66" s="265"/>
      <c r="EL66" s="265"/>
      <c r="EM66" s="265"/>
      <c r="EN66" s="265"/>
      <c r="EO66" s="265"/>
      <c r="EP66" s="265"/>
      <c r="EQ66" s="265"/>
      <c r="ER66" s="265"/>
      <c r="ES66" s="265"/>
      <c r="ET66" s="265"/>
      <c r="EU66" s="265"/>
      <c r="EV66" s="265"/>
      <c r="EW66" s="265"/>
      <c r="EX66" s="265"/>
      <c r="EY66" s="265"/>
      <c r="EZ66" s="265"/>
      <c r="FA66" s="265"/>
      <c r="FB66" s="265"/>
      <c r="FC66" s="265"/>
      <c r="FD66" s="265"/>
      <c r="FE66" s="265"/>
      <c r="FF66" s="265"/>
      <c r="FG66" s="265"/>
      <c r="FH66" s="265"/>
      <c r="FI66" s="265"/>
      <c r="FJ66" s="269"/>
      <c r="FK66" s="278"/>
      <c r="FL66" s="265"/>
      <c r="FM66" s="265"/>
      <c r="FN66" s="265"/>
      <c r="FO66" s="265"/>
      <c r="FP66" s="265"/>
      <c r="FQ66" s="265"/>
      <c r="FR66" s="265"/>
      <c r="FS66" s="265"/>
      <c r="FT66" s="265"/>
      <c r="FU66" s="265"/>
      <c r="FV66" s="265"/>
      <c r="FW66" s="265"/>
      <c r="FX66" s="265"/>
      <c r="FY66" s="265"/>
      <c r="FZ66" s="265"/>
      <c r="GA66" s="265"/>
      <c r="GB66" s="265"/>
      <c r="GC66" s="265"/>
      <c r="GD66" s="265"/>
      <c r="GE66" s="265"/>
      <c r="GF66" s="265"/>
      <c r="GG66" s="265"/>
      <c r="GH66" s="265"/>
      <c r="GI66" s="265"/>
      <c r="GJ66" s="265"/>
      <c r="GK66" s="265"/>
      <c r="GL66" s="265"/>
      <c r="GM66" s="265"/>
      <c r="GN66" s="265"/>
      <c r="GO66" s="269"/>
      <c r="GP66" s="278"/>
      <c r="GQ66" s="265"/>
      <c r="GR66" s="265"/>
      <c r="GS66" s="265"/>
      <c r="GT66" s="265"/>
      <c r="GU66" s="265"/>
      <c r="GV66" s="265"/>
      <c r="GW66" s="265"/>
      <c r="GX66" s="265"/>
      <c r="GY66" s="265"/>
      <c r="GZ66" s="265"/>
      <c r="HA66" s="265">
        <v>0</v>
      </c>
      <c r="HB66" s="265">
        <v>0</v>
      </c>
      <c r="HC66" s="265">
        <v>0</v>
      </c>
      <c r="HD66" s="265">
        <v>0</v>
      </c>
      <c r="HE66" s="265">
        <v>0</v>
      </c>
      <c r="HF66" s="265">
        <v>0</v>
      </c>
      <c r="HG66" s="265">
        <v>0</v>
      </c>
      <c r="HH66" s="265">
        <v>0</v>
      </c>
      <c r="HI66" s="265"/>
      <c r="HJ66" s="265"/>
      <c r="HK66" s="265"/>
      <c r="HL66" s="265"/>
      <c r="HM66" s="265"/>
      <c r="HN66" s="265"/>
      <c r="HO66" s="265"/>
      <c r="HP66" s="265"/>
      <c r="HQ66" s="265"/>
      <c r="HR66" s="265"/>
      <c r="HS66" s="265"/>
      <c r="HT66" s="368"/>
      <c r="HU66" s="55">
        <f t="shared" si="194"/>
        <v>0</v>
      </c>
    </row>
    <row r="67" spans="1:229" x14ac:dyDescent="0.25">
      <c r="A67" s="2">
        <v>8</v>
      </c>
      <c r="B67" s="474"/>
      <c r="C67" s="23" t="s">
        <v>8</v>
      </c>
      <c r="D67" s="2" t="s">
        <v>17</v>
      </c>
      <c r="E67" s="73"/>
      <c r="F67" s="31"/>
      <c r="G67" s="31"/>
      <c r="H67" s="31"/>
      <c r="I67" s="31"/>
      <c r="J67" s="31"/>
      <c r="K67" s="31"/>
      <c r="L67" s="72"/>
      <c r="M67" s="106">
        <f t="shared" si="193"/>
        <v>0</v>
      </c>
      <c r="N67" s="129"/>
      <c r="O67" s="7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01"/>
      <c r="AQ67" s="162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62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265"/>
      <c r="CZ67" s="13"/>
      <c r="DA67" s="269"/>
      <c r="DB67" s="278"/>
      <c r="DC67" s="265"/>
      <c r="DD67" s="13"/>
      <c r="DE67" s="265"/>
      <c r="DF67" s="265"/>
      <c r="DG67" s="265"/>
      <c r="DH67" s="265"/>
      <c r="DI67" s="265"/>
      <c r="DJ67" s="265"/>
      <c r="DK67" s="265"/>
      <c r="DL67" s="265"/>
      <c r="DM67" s="265"/>
      <c r="DN67" s="265"/>
      <c r="DO67" s="265"/>
      <c r="DP67" s="265"/>
      <c r="DQ67" s="265"/>
      <c r="DR67" s="265"/>
      <c r="DS67" s="265"/>
      <c r="DT67" s="265"/>
      <c r="DU67" s="265"/>
      <c r="DV67" s="265"/>
      <c r="DW67" s="265"/>
      <c r="DX67" s="265"/>
      <c r="DY67" s="265"/>
      <c r="DZ67" s="265"/>
      <c r="EA67" s="265"/>
      <c r="EB67" s="265"/>
      <c r="EC67" s="265"/>
      <c r="ED67" s="265"/>
      <c r="EE67" s="265"/>
      <c r="EF67" s="269"/>
      <c r="EG67" s="278"/>
      <c r="EH67" s="265"/>
      <c r="EI67" s="265"/>
      <c r="EJ67" s="265"/>
      <c r="EK67" s="265"/>
      <c r="EL67" s="265"/>
      <c r="EM67" s="265"/>
      <c r="EN67" s="265"/>
      <c r="EO67" s="265"/>
      <c r="EP67" s="265"/>
      <c r="EQ67" s="265"/>
      <c r="ER67" s="265"/>
      <c r="ES67" s="265"/>
      <c r="ET67" s="265"/>
      <c r="EU67" s="265"/>
      <c r="EV67" s="265"/>
      <c r="EW67" s="265"/>
      <c r="EX67" s="265"/>
      <c r="EY67" s="265"/>
      <c r="EZ67" s="265"/>
      <c r="FA67" s="265"/>
      <c r="FB67" s="265"/>
      <c r="FC67" s="265"/>
      <c r="FD67" s="265"/>
      <c r="FE67" s="265"/>
      <c r="FF67" s="265"/>
      <c r="FG67" s="265"/>
      <c r="FH67" s="265"/>
      <c r="FI67" s="265"/>
      <c r="FJ67" s="269"/>
      <c r="FK67" s="278"/>
      <c r="FL67" s="265"/>
      <c r="FM67" s="265"/>
      <c r="FN67" s="265"/>
      <c r="FO67" s="265"/>
      <c r="FP67" s="265"/>
      <c r="FQ67" s="265"/>
      <c r="FR67" s="265"/>
      <c r="FS67" s="265"/>
      <c r="FT67" s="265"/>
      <c r="FU67" s="265"/>
      <c r="FV67" s="265"/>
      <c r="FW67" s="265"/>
      <c r="FX67" s="265"/>
      <c r="FY67" s="265"/>
      <c r="FZ67" s="265"/>
      <c r="GA67" s="265"/>
      <c r="GB67" s="265"/>
      <c r="GC67" s="265"/>
      <c r="GD67" s="265"/>
      <c r="GE67" s="265"/>
      <c r="GF67" s="265"/>
      <c r="GG67" s="265"/>
      <c r="GH67" s="265"/>
      <c r="GI67" s="265"/>
      <c r="GJ67" s="265"/>
      <c r="GK67" s="265"/>
      <c r="GL67" s="265"/>
      <c r="GM67" s="265"/>
      <c r="GN67" s="265"/>
      <c r="GO67" s="269"/>
      <c r="GP67" s="278"/>
      <c r="GQ67" s="265"/>
      <c r="GR67" s="265"/>
      <c r="GS67" s="265"/>
      <c r="GT67" s="265"/>
      <c r="GU67" s="265"/>
      <c r="GV67" s="265"/>
      <c r="GW67" s="265"/>
      <c r="GX67" s="265"/>
      <c r="GY67" s="265"/>
      <c r="GZ67" s="265"/>
      <c r="HA67" s="265">
        <v>0</v>
      </c>
      <c r="HB67" s="265">
        <v>0</v>
      </c>
      <c r="HC67" s="265">
        <v>0</v>
      </c>
      <c r="HD67" s="265">
        <v>0</v>
      </c>
      <c r="HE67" s="265">
        <v>0</v>
      </c>
      <c r="HF67" s="265">
        <v>0</v>
      </c>
      <c r="HG67" s="265">
        <v>0</v>
      </c>
      <c r="HH67" s="265">
        <v>0</v>
      </c>
      <c r="HI67" s="265"/>
      <c r="HJ67" s="265"/>
      <c r="HK67" s="265"/>
      <c r="HL67" s="265"/>
      <c r="HM67" s="265"/>
      <c r="HN67" s="265"/>
      <c r="HO67" s="265"/>
      <c r="HP67" s="265"/>
      <c r="HQ67" s="265"/>
      <c r="HR67" s="265"/>
      <c r="HS67" s="265"/>
      <c r="HT67" s="368"/>
      <c r="HU67" s="55">
        <f t="shared" si="194"/>
        <v>0</v>
      </c>
    </row>
    <row r="68" spans="1:229" x14ac:dyDescent="0.25">
      <c r="A68" s="2">
        <v>9</v>
      </c>
      <c r="B68" s="474"/>
      <c r="C68" s="23" t="s">
        <v>9</v>
      </c>
      <c r="D68" s="2" t="s">
        <v>17</v>
      </c>
      <c r="E68" s="73"/>
      <c r="F68" s="31"/>
      <c r="G68" s="31"/>
      <c r="H68" s="31"/>
      <c r="I68" s="31"/>
      <c r="J68" s="31"/>
      <c r="K68" s="31"/>
      <c r="L68" s="72"/>
      <c r="M68" s="106">
        <f t="shared" si="193"/>
        <v>0</v>
      </c>
      <c r="N68" s="129"/>
      <c r="O68" s="7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01"/>
      <c r="AQ68" s="162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62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265"/>
      <c r="CZ68" s="13"/>
      <c r="DA68" s="269"/>
      <c r="DB68" s="278"/>
      <c r="DC68" s="265"/>
      <c r="DD68" s="13"/>
      <c r="DE68" s="265"/>
      <c r="DF68" s="265"/>
      <c r="DG68" s="265"/>
      <c r="DH68" s="265"/>
      <c r="DI68" s="265"/>
      <c r="DJ68" s="265"/>
      <c r="DK68" s="265"/>
      <c r="DL68" s="265"/>
      <c r="DM68" s="265"/>
      <c r="DN68" s="265"/>
      <c r="DO68" s="265"/>
      <c r="DP68" s="265"/>
      <c r="DQ68" s="265"/>
      <c r="DR68" s="265"/>
      <c r="DS68" s="265"/>
      <c r="DT68" s="265"/>
      <c r="DU68" s="265"/>
      <c r="DV68" s="265"/>
      <c r="DW68" s="265"/>
      <c r="DX68" s="265"/>
      <c r="DY68" s="265"/>
      <c r="DZ68" s="265"/>
      <c r="EA68" s="265"/>
      <c r="EB68" s="265"/>
      <c r="EC68" s="265"/>
      <c r="ED68" s="265"/>
      <c r="EE68" s="265"/>
      <c r="EF68" s="269"/>
      <c r="EG68" s="278"/>
      <c r="EH68" s="265"/>
      <c r="EI68" s="265"/>
      <c r="EJ68" s="265"/>
      <c r="EK68" s="265"/>
      <c r="EL68" s="265"/>
      <c r="EM68" s="265"/>
      <c r="EN68" s="265"/>
      <c r="EO68" s="265"/>
      <c r="EP68" s="265"/>
      <c r="EQ68" s="265"/>
      <c r="ER68" s="265"/>
      <c r="ES68" s="265"/>
      <c r="ET68" s="265"/>
      <c r="EU68" s="265"/>
      <c r="EV68" s="265"/>
      <c r="EW68" s="265"/>
      <c r="EX68" s="265"/>
      <c r="EY68" s="265"/>
      <c r="EZ68" s="265"/>
      <c r="FA68" s="265"/>
      <c r="FB68" s="265"/>
      <c r="FC68" s="265"/>
      <c r="FD68" s="265"/>
      <c r="FE68" s="265"/>
      <c r="FF68" s="265"/>
      <c r="FG68" s="265"/>
      <c r="FH68" s="265"/>
      <c r="FI68" s="265"/>
      <c r="FJ68" s="269"/>
      <c r="FK68" s="278"/>
      <c r="FL68" s="265"/>
      <c r="FM68" s="265"/>
      <c r="FN68" s="265"/>
      <c r="FO68" s="265"/>
      <c r="FP68" s="265"/>
      <c r="FQ68" s="265"/>
      <c r="FR68" s="265"/>
      <c r="FS68" s="265"/>
      <c r="FT68" s="265"/>
      <c r="FU68" s="265"/>
      <c r="FV68" s="265"/>
      <c r="FW68" s="265"/>
      <c r="FX68" s="265"/>
      <c r="FY68" s="265"/>
      <c r="FZ68" s="265"/>
      <c r="GA68" s="265"/>
      <c r="GB68" s="265"/>
      <c r="GC68" s="265"/>
      <c r="GD68" s="265"/>
      <c r="GE68" s="265"/>
      <c r="GF68" s="265"/>
      <c r="GG68" s="265"/>
      <c r="GH68" s="265"/>
      <c r="GI68" s="265"/>
      <c r="GJ68" s="265"/>
      <c r="GK68" s="265"/>
      <c r="GL68" s="265"/>
      <c r="GM68" s="265"/>
      <c r="GN68" s="265"/>
      <c r="GO68" s="269"/>
      <c r="GP68" s="278"/>
      <c r="GQ68" s="265"/>
      <c r="GR68" s="265"/>
      <c r="GS68" s="265"/>
      <c r="GT68" s="265"/>
      <c r="GU68" s="265"/>
      <c r="GV68" s="265"/>
      <c r="GW68" s="265"/>
      <c r="GX68" s="265"/>
      <c r="GY68" s="265"/>
      <c r="GZ68" s="265"/>
      <c r="HA68" s="265">
        <v>0</v>
      </c>
      <c r="HB68" s="265">
        <v>0</v>
      </c>
      <c r="HC68" s="265">
        <v>0</v>
      </c>
      <c r="HD68" s="265">
        <v>0</v>
      </c>
      <c r="HE68" s="265">
        <v>0</v>
      </c>
      <c r="HF68" s="265">
        <v>0</v>
      </c>
      <c r="HG68" s="265">
        <v>0</v>
      </c>
      <c r="HH68" s="265">
        <v>0</v>
      </c>
      <c r="HI68" s="265"/>
      <c r="HJ68" s="265"/>
      <c r="HK68" s="265"/>
      <c r="HL68" s="265"/>
      <c r="HM68" s="265"/>
      <c r="HN68" s="265"/>
      <c r="HO68" s="265"/>
      <c r="HP68" s="265"/>
      <c r="HQ68" s="265"/>
      <c r="HR68" s="265"/>
      <c r="HS68" s="265"/>
      <c r="HT68" s="368"/>
      <c r="HU68" s="55">
        <f t="shared" si="194"/>
        <v>0</v>
      </c>
    </row>
    <row r="69" spans="1:229" x14ac:dyDescent="0.25">
      <c r="A69" s="2">
        <v>10</v>
      </c>
      <c r="B69" s="474"/>
      <c r="C69" s="23" t="s">
        <v>10</v>
      </c>
      <c r="D69" s="2" t="s">
        <v>17</v>
      </c>
      <c r="E69" s="73"/>
      <c r="F69" s="31"/>
      <c r="G69" s="31"/>
      <c r="H69" s="31"/>
      <c r="I69" s="31"/>
      <c r="J69" s="31"/>
      <c r="K69" s="31"/>
      <c r="L69" s="72"/>
      <c r="M69" s="106">
        <f t="shared" si="193"/>
        <v>0</v>
      </c>
      <c r="N69" s="129"/>
      <c r="O69" s="7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01"/>
      <c r="AQ69" s="162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62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265"/>
      <c r="CZ69" s="13"/>
      <c r="DA69" s="269"/>
      <c r="DB69" s="278"/>
      <c r="DC69" s="265"/>
      <c r="DD69" s="13"/>
      <c r="DE69" s="265"/>
      <c r="DF69" s="265"/>
      <c r="DG69" s="265"/>
      <c r="DH69" s="265"/>
      <c r="DI69" s="265"/>
      <c r="DJ69" s="265"/>
      <c r="DK69" s="265"/>
      <c r="DL69" s="265"/>
      <c r="DM69" s="265"/>
      <c r="DN69" s="265"/>
      <c r="DO69" s="265"/>
      <c r="DP69" s="265"/>
      <c r="DQ69" s="265"/>
      <c r="DR69" s="265"/>
      <c r="DS69" s="265"/>
      <c r="DT69" s="265"/>
      <c r="DU69" s="265"/>
      <c r="DV69" s="265"/>
      <c r="DW69" s="265"/>
      <c r="DX69" s="265"/>
      <c r="DY69" s="265"/>
      <c r="DZ69" s="265"/>
      <c r="EA69" s="265"/>
      <c r="EB69" s="265"/>
      <c r="EC69" s="265"/>
      <c r="ED69" s="265"/>
      <c r="EE69" s="265"/>
      <c r="EF69" s="269"/>
      <c r="EG69" s="278"/>
      <c r="EH69" s="265"/>
      <c r="EI69" s="265"/>
      <c r="EJ69" s="265"/>
      <c r="EK69" s="265"/>
      <c r="EL69" s="265"/>
      <c r="EM69" s="265"/>
      <c r="EN69" s="265"/>
      <c r="EO69" s="265"/>
      <c r="EP69" s="265"/>
      <c r="EQ69" s="265"/>
      <c r="ER69" s="265"/>
      <c r="ES69" s="265"/>
      <c r="ET69" s="265"/>
      <c r="EU69" s="265"/>
      <c r="EV69" s="265"/>
      <c r="EW69" s="265"/>
      <c r="EX69" s="265"/>
      <c r="EY69" s="265"/>
      <c r="EZ69" s="265"/>
      <c r="FA69" s="265"/>
      <c r="FB69" s="265"/>
      <c r="FC69" s="265"/>
      <c r="FD69" s="265"/>
      <c r="FE69" s="265"/>
      <c r="FF69" s="265"/>
      <c r="FG69" s="265"/>
      <c r="FH69" s="265"/>
      <c r="FI69" s="265"/>
      <c r="FJ69" s="269"/>
      <c r="FK69" s="278"/>
      <c r="FL69" s="265"/>
      <c r="FM69" s="265"/>
      <c r="FN69" s="265"/>
      <c r="FO69" s="265"/>
      <c r="FP69" s="265"/>
      <c r="FQ69" s="265"/>
      <c r="FR69" s="265"/>
      <c r="FS69" s="265"/>
      <c r="FT69" s="265"/>
      <c r="FU69" s="265"/>
      <c r="FV69" s="265"/>
      <c r="FW69" s="265"/>
      <c r="FX69" s="265"/>
      <c r="FY69" s="265"/>
      <c r="FZ69" s="265"/>
      <c r="GA69" s="265"/>
      <c r="GB69" s="265"/>
      <c r="GC69" s="265"/>
      <c r="GD69" s="265"/>
      <c r="GE69" s="265"/>
      <c r="GF69" s="265"/>
      <c r="GG69" s="265"/>
      <c r="GH69" s="265"/>
      <c r="GI69" s="265"/>
      <c r="GJ69" s="265"/>
      <c r="GK69" s="265"/>
      <c r="GL69" s="265"/>
      <c r="GM69" s="265"/>
      <c r="GN69" s="265"/>
      <c r="GO69" s="269"/>
      <c r="GP69" s="278"/>
      <c r="GQ69" s="265"/>
      <c r="GR69" s="265"/>
      <c r="GS69" s="265"/>
      <c r="GT69" s="265"/>
      <c r="GU69" s="265"/>
      <c r="GV69" s="265"/>
      <c r="GW69" s="265"/>
      <c r="GX69" s="265"/>
      <c r="GY69" s="265"/>
      <c r="GZ69" s="265"/>
      <c r="HA69" s="265">
        <v>0</v>
      </c>
      <c r="HB69" s="265">
        <v>0</v>
      </c>
      <c r="HC69" s="265">
        <v>0</v>
      </c>
      <c r="HD69" s="265">
        <v>0</v>
      </c>
      <c r="HE69" s="265">
        <v>0</v>
      </c>
      <c r="HF69" s="265">
        <v>0</v>
      </c>
      <c r="HG69" s="265">
        <v>0</v>
      </c>
      <c r="HH69" s="265">
        <v>0</v>
      </c>
      <c r="HI69" s="265"/>
      <c r="HJ69" s="265"/>
      <c r="HK69" s="265"/>
      <c r="HL69" s="265"/>
      <c r="HM69" s="265"/>
      <c r="HN69" s="265"/>
      <c r="HO69" s="265"/>
      <c r="HP69" s="265"/>
      <c r="HQ69" s="265"/>
      <c r="HR69" s="265"/>
      <c r="HS69" s="265"/>
      <c r="HT69" s="368"/>
      <c r="HU69" s="55">
        <f t="shared" si="194"/>
        <v>0</v>
      </c>
    </row>
    <row r="70" spans="1:229" x14ac:dyDescent="0.25">
      <c r="A70" s="2">
        <v>11</v>
      </c>
      <c r="B70" s="496"/>
      <c r="C70" s="23" t="s">
        <v>11</v>
      </c>
      <c r="D70" s="2" t="s">
        <v>17</v>
      </c>
      <c r="E70" s="73"/>
      <c r="F70" s="31"/>
      <c r="G70" s="31"/>
      <c r="H70" s="31"/>
      <c r="I70" s="31"/>
      <c r="J70" s="31"/>
      <c r="K70" s="31"/>
      <c r="L70" s="72"/>
      <c r="M70" s="106">
        <f t="shared" si="193"/>
        <v>0</v>
      </c>
      <c r="N70" s="129"/>
      <c r="O70" s="7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01"/>
      <c r="AQ70" s="162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62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265"/>
      <c r="CZ70" s="13"/>
      <c r="DA70" s="269"/>
      <c r="DB70" s="278"/>
      <c r="DC70" s="265"/>
      <c r="DD70" s="13"/>
      <c r="DE70" s="265"/>
      <c r="DF70" s="265"/>
      <c r="DG70" s="265"/>
      <c r="DH70" s="265"/>
      <c r="DI70" s="265"/>
      <c r="DJ70" s="265"/>
      <c r="DK70" s="265"/>
      <c r="DL70" s="265"/>
      <c r="DM70" s="265"/>
      <c r="DN70" s="265"/>
      <c r="DO70" s="265"/>
      <c r="DP70" s="265"/>
      <c r="DQ70" s="265"/>
      <c r="DR70" s="265"/>
      <c r="DS70" s="265"/>
      <c r="DT70" s="265"/>
      <c r="DU70" s="265"/>
      <c r="DV70" s="265"/>
      <c r="DW70" s="265"/>
      <c r="DX70" s="265"/>
      <c r="DY70" s="265"/>
      <c r="DZ70" s="265"/>
      <c r="EA70" s="265"/>
      <c r="EB70" s="265"/>
      <c r="EC70" s="265"/>
      <c r="ED70" s="265"/>
      <c r="EE70" s="265"/>
      <c r="EF70" s="269"/>
      <c r="EG70" s="278"/>
      <c r="EH70" s="265"/>
      <c r="EI70" s="265"/>
      <c r="EJ70" s="265"/>
      <c r="EK70" s="265"/>
      <c r="EL70" s="265"/>
      <c r="EM70" s="265"/>
      <c r="EN70" s="265"/>
      <c r="EO70" s="265"/>
      <c r="EP70" s="265"/>
      <c r="EQ70" s="265"/>
      <c r="ER70" s="265"/>
      <c r="ES70" s="265"/>
      <c r="ET70" s="265"/>
      <c r="EU70" s="265"/>
      <c r="EV70" s="265"/>
      <c r="EW70" s="265"/>
      <c r="EX70" s="265"/>
      <c r="EY70" s="265"/>
      <c r="EZ70" s="265"/>
      <c r="FA70" s="265"/>
      <c r="FB70" s="265"/>
      <c r="FC70" s="265"/>
      <c r="FD70" s="265"/>
      <c r="FE70" s="265"/>
      <c r="FF70" s="265"/>
      <c r="FG70" s="265"/>
      <c r="FH70" s="265"/>
      <c r="FI70" s="265"/>
      <c r="FJ70" s="269"/>
      <c r="FK70" s="278"/>
      <c r="FL70" s="265"/>
      <c r="FM70" s="265"/>
      <c r="FN70" s="265"/>
      <c r="FO70" s="265"/>
      <c r="FP70" s="265"/>
      <c r="FQ70" s="265"/>
      <c r="FR70" s="265"/>
      <c r="FS70" s="265"/>
      <c r="FT70" s="265"/>
      <c r="FU70" s="265"/>
      <c r="FV70" s="265"/>
      <c r="FW70" s="265"/>
      <c r="FX70" s="265"/>
      <c r="FY70" s="265"/>
      <c r="FZ70" s="265"/>
      <c r="GA70" s="265"/>
      <c r="GB70" s="265"/>
      <c r="GC70" s="265"/>
      <c r="GD70" s="265"/>
      <c r="GE70" s="265"/>
      <c r="GF70" s="265"/>
      <c r="GG70" s="265"/>
      <c r="GH70" s="265"/>
      <c r="GI70" s="265"/>
      <c r="GJ70" s="265"/>
      <c r="GK70" s="265"/>
      <c r="GL70" s="265"/>
      <c r="GM70" s="265"/>
      <c r="GN70" s="265"/>
      <c r="GO70" s="269"/>
      <c r="GP70" s="278"/>
      <c r="GQ70" s="265"/>
      <c r="GR70" s="265"/>
      <c r="GS70" s="265"/>
      <c r="GT70" s="265"/>
      <c r="GU70" s="265"/>
      <c r="GV70" s="265"/>
      <c r="GW70" s="265"/>
      <c r="GX70" s="265"/>
      <c r="GY70" s="265"/>
      <c r="GZ70" s="265"/>
      <c r="HA70" s="265">
        <v>0</v>
      </c>
      <c r="HB70" s="265">
        <v>0</v>
      </c>
      <c r="HC70" s="265">
        <v>0</v>
      </c>
      <c r="HD70" s="265">
        <v>0</v>
      </c>
      <c r="HE70" s="265">
        <v>0</v>
      </c>
      <c r="HF70" s="265">
        <v>0</v>
      </c>
      <c r="HG70" s="265">
        <v>0</v>
      </c>
      <c r="HH70" s="265">
        <v>0</v>
      </c>
      <c r="HI70" s="265"/>
      <c r="HJ70" s="265"/>
      <c r="HK70" s="265"/>
      <c r="HL70" s="265"/>
      <c r="HM70" s="265"/>
      <c r="HN70" s="265"/>
      <c r="HO70" s="265"/>
      <c r="HP70" s="265"/>
      <c r="HQ70" s="265"/>
      <c r="HR70" s="265"/>
      <c r="HS70" s="265"/>
      <c r="HT70" s="368"/>
      <c r="HU70" s="55">
        <f t="shared" si="194"/>
        <v>0</v>
      </c>
    </row>
    <row r="71" spans="1:229" ht="16.5" thickBot="1" x14ac:dyDescent="0.3">
      <c r="A71" s="15"/>
      <c r="B71" s="15"/>
      <c r="C71" s="24" t="s">
        <v>12</v>
      </c>
      <c r="D71" s="78" t="s">
        <v>17</v>
      </c>
      <c r="E71" s="74">
        <f t="shared" ref="E71:L71" si="195">SUM(E60:E70)</f>
        <v>0</v>
      </c>
      <c r="F71" s="18">
        <f t="shared" si="195"/>
        <v>0</v>
      </c>
      <c r="G71" s="18">
        <f t="shared" si="195"/>
        <v>0</v>
      </c>
      <c r="H71" s="18">
        <f t="shared" si="195"/>
        <v>0</v>
      </c>
      <c r="I71" s="18">
        <f t="shared" si="195"/>
        <v>0</v>
      </c>
      <c r="J71" s="18">
        <f t="shared" si="195"/>
        <v>0</v>
      </c>
      <c r="K71" s="18">
        <f t="shared" si="195"/>
        <v>0</v>
      </c>
      <c r="L71" s="75">
        <f t="shared" si="195"/>
        <v>0</v>
      </c>
      <c r="M71" s="110">
        <f>SUM(M60:M70)</f>
        <v>0</v>
      </c>
      <c r="N71" s="132"/>
      <c r="O71" s="93">
        <f>SUM(O60:O70)</f>
        <v>0</v>
      </c>
      <c r="P71" s="94">
        <f>SUM(P60:P70)</f>
        <v>0</v>
      </c>
      <c r="Q71" s="94">
        <f>SUM(Q60:Q70)</f>
        <v>0</v>
      </c>
      <c r="R71" s="94">
        <f>SUM(R60:R70)</f>
        <v>0</v>
      </c>
      <c r="S71" s="94">
        <f>SUM(S60:S70)</f>
        <v>0</v>
      </c>
      <c r="T71" s="94">
        <f t="shared" ref="T71:AP71" si="196">SUM(T60:T70)</f>
        <v>0</v>
      </c>
      <c r="U71" s="94">
        <f t="shared" si="196"/>
        <v>0</v>
      </c>
      <c r="V71" s="94">
        <f t="shared" si="196"/>
        <v>0</v>
      </c>
      <c r="W71" s="94">
        <f t="shared" si="196"/>
        <v>0</v>
      </c>
      <c r="X71" s="94">
        <f t="shared" si="196"/>
        <v>0</v>
      </c>
      <c r="Y71" s="94">
        <f t="shared" si="196"/>
        <v>0</v>
      </c>
      <c r="Z71" s="94">
        <f t="shared" si="196"/>
        <v>0</v>
      </c>
      <c r="AA71" s="94">
        <f t="shared" si="196"/>
        <v>0</v>
      </c>
      <c r="AB71" s="94">
        <f t="shared" si="196"/>
        <v>0</v>
      </c>
      <c r="AC71" s="94">
        <f t="shared" si="196"/>
        <v>0</v>
      </c>
      <c r="AD71" s="94">
        <f t="shared" si="196"/>
        <v>0</v>
      </c>
      <c r="AE71" s="94">
        <f t="shared" si="196"/>
        <v>0</v>
      </c>
      <c r="AF71" s="94">
        <f t="shared" si="196"/>
        <v>0</v>
      </c>
      <c r="AG71" s="94">
        <f t="shared" si="196"/>
        <v>0</v>
      </c>
      <c r="AH71" s="94">
        <f t="shared" si="196"/>
        <v>0</v>
      </c>
      <c r="AI71" s="94">
        <f t="shared" si="196"/>
        <v>0</v>
      </c>
      <c r="AJ71" s="94">
        <f t="shared" si="196"/>
        <v>0</v>
      </c>
      <c r="AK71" s="94">
        <f t="shared" si="196"/>
        <v>0</v>
      </c>
      <c r="AL71" s="94">
        <f t="shared" si="196"/>
        <v>0</v>
      </c>
      <c r="AM71" s="94">
        <f t="shared" si="196"/>
        <v>0</v>
      </c>
      <c r="AN71" s="94">
        <f t="shared" si="196"/>
        <v>0</v>
      </c>
      <c r="AO71" s="94">
        <f t="shared" si="196"/>
        <v>0</v>
      </c>
      <c r="AP71" s="156">
        <f t="shared" si="196"/>
        <v>0</v>
      </c>
      <c r="AQ71" s="163"/>
      <c r="AR71" s="94">
        <f t="shared" ref="AR71:AZ71" si="197">SUM(AR60:AR70)</f>
        <v>0</v>
      </c>
      <c r="AS71" s="94">
        <f t="shared" si="197"/>
        <v>0</v>
      </c>
      <c r="AT71" s="94">
        <f t="shared" si="197"/>
        <v>0</v>
      </c>
      <c r="AU71" s="94">
        <f t="shared" si="197"/>
        <v>0</v>
      </c>
      <c r="AV71" s="94">
        <f t="shared" si="197"/>
        <v>0</v>
      </c>
      <c r="AW71" s="94">
        <f t="shared" si="197"/>
        <v>0</v>
      </c>
      <c r="AX71" s="94">
        <f t="shared" si="197"/>
        <v>0</v>
      </c>
      <c r="AY71" s="94">
        <f t="shared" si="197"/>
        <v>0</v>
      </c>
      <c r="AZ71" s="94">
        <f t="shared" si="197"/>
        <v>0</v>
      </c>
      <c r="BA71" s="94">
        <f>SUM(BA60:BA70)</f>
        <v>0</v>
      </c>
      <c r="BB71" s="94">
        <f t="shared" ref="BB71:BV71" si="198">SUM(BB60:BB70)</f>
        <v>0</v>
      </c>
      <c r="BC71" s="94">
        <f t="shared" si="198"/>
        <v>0</v>
      </c>
      <c r="BD71" s="94">
        <f t="shared" si="198"/>
        <v>0</v>
      </c>
      <c r="BE71" s="94">
        <f t="shared" si="198"/>
        <v>0</v>
      </c>
      <c r="BF71" s="94">
        <f t="shared" si="198"/>
        <v>0</v>
      </c>
      <c r="BG71" s="94">
        <f t="shared" si="198"/>
        <v>0</v>
      </c>
      <c r="BH71" s="94">
        <f t="shared" si="198"/>
        <v>0</v>
      </c>
      <c r="BI71" s="94">
        <f t="shared" si="198"/>
        <v>0</v>
      </c>
      <c r="BJ71" s="94">
        <f t="shared" si="198"/>
        <v>0</v>
      </c>
      <c r="BK71" s="94">
        <f t="shared" si="198"/>
        <v>0</v>
      </c>
      <c r="BL71" s="94">
        <f t="shared" si="198"/>
        <v>0</v>
      </c>
      <c r="BM71" s="94">
        <f t="shared" si="198"/>
        <v>0</v>
      </c>
      <c r="BN71" s="94">
        <f t="shared" si="198"/>
        <v>0</v>
      </c>
      <c r="BO71" s="94">
        <f t="shared" si="198"/>
        <v>0</v>
      </c>
      <c r="BP71" s="94">
        <f t="shared" si="198"/>
        <v>0</v>
      </c>
      <c r="BQ71" s="94">
        <f t="shared" si="198"/>
        <v>0</v>
      </c>
      <c r="BR71" s="94">
        <f t="shared" si="198"/>
        <v>0</v>
      </c>
      <c r="BS71" s="94">
        <f t="shared" si="198"/>
        <v>0</v>
      </c>
      <c r="BT71" s="94">
        <f t="shared" si="198"/>
        <v>0</v>
      </c>
      <c r="BU71" s="94">
        <f t="shared" si="198"/>
        <v>0</v>
      </c>
      <c r="BV71" s="94">
        <f t="shared" si="198"/>
        <v>0</v>
      </c>
      <c r="BW71" s="163"/>
      <c r="BX71" s="94">
        <f t="shared" ref="BX71:CB71" si="199">SUM(BX60:BX70)</f>
        <v>0</v>
      </c>
      <c r="BY71" s="94">
        <f t="shared" si="199"/>
        <v>0</v>
      </c>
      <c r="BZ71" s="94">
        <f t="shared" si="199"/>
        <v>0</v>
      </c>
      <c r="CA71" s="94">
        <f t="shared" si="199"/>
        <v>0</v>
      </c>
      <c r="CB71" s="94">
        <f t="shared" si="199"/>
        <v>0</v>
      </c>
      <c r="CC71" s="94">
        <v>0</v>
      </c>
      <c r="CD71" s="94">
        <f t="shared" ref="CD71" si="200">SUM(CD60:CD70)</f>
        <v>0</v>
      </c>
      <c r="CE71" s="94">
        <v>0</v>
      </c>
      <c r="CF71" s="94">
        <f t="shared" ref="CF71" si="201">SUM(CF60:CF70)</f>
        <v>0</v>
      </c>
      <c r="CG71" s="94">
        <f>SUM(CG60:CG70)</f>
        <v>0</v>
      </c>
      <c r="CH71" s="94">
        <v>0</v>
      </c>
      <c r="CI71" s="94">
        <f t="shared" ref="CI71" si="202">SUM(CI60:CI70)</f>
        <v>0</v>
      </c>
      <c r="CJ71" s="94">
        <v>0</v>
      </c>
      <c r="CK71" s="94">
        <f t="shared" ref="CK71:CS71" si="203">SUM(CK60:CK70)</f>
        <v>0</v>
      </c>
      <c r="CL71" s="94">
        <f t="shared" si="203"/>
        <v>0</v>
      </c>
      <c r="CM71" s="94">
        <f t="shared" si="203"/>
        <v>0</v>
      </c>
      <c r="CN71" s="94">
        <f t="shared" si="203"/>
        <v>0</v>
      </c>
      <c r="CO71" s="94">
        <f t="shared" si="203"/>
        <v>0</v>
      </c>
      <c r="CP71" s="94">
        <f t="shared" si="203"/>
        <v>0</v>
      </c>
      <c r="CQ71" s="94">
        <f t="shared" si="203"/>
        <v>0</v>
      </c>
      <c r="CR71" s="94">
        <f t="shared" si="203"/>
        <v>0</v>
      </c>
      <c r="CS71" s="94">
        <f t="shared" si="203"/>
        <v>0</v>
      </c>
      <c r="CT71" s="94">
        <v>0</v>
      </c>
      <c r="CU71" s="94">
        <v>0</v>
      </c>
      <c r="CV71" s="94">
        <v>0</v>
      </c>
      <c r="CW71" s="94">
        <f t="shared" ref="CW71:FH71" si="204">SUM(CW60:CW70)</f>
        <v>0</v>
      </c>
      <c r="CX71" s="94">
        <f t="shared" si="204"/>
        <v>0</v>
      </c>
      <c r="CY71" s="94">
        <f t="shared" si="204"/>
        <v>0</v>
      </c>
      <c r="CZ71" s="94">
        <f t="shared" si="204"/>
        <v>0</v>
      </c>
      <c r="DA71" s="156">
        <f t="shared" si="204"/>
        <v>0</v>
      </c>
      <c r="DB71" s="93">
        <f t="shared" si="204"/>
        <v>0</v>
      </c>
      <c r="DC71" s="94">
        <f t="shared" si="204"/>
        <v>0</v>
      </c>
      <c r="DD71" s="94">
        <f t="shared" si="204"/>
        <v>0</v>
      </c>
      <c r="DE71" s="94">
        <f t="shared" si="204"/>
        <v>0</v>
      </c>
      <c r="DF71" s="94">
        <f t="shared" si="204"/>
        <v>0</v>
      </c>
      <c r="DG71" s="94">
        <f t="shared" si="204"/>
        <v>0</v>
      </c>
      <c r="DH71" s="94">
        <f t="shared" si="204"/>
        <v>0</v>
      </c>
      <c r="DI71" s="94">
        <f t="shared" si="204"/>
        <v>0</v>
      </c>
      <c r="DJ71" s="94">
        <f t="shared" si="204"/>
        <v>0</v>
      </c>
      <c r="DK71" s="94">
        <f t="shared" si="204"/>
        <v>0</v>
      </c>
      <c r="DL71" s="94">
        <f t="shared" si="204"/>
        <v>0</v>
      </c>
      <c r="DM71" s="94">
        <f t="shared" si="204"/>
        <v>0</v>
      </c>
      <c r="DN71" s="94">
        <f t="shared" si="204"/>
        <v>0</v>
      </c>
      <c r="DO71" s="94">
        <f t="shared" si="204"/>
        <v>0</v>
      </c>
      <c r="DP71" s="94">
        <f t="shared" si="204"/>
        <v>0</v>
      </c>
      <c r="DQ71" s="94">
        <f t="shared" si="204"/>
        <v>0</v>
      </c>
      <c r="DR71" s="94">
        <f t="shared" si="204"/>
        <v>0</v>
      </c>
      <c r="DS71" s="94">
        <f t="shared" si="204"/>
        <v>0</v>
      </c>
      <c r="DT71" s="94">
        <f t="shared" si="204"/>
        <v>0</v>
      </c>
      <c r="DU71" s="94">
        <f t="shared" si="204"/>
        <v>0</v>
      </c>
      <c r="DV71" s="94">
        <f t="shared" si="204"/>
        <v>0</v>
      </c>
      <c r="DW71" s="94">
        <f t="shared" si="204"/>
        <v>0</v>
      </c>
      <c r="DX71" s="94">
        <f t="shared" si="204"/>
        <v>0</v>
      </c>
      <c r="DY71" s="94">
        <f t="shared" si="204"/>
        <v>0</v>
      </c>
      <c r="DZ71" s="94">
        <f t="shared" si="204"/>
        <v>0</v>
      </c>
      <c r="EA71" s="94">
        <f t="shared" si="204"/>
        <v>0</v>
      </c>
      <c r="EB71" s="94">
        <f t="shared" si="204"/>
        <v>0</v>
      </c>
      <c r="EC71" s="94">
        <f t="shared" si="204"/>
        <v>0</v>
      </c>
      <c r="ED71" s="94">
        <f t="shared" si="204"/>
        <v>0</v>
      </c>
      <c r="EE71" s="94">
        <f t="shared" si="204"/>
        <v>0</v>
      </c>
      <c r="EF71" s="156">
        <f t="shared" si="204"/>
        <v>0</v>
      </c>
      <c r="EG71" s="74">
        <f t="shared" si="204"/>
        <v>0</v>
      </c>
      <c r="EH71" s="18">
        <f t="shared" si="204"/>
        <v>0</v>
      </c>
      <c r="EI71" s="18">
        <f t="shared" si="204"/>
        <v>0</v>
      </c>
      <c r="EJ71" s="18">
        <f t="shared" si="204"/>
        <v>0</v>
      </c>
      <c r="EK71" s="18">
        <f t="shared" si="204"/>
        <v>0</v>
      </c>
      <c r="EL71" s="18">
        <f t="shared" si="204"/>
        <v>0</v>
      </c>
      <c r="EM71" s="18">
        <f t="shared" si="204"/>
        <v>0</v>
      </c>
      <c r="EN71" s="18">
        <f t="shared" si="204"/>
        <v>0</v>
      </c>
      <c r="EO71" s="18">
        <f t="shared" si="204"/>
        <v>0</v>
      </c>
      <c r="EP71" s="18">
        <f t="shared" si="204"/>
        <v>0</v>
      </c>
      <c r="EQ71" s="18">
        <f t="shared" si="204"/>
        <v>0</v>
      </c>
      <c r="ER71" s="18">
        <f t="shared" si="204"/>
        <v>0</v>
      </c>
      <c r="ES71" s="18">
        <f t="shared" si="204"/>
        <v>0</v>
      </c>
      <c r="ET71" s="18">
        <f t="shared" si="204"/>
        <v>0</v>
      </c>
      <c r="EU71" s="18">
        <f t="shared" si="204"/>
        <v>0</v>
      </c>
      <c r="EV71" s="18">
        <f t="shared" si="204"/>
        <v>0</v>
      </c>
      <c r="EW71" s="18">
        <f t="shared" si="204"/>
        <v>0</v>
      </c>
      <c r="EX71" s="18">
        <f t="shared" si="204"/>
        <v>0</v>
      </c>
      <c r="EY71" s="18">
        <f t="shared" si="204"/>
        <v>0</v>
      </c>
      <c r="EZ71" s="18">
        <f t="shared" si="204"/>
        <v>0</v>
      </c>
      <c r="FA71" s="18">
        <f t="shared" si="204"/>
        <v>0</v>
      </c>
      <c r="FB71" s="18">
        <f t="shared" si="204"/>
        <v>0</v>
      </c>
      <c r="FC71" s="18">
        <f t="shared" si="204"/>
        <v>0</v>
      </c>
      <c r="FD71" s="18">
        <f t="shared" si="204"/>
        <v>0</v>
      </c>
      <c r="FE71" s="18">
        <f t="shared" si="204"/>
        <v>0</v>
      </c>
      <c r="FF71" s="18">
        <f t="shared" si="204"/>
        <v>0</v>
      </c>
      <c r="FG71" s="18">
        <f t="shared" si="204"/>
        <v>0</v>
      </c>
      <c r="FH71" s="18">
        <f t="shared" si="204"/>
        <v>0</v>
      </c>
      <c r="FI71" s="18">
        <f t="shared" ref="FI71:GO71" si="205">SUM(FI60:FI70)</f>
        <v>0</v>
      </c>
      <c r="FJ71" s="349">
        <f t="shared" si="205"/>
        <v>0</v>
      </c>
      <c r="FK71" s="74">
        <f t="shared" si="205"/>
        <v>0</v>
      </c>
      <c r="FL71" s="18">
        <f t="shared" si="205"/>
        <v>0</v>
      </c>
      <c r="FM71" s="18">
        <f t="shared" si="205"/>
        <v>0</v>
      </c>
      <c r="FN71" s="18">
        <f t="shared" si="205"/>
        <v>0</v>
      </c>
      <c r="FO71" s="18">
        <f t="shared" si="205"/>
        <v>0</v>
      </c>
      <c r="FP71" s="18">
        <f t="shared" si="205"/>
        <v>0</v>
      </c>
      <c r="FQ71" s="18">
        <f t="shared" si="205"/>
        <v>0</v>
      </c>
      <c r="FR71" s="18">
        <f t="shared" si="205"/>
        <v>0</v>
      </c>
      <c r="FS71" s="18">
        <f t="shared" si="205"/>
        <v>0</v>
      </c>
      <c r="FT71" s="18">
        <f t="shared" si="205"/>
        <v>0</v>
      </c>
      <c r="FU71" s="18">
        <f t="shared" si="205"/>
        <v>0</v>
      </c>
      <c r="FV71" s="18">
        <f t="shared" si="205"/>
        <v>0</v>
      </c>
      <c r="FW71" s="18">
        <f t="shared" si="205"/>
        <v>0</v>
      </c>
      <c r="FX71" s="18">
        <f t="shared" si="205"/>
        <v>0</v>
      </c>
      <c r="FY71" s="18">
        <f t="shared" si="205"/>
        <v>0</v>
      </c>
      <c r="FZ71" s="18">
        <f t="shared" si="205"/>
        <v>0</v>
      </c>
      <c r="GA71" s="18">
        <f t="shared" si="205"/>
        <v>0</v>
      </c>
      <c r="GB71" s="18">
        <f t="shared" si="205"/>
        <v>0</v>
      </c>
      <c r="GC71" s="18">
        <f t="shared" si="205"/>
        <v>0</v>
      </c>
      <c r="GD71" s="18">
        <f t="shared" si="205"/>
        <v>0</v>
      </c>
      <c r="GE71" s="18">
        <f t="shared" si="205"/>
        <v>0</v>
      </c>
      <c r="GF71" s="18">
        <f t="shared" si="205"/>
        <v>0</v>
      </c>
      <c r="GG71" s="18">
        <f t="shared" si="205"/>
        <v>0</v>
      </c>
      <c r="GH71" s="18">
        <f t="shared" si="205"/>
        <v>0</v>
      </c>
      <c r="GI71" s="18">
        <f t="shared" si="205"/>
        <v>0</v>
      </c>
      <c r="GJ71" s="18">
        <f t="shared" si="205"/>
        <v>0</v>
      </c>
      <c r="GK71" s="18">
        <f t="shared" si="205"/>
        <v>0</v>
      </c>
      <c r="GL71" s="18">
        <f t="shared" si="205"/>
        <v>0</v>
      </c>
      <c r="GM71" s="18">
        <f t="shared" si="205"/>
        <v>0</v>
      </c>
      <c r="GN71" s="18">
        <f t="shared" si="205"/>
        <v>0</v>
      </c>
      <c r="GO71" s="349">
        <f t="shared" si="205"/>
        <v>0</v>
      </c>
      <c r="GP71" s="74">
        <f t="shared" ref="GP71:HA71" si="206">SUM(GP60:GP70)</f>
        <v>0</v>
      </c>
      <c r="GQ71" s="18">
        <f t="shared" si="206"/>
        <v>0</v>
      </c>
      <c r="GR71" s="18">
        <f t="shared" si="206"/>
        <v>0</v>
      </c>
      <c r="GS71" s="18">
        <f t="shared" si="206"/>
        <v>0</v>
      </c>
      <c r="GT71" s="18">
        <f t="shared" si="206"/>
        <v>0</v>
      </c>
      <c r="GU71" s="18">
        <f t="shared" si="206"/>
        <v>0</v>
      </c>
      <c r="GV71" s="18">
        <f t="shared" si="206"/>
        <v>0</v>
      </c>
      <c r="GW71" s="18">
        <f t="shared" si="206"/>
        <v>0</v>
      </c>
      <c r="GX71" s="18">
        <f t="shared" si="206"/>
        <v>0</v>
      </c>
      <c r="GY71" s="18">
        <f t="shared" si="206"/>
        <v>0</v>
      </c>
      <c r="GZ71" s="18">
        <f t="shared" si="206"/>
        <v>0</v>
      </c>
      <c r="HA71" s="18">
        <f t="shared" si="206"/>
        <v>1</v>
      </c>
      <c r="HB71" s="18">
        <f t="shared" ref="HB71:HD71" si="207">SUM(HB60:HB70)</f>
        <v>0</v>
      </c>
      <c r="HC71" s="18">
        <f t="shared" si="207"/>
        <v>0</v>
      </c>
      <c r="HD71" s="18">
        <f t="shared" si="207"/>
        <v>0</v>
      </c>
      <c r="HE71" s="18">
        <f t="shared" ref="HE71:HF71" si="208">SUM(HE60:HE70)</f>
        <v>0</v>
      </c>
      <c r="HF71" s="18">
        <f t="shared" si="208"/>
        <v>0</v>
      </c>
      <c r="HG71" s="18">
        <f t="shared" ref="HG71:HH71" si="209">SUM(HG60:HG70)</f>
        <v>0</v>
      </c>
      <c r="HH71" s="18">
        <f t="shared" si="209"/>
        <v>0</v>
      </c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75"/>
      <c r="HU71" s="422">
        <f>SUM(HU60:HU70)</f>
        <v>1</v>
      </c>
    </row>
    <row r="72" spans="1:229" ht="17.25" thickBot="1" x14ac:dyDescent="0.3">
      <c r="A72" s="497" t="s">
        <v>29</v>
      </c>
      <c r="B72" s="498"/>
      <c r="C72" s="498"/>
      <c r="D72" s="80" t="s">
        <v>30</v>
      </c>
      <c r="E72" s="76">
        <v>0</v>
      </c>
      <c r="F72" s="42">
        <v>0</v>
      </c>
      <c r="G72" s="42">
        <v>0</v>
      </c>
      <c r="H72" s="42">
        <v>5</v>
      </c>
      <c r="I72" s="42">
        <v>8</v>
      </c>
      <c r="J72" s="42">
        <v>4</v>
      </c>
      <c r="K72" s="42">
        <v>0</v>
      </c>
      <c r="L72" s="77">
        <v>8</v>
      </c>
      <c r="M72" s="111">
        <f>SUM(E72:L72)</f>
        <v>25</v>
      </c>
      <c r="N72" s="133"/>
      <c r="O72" s="76">
        <v>6</v>
      </c>
      <c r="P72" s="42">
        <v>4</v>
      </c>
      <c r="Q72" s="42">
        <v>0</v>
      </c>
      <c r="R72" s="42">
        <v>2</v>
      </c>
      <c r="S72" s="42">
        <v>2</v>
      </c>
      <c r="T72" s="42">
        <v>0</v>
      </c>
      <c r="U72" s="42">
        <v>0</v>
      </c>
      <c r="V72" s="42">
        <v>0</v>
      </c>
      <c r="W72" s="42">
        <v>2</v>
      </c>
      <c r="X72" s="42">
        <v>0</v>
      </c>
      <c r="Y72" s="42">
        <v>10</v>
      </c>
      <c r="Z72" s="42">
        <v>12</v>
      </c>
      <c r="AA72" s="42">
        <v>0</v>
      </c>
      <c r="AB72" s="42">
        <v>11</v>
      </c>
      <c r="AC72" s="42">
        <v>10</v>
      </c>
      <c r="AD72" s="42">
        <v>0</v>
      </c>
      <c r="AE72" s="42">
        <v>4</v>
      </c>
      <c r="AF72" s="42">
        <v>11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158">
        <v>0</v>
      </c>
      <c r="AQ72" s="166"/>
      <c r="AR72" s="42">
        <v>0</v>
      </c>
      <c r="AS72" s="42">
        <v>0</v>
      </c>
      <c r="AT72" s="42">
        <v>0</v>
      </c>
      <c r="AU72" s="42">
        <v>4</v>
      </c>
      <c r="AV72" s="42">
        <v>2</v>
      </c>
      <c r="AW72" s="42">
        <v>0</v>
      </c>
      <c r="AX72" s="42">
        <v>2</v>
      </c>
      <c r="AY72" s="42">
        <v>0</v>
      </c>
      <c r="AZ72" s="42">
        <v>8</v>
      </c>
      <c r="BA72" s="42">
        <v>12</v>
      </c>
      <c r="BB72" s="42">
        <v>6</v>
      </c>
      <c r="BC72" s="42">
        <v>4</v>
      </c>
      <c r="BD72" s="42">
        <v>0</v>
      </c>
      <c r="BE72" s="42">
        <v>4</v>
      </c>
      <c r="BF72" s="42">
        <v>0</v>
      </c>
      <c r="BG72" s="42">
        <v>4</v>
      </c>
      <c r="BH72" s="42">
        <v>4</v>
      </c>
      <c r="BI72" s="42">
        <v>0</v>
      </c>
      <c r="BJ72" s="42">
        <v>0</v>
      </c>
      <c r="BK72" s="42">
        <v>0</v>
      </c>
      <c r="BL72" s="42">
        <v>0</v>
      </c>
      <c r="BM72" s="42">
        <v>0</v>
      </c>
      <c r="BN72" s="42">
        <v>0</v>
      </c>
      <c r="BO72" s="42">
        <v>15</v>
      </c>
      <c r="BP72" s="42">
        <v>6</v>
      </c>
      <c r="BQ72" s="42">
        <v>6</v>
      </c>
      <c r="BR72" s="42">
        <v>0</v>
      </c>
      <c r="BS72" s="42">
        <v>10</v>
      </c>
      <c r="BT72" s="42">
        <v>0</v>
      </c>
      <c r="BU72" s="42">
        <v>0</v>
      </c>
      <c r="BV72" s="158">
        <v>2</v>
      </c>
      <c r="BW72" s="166"/>
      <c r="BX72" s="42">
        <v>14</v>
      </c>
      <c r="BY72" s="42">
        <v>8</v>
      </c>
      <c r="BZ72" s="42">
        <v>0</v>
      </c>
      <c r="CA72" s="42">
        <v>2</v>
      </c>
      <c r="CB72" s="42">
        <v>4</v>
      </c>
      <c r="CC72" s="42">
        <v>0</v>
      </c>
      <c r="CD72" s="42">
        <v>6</v>
      </c>
      <c r="CE72" s="42">
        <v>0</v>
      </c>
      <c r="CF72" s="42">
        <v>0</v>
      </c>
      <c r="CG72" s="42">
        <v>0</v>
      </c>
      <c r="CH72" s="42">
        <v>0</v>
      </c>
      <c r="CI72" s="42">
        <v>15</v>
      </c>
      <c r="CJ72" s="42">
        <v>4</v>
      </c>
      <c r="CK72" s="42">
        <v>0</v>
      </c>
      <c r="CL72" s="42">
        <v>4</v>
      </c>
      <c r="CM72" s="42">
        <v>0</v>
      </c>
      <c r="CN72" s="42">
        <v>0</v>
      </c>
      <c r="CO72" s="42">
        <v>18</v>
      </c>
      <c r="CP72" s="42">
        <v>6</v>
      </c>
      <c r="CQ72" s="42">
        <v>10</v>
      </c>
      <c r="CR72" s="42">
        <v>2</v>
      </c>
      <c r="CS72" s="42">
        <v>2</v>
      </c>
      <c r="CT72" s="42">
        <v>0</v>
      </c>
      <c r="CU72" s="42">
        <v>0</v>
      </c>
      <c r="CV72" s="42">
        <v>2</v>
      </c>
      <c r="CW72" s="42">
        <v>10</v>
      </c>
      <c r="CX72" s="42">
        <v>6</v>
      </c>
      <c r="CY72" s="42">
        <v>3</v>
      </c>
      <c r="CZ72" s="42">
        <v>3</v>
      </c>
      <c r="DA72" s="158">
        <v>24</v>
      </c>
      <c r="DB72" s="76">
        <v>0</v>
      </c>
      <c r="DC72" s="76">
        <v>4</v>
      </c>
      <c r="DD72" s="76">
        <v>14</v>
      </c>
      <c r="DE72" s="76">
        <v>0</v>
      </c>
      <c r="DF72" s="76">
        <v>2</v>
      </c>
      <c r="DG72" s="76">
        <v>20</v>
      </c>
      <c r="DH72" s="76">
        <v>12</v>
      </c>
      <c r="DI72" s="76">
        <v>0</v>
      </c>
      <c r="DJ72" s="76">
        <v>18</v>
      </c>
      <c r="DK72" s="76">
        <v>12</v>
      </c>
      <c r="DL72" s="76">
        <v>9</v>
      </c>
      <c r="DM72" s="76">
        <v>8</v>
      </c>
      <c r="DN72" s="76">
        <v>2</v>
      </c>
      <c r="DO72" s="76">
        <v>2</v>
      </c>
      <c r="DP72" s="76">
        <v>0</v>
      </c>
      <c r="DQ72" s="76">
        <v>0</v>
      </c>
      <c r="DR72" s="76">
        <v>2</v>
      </c>
      <c r="DS72" s="76">
        <v>0</v>
      </c>
      <c r="DT72" s="76">
        <v>0</v>
      </c>
      <c r="DU72" s="76">
        <v>5</v>
      </c>
      <c r="DV72" s="76">
        <v>0</v>
      </c>
      <c r="DW72" s="76">
        <v>0</v>
      </c>
      <c r="DX72" s="76">
        <v>0</v>
      </c>
      <c r="DY72" s="76">
        <v>0</v>
      </c>
      <c r="DZ72" s="76">
        <v>0</v>
      </c>
      <c r="EA72" s="76">
        <v>0</v>
      </c>
      <c r="EB72" s="76">
        <v>0</v>
      </c>
      <c r="EC72" s="76">
        <v>0</v>
      </c>
      <c r="ED72" s="76">
        <v>0</v>
      </c>
      <c r="EE72" s="76">
        <v>0</v>
      </c>
      <c r="EF72" s="175">
        <v>12</v>
      </c>
      <c r="EG72" s="244">
        <v>4</v>
      </c>
      <c r="EH72" s="244">
        <v>8</v>
      </c>
      <c r="EI72" s="244">
        <v>10</v>
      </c>
      <c r="EJ72" s="244">
        <v>8</v>
      </c>
      <c r="EK72" s="76">
        <v>0</v>
      </c>
      <c r="EL72" s="76">
        <v>6</v>
      </c>
      <c r="EM72" s="76">
        <v>6</v>
      </c>
      <c r="EN72" s="76">
        <v>14</v>
      </c>
      <c r="EO72" s="76">
        <v>2</v>
      </c>
      <c r="EP72" s="76">
        <v>0</v>
      </c>
      <c r="EQ72" s="76">
        <v>7</v>
      </c>
      <c r="ER72" s="76">
        <v>0</v>
      </c>
      <c r="ES72" s="76">
        <v>4</v>
      </c>
      <c r="ET72" s="76">
        <v>2</v>
      </c>
      <c r="EU72" s="76">
        <v>4</v>
      </c>
      <c r="EV72" s="76">
        <v>2</v>
      </c>
      <c r="EW72" s="76">
        <v>2</v>
      </c>
      <c r="EX72" s="76">
        <v>0</v>
      </c>
      <c r="EY72" s="76">
        <v>0</v>
      </c>
      <c r="EZ72" s="76">
        <v>4</v>
      </c>
      <c r="FA72" s="76">
        <v>0</v>
      </c>
      <c r="FB72" s="76">
        <v>0</v>
      </c>
      <c r="FC72" s="76">
        <v>0</v>
      </c>
      <c r="FD72" s="76">
        <v>10</v>
      </c>
      <c r="FE72" s="76">
        <v>6</v>
      </c>
      <c r="FF72" s="76">
        <v>0</v>
      </c>
      <c r="FG72" s="76">
        <v>10</v>
      </c>
      <c r="FH72" s="76">
        <v>2</v>
      </c>
      <c r="FI72" s="76">
        <v>5</v>
      </c>
      <c r="FJ72" s="175">
        <v>0</v>
      </c>
      <c r="FK72" s="76">
        <v>0</v>
      </c>
      <c r="FL72" s="76">
        <v>0</v>
      </c>
      <c r="FM72" s="76">
        <v>0</v>
      </c>
      <c r="FN72" s="76">
        <v>0</v>
      </c>
      <c r="FO72" s="76">
        <v>0</v>
      </c>
      <c r="FP72" s="76">
        <v>0</v>
      </c>
      <c r="FQ72" s="76">
        <v>0</v>
      </c>
      <c r="FR72" s="76">
        <v>0</v>
      </c>
      <c r="FS72" s="76">
        <v>0</v>
      </c>
      <c r="FT72" s="76">
        <v>0</v>
      </c>
      <c r="FU72" s="76">
        <v>0</v>
      </c>
      <c r="FV72" s="76">
        <v>0</v>
      </c>
      <c r="FW72" s="76">
        <v>0</v>
      </c>
      <c r="FX72" s="76">
        <v>0</v>
      </c>
      <c r="FY72" s="76">
        <v>0</v>
      </c>
      <c r="FZ72" s="76">
        <v>0</v>
      </c>
      <c r="GA72" s="76">
        <v>0</v>
      </c>
      <c r="GB72" s="76">
        <v>4</v>
      </c>
      <c r="GC72" s="76">
        <v>2</v>
      </c>
      <c r="GD72" s="76">
        <v>4</v>
      </c>
      <c r="GE72" s="76">
        <v>0</v>
      </c>
      <c r="GF72" s="76">
        <v>10</v>
      </c>
      <c r="GG72" s="76">
        <v>3</v>
      </c>
      <c r="GH72" s="76">
        <v>0</v>
      </c>
      <c r="GI72" s="76">
        <v>8</v>
      </c>
      <c r="GJ72" s="76">
        <v>6</v>
      </c>
      <c r="GK72" s="76">
        <v>0</v>
      </c>
      <c r="GL72" s="76">
        <v>0</v>
      </c>
      <c r="GM72" s="76">
        <v>10</v>
      </c>
      <c r="GN72" s="76">
        <v>4</v>
      </c>
      <c r="GO72" s="175">
        <v>0</v>
      </c>
      <c r="GP72" s="240">
        <v>0</v>
      </c>
      <c r="GQ72" s="240">
        <v>0</v>
      </c>
      <c r="GR72" s="240">
        <v>0</v>
      </c>
      <c r="GS72" s="240">
        <v>0</v>
      </c>
      <c r="GT72" s="240">
        <v>0</v>
      </c>
      <c r="GU72" s="240">
        <v>0</v>
      </c>
      <c r="GV72" s="240">
        <v>0</v>
      </c>
      <c r="GW72" s="240">
        <v>6</v>
      </c>
      <c r="GX72" s="240">
        <v>0</v>
      </c>
      <c r="GY72" s="240">
        <v>0</v>
      </c>
      <c r="GZ72" s="240">
        <v>0</v>
      </c>
      <c r="HA72" s="240">
        <v>8</v>
      </c>
      <c r="HB72" s="240">
        <v>0</v>
      </c>
      <c r="HC72" s="240">
        <v>0</v>
      </c>
      <c r="HD72" s="240">
        <v>8</v>
      </c>
      <c r="HE72" s="240">
        <v>0</v>
      </c>
      <c r="HF72" s="240">
        <v>0</v>
      </c>
      <c r="HG72" s="240">
        <v>0</v>
      </c>
      <c r="HH72" s="240">
        <v>0</v>
      </c>
      <c r="HI72" s="411"/>
      <c r="HJ72" s="411"/>
      <c r="HK72" s="411"/>
      <c r="HL72" s="411"/>
      <c r="HM72" s="411"/>
      <c r="HN72" s="411"/>
      <c r="HO72" s="411"/>
      <c r="HP72" s="411"/>
      <c r="HQ72" s="411"/>
      <c r="HR72" s="411"/>
      <c r="HS72" s="411"/>
      <c r="HT72" s="414"/>
      <c r="HU72" s="413">
        <f>SUM(O72:HT72)</f>
        <v>617</v>
      </c>
    </row>
    <row r="75" spans="1:229" x14ac:dyDescent="0.25">
      <c r="B75" s="495" t="s">
        <v>23</v>
      </c>
      <c r="C75" s="8" t="s">
        <v>79</v>
      </c>
      <c r="E75" s="194">
        <f t="shared" ref="E75:AJ75" si="210">E9+E10+E12+E13+E14</f>
        <v>0</v>
      </c>
      <c r="F75" s="194">
        <f t="shared" si="210"/>
        <v>0</v>
      </c>
      <c r="G75" s="194">
        <f t="shared" si="210"/>
        <v>0</v>
      </c>
      <c r="H75" s="194">
        <f t="shared" si="210"/>
        <v>0</v>
      </c>
      <c r="I75" s="194">
        <f t="shared" si="210"/>
        <v>0</v>
      </c>
      <c r="J75" s="194">
        <f t="shared" si="210"/>
        <v>0</v>
      </c>
      <c r="K75" s="194">
        <f t="shared" si="210"/>
        <v>0</v>
      </c>
      <c r="L75" s="194">
        <f t="shared" si="210"/>
        <v>0</v>
      </c>
      <c r="M75" s="194">
        <f t="shared" si="210"/>
        <v>0</v>
      </c>
      <c r="N75" s="194">
        <f t="shared" si="210"/>
        <v>0</v>
      </c>
      <c r="O75" s="292">
        <f t="shared" si="210"/>
        <v>0</v>
      </c>
      <c r="P75" s="292">
        <f t="shared" si="210"/>
        <v>0</v>
      </c>
      <c r="Q75" s="194">
        <f t="shared" si="210"/>
        <v>0</v>
      </c>
      <c r="R75" s="194">
        <f t="shared" si="210"/>
        <v>0</v>
      </c>
      <c r="S75" s="194">
        <f t="shared" si="210"/>
        <v>0</v>
      </c>
      <c r="T75" s="194">
        <f t="shared" si="210"/>
        <v>0</v>
      </c>
      <c r="U75" s="194">
        <f t="shared" si="210"/>
        <v>0</v>
      </c>
      <c r="V75" s="194">
        <f t="shared" si="210"/>
        <v>0</v>
      </c>
      <c r="W75" s="194">
        <f t="shared" si="210"/>
        <v>0</v>
      </c>
      <c r="X75" s="194">
        <f t="shared" si="210"/>
        <v>0</v>
      </c>
      <c r="Y75" s="194">
        <f t="shared" si="210"/>
        <v>0</v>
      </c>
      <c r="Z75" s="194">
        <f t="shared" si="210"/>
        <v>0</v>
      </c>
      <c r="AA75" s="194">
        <f t="shared" si="210"/>
        <v>0</v>
      </c>
      <c r="AB75" s="194">
        <f t="shared" si="210"/>
        <v>0</v>
      </c>
      <c r="AC75" s="194">
        <f t="shared" si="210"/>
        <v>0</v>
      </c>
      <c r="AD75" s="194">
        <f t="shared" si="210"/>
        <v>0</v>
      </c>
      <c r="AE75" s="194">
        <f t="shared" si="210"/>
        <v>0</v>
      </c>
      <c r="AF75" s="194">
        <f t="shared" si="210"/>
        <v>0</v>
      </c>
      <c r="AG75" s="194">
        <f t="shared" si="210"/>
        <v>0</v>
      </c>
      <c r="AH75" s="194">
        <f t="shared" si="210"/>
        <v>0</v>
      </c>
      <c r="AI75" s="194">
        <f t="shared" si="210"/>
        <v>0</v>
      </c>
      <c r="AJ75" s="194">
        <f t="shared" si="210"/>
        <v>0</v>
      </c>
      <c r="AK75" s="194">
        <f t="shared" ref="AK75:BP75" si="211">AK9+AK10+AK12+AK13+AK14</f>
        <v>0</v>
      </c>
      <c r="AL75" s="194">
        <f t="shared" si="211"/>
        <v>0</v>
      </c>
      <c r="AM75" s="194">
        <f t="shared" si="211"/>
        <v>0</v>
      </c>
      <c r="AN75" s="194">
        <f t="shared" si="211"/>
        <v>0</v>
      </c>
      <c r="AO75" s="194">
        <f t="shared" si="211"/>
        <v>0</v>
      </c>
      <c r="AP75" s="194">
        <f t="shared" si="211"/>
        <v>0</v>
      </c>
      <c r="AQ75" s="194">
        <f t="shared" si="211"/>
        <v>0</v>
      </c>
      <c r="AR75" s="194">
        <f t="shared" si="211"/>
        <v>0</v>
      </c>
      <c r="AS75" s="194">
        <f t="shared" si="211"/>
        <v>0</v>
      </c>
      <c r="AT75" s="194">
        <f t="shared" si="211"/>
        <v>0</v>
      </c>
      <c r="AU75" s="194">
        <f t="shared" si="211"/>
        <v>0</v>
      </c>
      <c r="AV75" s="194">
        <f t="shared" si="211"/>
        <v>0</v>
      </c>
      <c r="AW75" s="194">
        <f t="shared" si="211"/>
        <v>0</v>
      </c>
      <c r="AX75" s="194">
        <f t="shared" si="211"/>
        <v>0</v>
      </c>
      <c r="AY75" s="194">
        <f t="shared" si="211"/>
        <v>0</v>
      </c>
      <c r="AZ75" s="194">
        <f t="shared" si="211"/>
        <v>0</v>
      </c>
      <c r="BA75" s="194">
        <f t="shared" si="211"/>
        <v>0</v>
      </c>
      <c r="BB75" s="194">
        <f t="shared" si="211"/>
        <v>0</v>
      </c>
      <c r="BC75" s="194">
        <f t="shared" si="211"/>
        <v>0</v>
      </c>
      <c r="BD75" s="194">
        <f t="shared" si="211"/>
        <v>0</v>
      </c>
      <c r="BE75" s="194">
        <f t="shared" si="211"/>
        <v>0</v>
      </c>
      <c r="BF75" s="194">
        <f t="shared" si="211"/>
        <v>0</v>
      </c>
      <c r="BG75" s="194">
        <f t="shared" si="211"/>
        <v>0</v>
      </c>
      <c r="BH75" s="194">
        <f t="shared" si="211"/>
        <v>0</v>
      </c>
      <c r="BI75" s="194">
        <f t="shared" si="211"/>
        <v>0</v>
      </c>
      <c r="BJ75" s="194">
        <f t="shared" si="211"/>
        <v>0</v>
      </c>
      <c r="BK75" s="194">
        <f t="shared" si="211"/>
        <v>0</v>
      </c>
      <c r="BL75" s="194">
        <f t="shared" si="211"/>
        <v>0</v>
      </c>
      <c r="BM75" s="194">
        <f t="shared" si="211"/>
        <v>0</v>
      </c>
      <c r="BN75" s="194">
        <f t="shared" si="211"/>
        <v>0</v>
      </c>
      <c r="BO75" s="194">
        <f t="shared" si="211"/>
        <v>3</v>
      </c>
      <c r="BP75" s="194">
        <f t="shared" si="211"/>
        <v>0</v>
      </c>
      <c r="BQ75" s="194">
        <f t="shared" ref="BQ75:BV75" si="212">BQ9+BQ10+BQ12+BQ13+BQ14</f>
        <v>0</v>
      </c>
      <c r="BR75" s="194">
        <f t="shared" si="212"/>
        <v>0</v>
      </c>
      <c r="BS75" s="194">
        <f t="shared" si="212"/>
        <v>0</v>
      </c>
      <c r="BT75" s="194">
        <f t="shared" si="212"/>
        <v>0</v>
      </c>
      <c r="BU75" s="194">
        <f t="shared" si="212"/>
        <v>0</v>
      </c>
      <c r="BV75" s="194">
        <f t="shared" si="212"/>
        <v>0</v>
      </c>
      <c r="BW75" s="194"/>
      <c r="BX75" s="194">
        <f t="shared" ref="BX75:DC75" si="213">BX9+BX10+BX12+BX13+BX14</f>
        <v>2</v>
      </c>
      <c r="BY75" s="194">
        <f t="shared" si="213"/>
        <v>0</v>
      </c>
      <c r="BZ75" s="194">
        <f t="shared" si="213"/>
        <v>0</v>
      </c>
      <c r="CA75" s="194">
        <f t="shared" si="213"/>
        <v>0</v>
      </c>
      <c r="CB75" s="194">
        <f t="shared" si="213"/>
        <v>0</v>
      </c>
      <c r="CC75" s="194">
        <f t="shared" si="213"/>
        <v>0</v>
      </c>
      <c r="CD75" s="194">
        <f t="shared" si="213"/>
        <v>0</v>
      </c>
      <c r="CE75" s="194">
        <f t="shared" si="213"/>
        <v>0</v>
      </c>
      <c r="CF75" s="194">
        <f t="shared" si="213"/>
        <v>0</v>
      </c>
      <c r="CG75" s="194">
        <f t="shared" si="213"/>
        <v>0</v>
      </c>
      <c r="CH75" s="194">
        <f t="shared" si="213"/>
        <v>0</v>
      </c>
      <c r="CI75" s="194">
        <f t="shared" si="213"/>
        <v>0</v>
      </c>
      <c r="CJ75" s="194">
        <f t="shared" si="213"/>
        <v>0</v>
      </c>
      <c r="CK75" s="194">
        <f t="shared" si="213"/>
        <v>0</v>
      </c>
      <c r="CL75" s="194">
        <f t="shared" si="213"/>
        <v>0</v>
      </c>
      <c r="CM75" s="194">
        <f t="shared" si="213"/>
        <v>0</v>
      </c>
      <c r="CN75" s="194">
        <f t="shared" si="213"/>
        <v>0</v>
      </c>
      <c r="CO75" s="194">
        <f t="shared" si="213"/>
        <v>0</v>
      </c>
      <c r="CP75" s="194">
        <f t="shared" si="213"/>
        <v>0</v>
      </c>
      <c r="CQ75" s="194">
        <f t="shared" si="213"/>
        <v>0</v>
      </c>
      <c r="CR75" s="194">
        <f t="shared" si="213"/>
        <v>0</v>
      </c>
      <c r="CS75" s="194">
        <f t="shared" si="213"/>
        <v>0</v>
      </c>
      <c r="CT75" s="194">
        <f t="shared" si="213"/>
        <v>0</v>
      </c>
      <c r="CU75" s="194">
        <f t="shared" si="213"/>
        <v>0</v>
      </c>
      <c r="CV75" s="194">
        <f t="shared" si="213"/>
        <v>0</v>
      </c>
      <c r="CW75" s="194">
        <f t="shared" si="213"/>
        <v>0</v>
      </c>
      <c r="CX75" s="194">
        <f t="shared" si="213"/>
        <v>0</v>
      </c>
      <c r="CY75" s="194">
        <f t="shared" si="213"/>
        <v>0</v>
      </c>
      <c r="CZ75" s="194">
        <f t="shared" si="213"/>
        <v>0</v>
      </c>
      <c r="DA75" s="194">
        <f t="shared" si="213"/>
        <v>5</v>
      </c>
      <c r="DB75" s="194">
        <f t="shared" si="213"/>
        <v>0</v>
      </c>
      <c r="DC75" s="194">
        <f t="shared" si="213"/>
        <v>0</v>
      </c>
      <c r="DD75" s="194">
        <f t="shared" ref="DD75:EI75" si="214">DD9+DD10+DD12+DD13+DD14</f>
        <v>0</v>
      </c>
      <c r="DE75" s="194">
        <f t="shared" si="214"/>
        <v>0</v>
      </c>
      <c r="DF75" s="194">
        <f t="shared" si="214"/>
        <v>0</v>
      </c>
      <c r="DG75" s="194">
        <f t="shared" si="214"/>
        <v>0</v>
      </c>
      <c r="DH75" s="194">
        <f t="shared" si="214"/>
        <v>0</v>
      </c>
      <c r="DI75" s="194">
        <f t="shared" si="214"/>
        <v>0</v>
      </c>
      <c r="DJ75" s="194">
        <f t="shared" si="214"/>
        <v>0</v>
      </c>
      <c r="DK75" s="194">
        <f t="shared" si="214"/>
        <v>0</v>
      </c>
      <c r="DL75" s="194">
        <f t="shared" si="214"/>
        <v>0</v>
      </c>
      <c r="DM75" s="194">
        <f t="shared" si="214"/>
        <v>0</v>
      </c>
      <c r="DN75" s="194">
        <f t="shared" si="214"/>
        <v>0</v>
      </c>
      <c r="DO75" s="194">
        <f t="shared" si="214"/>
        <v>0</v>
      </c>
      <c r="DP75" s="194">
        <f t="shared" si="214"/>
        <v>0</v>
      </c>
      <c r="DQ75" s="194">
        <f t="shared" si="214"/>
        <v>0</v>
      </c>
      <c r="DR75" s="194">
        <f t="shared" si="214"/>
        <v>0</v>
      </c>
      <c r="DS75" s="194">
        <f t="shared" si="214"/>
        <v>0</v>
      </c>
      <c r="DT75" s="194">
        <f t="shared" si="214"/>
        <v>0</v>
      </c>
      <c r="DU75" s="194">
        <f t="shared" si="214"/>
        <v>0</v>
      </c>
      <c r="DV75" s="194">
        <f t="shared" si="214"/>
        <v>0</v>
      </c>
      <c r="DW75" s="194">
        <f t="shared" si="214"/>
        <v>0</v>
      </c>
      <c r="DX75" s="194">
        <f t="shared" si="214"/>
        <v>0</v>
      </c>
      <c r="DY75" s="194">
        <f t="shared" si="214"/>
        <v>0</v>
      </c>
      <c r="DZ75" s="194">
        <f t="shared" si="214"/>
        <v>0</v>
      </c>
      <c r="EA75" s="194">
        <f t="shared" si="214"/>
        <v>0</v>
      </c>
      <c r="EB75" s="194">
        <f t="shared" si="214"/>
        <v>0</v>
      </c>
      <c r="EC75" s="194">
        <f t="shared" si="214"/>
        <v>0</v>
      </c>
      <c r="ED75" s="194">
        <f t="shared" si="214"/>
        <v>0</v>
      </c>
      <c r="EE75" s="194">
        <f t="shared" si="214"/>
        <v>0</v>
      </c>
      <c r="EF75" s="194">
        <f t="shared" si="214"/>
        <v>0</v>
      </c>
      <c r="EG75" s="194">
        <f t="shared" si="214"/>
        <v>0</v>
      </c>
      <c r="EH75" s="194">
        <f t="shared" si="214"/>
        <v>0</v>
      </c>
      <c r="EI75" s="194">
        <f t="shared" si="214"/>
        <v>0</v>
      </c>
      <c r="EJ75" s="194">
        <f t="shared" ref="EJ75:EZ75" si="215">EJ9+EJ10+EJ12+EJ13+EJ14</f>
        <v>0</v>
      </c>
      <c r="EK75" s="194">
        <f t="shared" si="215"/>
        <v>0</v>
      </c>
      <c r="EL75" s="194">
        <f t="shared" si="215"/>
        <v>0</v>
      </c>
      <c r="EM75" s="194">
        <f t="shared" si="215"/>
        <v>0</v>
      </c>
      <c r="EN75" s="194">
        <f t="shared" si="215"/>
        <v>0</v>
      </c>
      <c r="EO75" s="194">
        <f t="shared" si="215"/>
        <v>0</v>
      </c>
      <c r="EP75" s="194">
        <f t="shared" si="215"/>
        <v>0</v>
      </c>
      <c r="EQ75" s="194">
        <f t="shared" si="215"/>
        <v>0</v>
      </c>
      <c r="ER75" s="194">
        <f t="shared" si="215"/>
        <v>0</v>
      </c>
      <c r="ES75" s="194">
        <f t="shared" si="215"/>
        <v>0</v>
      </c>
      <c r="ET75" s="194">
        <f t="shared" si="215"/>
        <v>0</v>
      </c>
      <c r="EU75" s="194">
        <f t="shared" si="215"/>
        <v>0</v>
      </c>
      <c r="EV75" s="194">
        <f t="shared" si="215"/>
        <v>0</v>
      </c>
      <c r="EW75" s="194">
        <f t="shared" si="215"/>
        <v>0</v>
      </c>
      <c r="EX75" s="194">
        <f t="shared" si="215"/>
        <v>0</v>
      </c>
      <c r="EY75" s="194">
        <f t="shared" si="215"/>
        <v>0</v>
      </c>
      <c r="EZ75" s="194">
        <f t="shared" si="215"/>
        <v>0</v>
      </c>
      <c r="FA75" s="194">
        <f t="shared" ref="FA75:FJ75" si="216">FA9+FA10+FA12+FA13+FA14</f>
        <v>0</v>
      </c>
      <c r="FB75" s="194">
        <f t="shared" si="216"/>
        <v>0</v>
      </c>
      <c r="FC75" s="194">
        <f t="shared" si="216"/>
        <v>0</v>
      </c>
      <c r="FD75" s="194">
        <f t="shared" si="216"/>
        <v>0</v>
      </c>
      <c r="FE75" s="194">
        <f t="shared" si="216"/>
        <v>0</v>
      </c>
      <c r="FF75" s="194">
        <f t="shared" si="216"/>
        <v>0</v>
      </c>
      <c r="FG75" s="194">
        <f t="shared" si="216"/>
        <v>0</v>
      </c>
      <c r="FH75" s="194">
        <f t="shared" si="216"/>
        <v>0</v>
      </c>
      <c r="FI75" s="194">
        <f t="shared" si="216"/>
        <v>0</v>
      </c>
      <c r="FJ75" s="194">
        <f t="shared" si="216"/>
        <v>0</v>
      </c>
      <c r="FK75" s="194">
        <f t="shared" ref="FK75:FY75" si="217">FK9+FK10+FK12+FK13+FK14</f>
        <v>0</v>
      </c>
      <c r="FL75" s="194">
        <f t="shared" si="217"/>
        <v>0</v>
      </c>
      <c r="FM75" s="194">
        <f t="shared" si="217"/>
        <v>0</v>
      </c>
      <c r="FN75" s="194">
        <f t="shared" si="217"/>
        <v>0</v>
      </c>
      <c r="FO75" s="194">
        <f t="shared" si="217"/>
        <v>0</v>
      </c>
      <c r="FP75" s="194">
        <f t="shared" si="217"/>
        <v>0</v>
      </c>
      <c r="FQ75" s="194">
        <f t="shared" si="217"/>
        <v>0</v>
      </c>
      <c r="FR75" s="194">
        <f t="shared" si="217"/>
        <v>0</v>
      </c>
      <c r="FS75" s="194">
        <f t="shared" si="217"/>
        <v>0</v>
      </c>
      <c r="FT75" s="194">
        <f t="shared" si="217"/>
        <v>0</v>
      </c>
      <c r="FU75" s="194">
        <f t="shared" si="217"/>
        <v>0</v>
      </c>
      <c r="FV75" s="194">
        <f t="shared" si="217"/>
        <v>0</v>
      </c>
      <c r="FW75" s="194">
        <f t="shared" si="217"/>
        <v>0</v>
      </c>
      <c r="FX75" s="194">
        <f t="shared" si="217"/>
        <v>0</v>
      </c>
      <c r="FY75" s="194">
        <f t="shared" si="217"/>
        <v>0</v>
      </c>
      <c r="FZ75" s="194">
        <f t="shared" ref="FZ75:GO75" si="218">FZ9+FZ10+FZ12+FZ13+FZ14</f>
        <v>0</v>
      </c>
      <c r="GA75" s="194">
        <f t="shared" si="218"/>
        <v>0</v>
      </c>
      <c r="GB75" s="194">
        <f t="shared" si="218"/>
        <v>0</v>
      </c>
      <c r="GC75" s="194">
        <f t="shared" si="218"/>
        <v>0</v>
      </c>
      <c r="GD75" s="194">
        <f t="shared" si="218"/>
        <v>0</v>
      </c>
      <c r="GE75" s="194">
        <f t="shared" si="218"/>
        <v>0</v>
      </c>
      <c r="GF75" s="194">
        <f t="shared" si="218"/>
        <v>0</v>
      </c>
      <c r="GG75" s="194">
        <f t="shared" si="218"/>
        <v>0</v>
      </c>
      <c r="GH75" s="194">
        <f t="shared" si="218"/>
        <v>0</v>
      </c>
      <c r="GI75" s="194">
        <f t="shared" si="218"/>
        <v>0</v>
      </c>
      <c r="GJ75" s="194">
        <f t="shared" si="218"/>
        <v>0</v>
      </c>
      <c r="GK75" s="194">
        <f t="shared" si="218"/>
        <v>0</v>
      </c>
      <c r="GL75" s="194">
        <f t="shared" si="218"/>
        <v>0</v>
      </c>
      <c r="GM75" s="194">
        <f t="shared" si="218"/>
        <v>0</v>
      </c>
      <c r="GN75" s="194">
        <f t="shared" si="218"/>
        <v>0</v>
      </c>
      <c r="GO75" s="194">
        <f t="shared" si="218"/>
        <v>0</v>
      </c>
      <c r="GP75" s="194">
        <f t="shared" ref="GP75:HT75" si="219">GP9+GP10+GP12+GP13+GP14</f>
        <v>0</v>
      </c>
      <c r="GQ75" s="194">
        <f t="shared" si="219"/>
        <v>0</v>
      </c>
      <c r="GR75" s="194">
        <f t="shared" si="219"/>
        <v>0</v>
      </c>
      <c r="GS75" s="194">
        <f t="shared" si="219"/>
        <v>0</v>
      </c>
      <c r="GT75" s="194">
        <f t="shared" si="219"/>
        <v>0</v>
      </c>
      <c r="GU75" s="194">
        <f t="shared" si="219"/>
        <v>0</v>
      </c>
      <c r="GV75" s="194">
        <f t="shared" si="219"/>
        <v>0</v>
      </c>
      <c r="GW75" s="194">
        <f t="shared" si="219"/>
        <v>0</v>
      </c>
      <c r="GX75" s="194">
        <f t="shared" si="219"/>
        <v>0</v>
      </c>
      <c r="GY75" s="194">
        <f t="shared" si="219"/>
        <v>0</v>
      </c>
      <c r="GZ75" s="194">
        <f t="shared" si="219"/>
        <v>0</v>
      </c>
      <c r="HA75" s="194">
        <f t="shared" si="219"/>
        <v>0</v>
      </c>
      <c r="HB75" s="194">
        <f t="shared" si="219"/>
        <v>0</v>
      </c>
      <c r="HC75" s="194">
        <f t="shared" si="219"/>
        <v>0</v>
      </c>
      <c r="HD75" s="194">
        <f t="shared" si="219"/>
        <v>0</v>
      </c>
      <c r="HE75" s="194">
        <f t="shared" si="219"/>
        <v>0</v>
      </c>
      <c r="HF75" s="194">
        <f t="shared" si="219"/>
        <v>0</v>
      </c>
      <c r="HG75" s="194">
        <f t="shared" si="219"/>
        <v>0</v>
      </c>
      <c r="HH75" s="194">
        <f t="shared" si="219"/>
        <v>0</v>
      </c>
      <c r="HI75" s="194">
        <f t="shared" si="219"/>
        <v>0</v>
      </c>
      <c r="HJ75" s="194">
        <f t="shared" si="219"/>
        <v>0</v>
      </c>
      <c r="HK75" s="194">
        <f t="shared" si="219"/>
        <v>0</v>
      </c>
      <c r="HL75" s="194">
        <f t="shared" si="219"/>
        <v>0</v>
      </c>
      <c r="HM75" s="194">
        <f t="shared" si="219"/>
        <v>0</v>
      </c>
      <c r="HN75" s="194">
        <f t="shared" si="219"/>
        <v>0</v>
      </c>
      <c r="HO75" s="194">
        <f t="shared" si="219"/>
        <v>0</v>
      </c>
      <c r="HP75" s="194">
        <f t="shared" si="219"/>
        <v>0</v>
      </c>
      <c r="HQ75" s="194">
        <f t="shared" si="219"/>
        <v>0</v>
      </c>
      <c r="HR75" s="194">
        <f t="shared" si="219"/>
        <v>0</v>
      </c>
      <c r="HS75" s="194">
        <f t="shared" si="219"/>
        <v>0</v>
      </c>
      <c r="HT75" s="194">
        <f t="shared" si="219"/>
        <v>0</v>
      </c>
    </row>
    <row r="76" spans="1:229" x14ac:dyDescent="0.25">
      <c r="B76" s="495"/>
      <c r="C76" s="8" t="s">
        <v>80</v>
      </c>
      <c r="E76" s="194">
        <f t="shared" ref="E76:AJ76" si="220">E8/2+E11+E16+E17</f>
        <v>0</v>
      </c>
      <c r="F76" s="194">
        <f t="shared" si="220"/>
        <v>0</v>
      </c>
      <c r="G76" s="194">
        <f t="shared" si="220"/>
        <v>0</v>
      </c>
      <c r="H76" s="194">
        <f t="shared" si="220"/>
        <v>0</v>
      </c>
      <c r="I76" s="194">
        <f t="shared" si="220"/>
        <v>0</v>
      </c>
      <c r="J76" s="194">
        <f t="shared" si="220"/>
        <v>1</v>
      </c>
      <c r="K76" s="194">
        <f t="shared" si="220"/>
        <v>0</v>
      </c>
      <c r="L76" s="194">
        <f t="shared" si="220"/>
        <v>0</v>
      </c>
      <c r="M76" s="194">
        <f t="shared" si="220"/>
        <v>1</v>
      </c>
      <c r="N76" s="194">
        <f t="shared" si="220"/>
        <v>0</v>
      </c>
      <c r="O76" s="292">
        <f t="shared" si="220"/>
        <v>1</v>
      </c>
      <c r="P76" s="292">
        <f t="shared" si="220"/>
        <v>0</v>
      </c>
      <c r="Q76" s="194">
        <f t="shared" si="220"/>
        <v>0</v>
      </c>
      <c r="R76" s="194">
        <f t="shared" si="220"/>
        <v>0</v>
      </c>
      <c r="S76" s="194">
        <f t="shared" si="220"/>
        <v>0</v>
      </c>
      <c r="T76" s="194">
        <f t="shared" si="220"/>
        <v>0</v>
      </c>
      <c r="U76" s="194">
        <f t="shared" si="220"/>
        <v>0</v>
      </c>
      <c r="V76" s="194">
        <f t="shared" si="220"/>
        <v>0</v>
      </c>
      <c r="W76" s="194">
        <f t="shared" si="220"/>
        <v>0.5</v>
      </c>
      <c r="X76" s="194">
        <f t="shared" si="220"/>
        <v>0</v>
      </c>
      <c r="Y76" s="194">
        <f t="shared" si="220"/>
        <v>0</v>
      </c>
      <c r="Z76" s="194">
        <f t="shared" si="220"/>
        <v>2</v>
      </c>
      <c r="AA76" s="194">
        <f t="shared" si="220"/>
        <v>0</v>
      </c>
      <c r="AB76" s="194">
        <f t="shared" si="220"/>
        <v>0.5</v>
      </c>
      <c r="AC76" s="194">
        <f t="shared" si="220"/>
        <v>0</v>
      </c>
      <c r="AD76" s="194">
        <f t="shared" si="220"/>
        <v>0</v>
      </c>
      <c r="AE76" s="194">
        <f t="shared" si="220"/>
        <v>0.5</v>
      </c>
      <c r="AF76" s="194">
        <f t="shared" si="220"/>
        <v>0</v>
      </c>
      <c r="AG76" s="194">
        <f t="shared" si="220"/>
        <v>0</v>
      </c>
      <c r="AH76" s="194">
        <f t="shared" si="220"/>
        <v>0</v>
      </c>
      <c r="AI76" s="194">
        <f t="shared" si="220"/>
        <v>0</v>
      </c>
      <c r="AJ76" s="194">
        <f t="shared" si="220"/>
        <v>0</v>
      </c>
      <c r="AK76" s="194">
        <f t="shared" ref="AK76:BP76" si="221">AK8/2+AK11+AK16+AK17</f>
        <v>0</v>
      </c>
      <c r="AL76" s="194">
        <f t="shared" si="221"/>
        <v>0</v>
      </c>
      <c r="AM76" s="194">
        <f t="shared" si="221"/>
        <v>0</v>
      </c>
      <c r="AN76" s="194">
        <f t="shared" si="221"/>
        <v>0</v>
      </c>
      <c r="AO76" s="194">
        <f t="shared" si="221"/>
        <v>0</v>
      </c>
      <c r="AP76" s="194">
        <f t="shared" si="221"/>
        <v>0</v>
      </c>
      <c r="AQ76" s="194">
        <f t="shared" si="221"/>
        <v>0</v>
      </c>
      <c r="AR76" s="194">
        <f t="shared" si="221"/>
        <v>0</v>
      </c>
      <c r="AS76" s="194">
        <f t="shared" si="221"/>
        <v>0</v>
      </c>
      <c r="AT76" s="194">
        <f t="shared" si="221"/>
        <v>0</v>
      </c>
      <c r="AU76" s="194">
        <f t="shared" si="221"/>
        <v>0</v>
      </c>
      <c r="AV76" s="194">
        <f t="shared" si="221"/>
        <v>0.5</v>
      </c>
      <c r="AW76" s="194">
        <f t="shared" si="221"/>
        <v>0</v>
      </c>
      <c r="AX76" s="194">
        <f t="shared" si="221"/>
        <v>0</v>
      </c>
      <c r="AY76" s="194">
        <f t="shared" si="221"/>
        <v>0</v>
      </c>
      <c r="AZ76" s="194">
        <f t="shared" si="221"/>
        <v>0</v>
      </c>
      <c r="BA76" s="194">
        <f t="shared" si="221"/>
        <v>0</v>
      </c>
      <c r="BB76" s="194">
        <f t="shared" si="221"/>
        <v>0</v>
      </c>
      <c r="BC76" s="194">
        <f t="shared" si="221"/>
        <v>0</v>
      </c>
      <c r="BD76" s="194">
        <f t="shared" si="221"/>
        <v>0</v>
      </c>
      <c r="BE76" s="194">
        <f t="shared" si="221"/>
        <v>0</v>
      </c>
      <c r="BF76" s="194">
        <f t="shared" si="221"/>
        <v>0</v>
      </c>
      <c r="BG76" s="194">
        <f t="shared" si="221"/>
        <v>0</v>
      </c>
      <c r="BH76" s="194">
        <f t="shared" si="221"/>
        <v>0</v>
      </c>
      <c r="BI76" s="194">
        <f t="shared" si="221"/>
        <v>0</v>
      </c>
      <c r="BJ76" s="194">
        <f t="shared" si="221"/>
        <v>0</v>
      </c>
      <c r="BK76" s="194">
        <f t="shared" si="221"/>
        <v>0</v>
      </c>
      <c r="BL76" s="194">
        <f t="shared" si="221"/>
        <v>0</v>
      </c>
      <c r="BM76" s="194">
        <f t="shared" si="221"/>
        <v>0</v>
      </c>
      <c r="BN76" s="194">
        <f t="shared" si="221"/>
        <v>0</v>
      </c>
      <c r="BO76" s="194">
        <f t="shared" si="221"/>
        <v>0</v>
      </c>
      <c r="BP76" s="194">
        <f t="shared" si="221"/>
        <v>0</v>
      </c>
      <c r="BQ76" s="194">
        <f t="shared" ref="BQ76:BV76" si="222">BQ8/2+BQ11+BQ16+BQ17</f>
        <v>0</v>
      </c>
      <c r="BR76" s="194">
        <f t="shared" si="222"/>
        <v>0</v>
      </c>
      <c r="BS76" s="194">
        <f t="shared" si="222"/>
        <v>1.5</v>
      </c>
      <c r="BT76" s="194">
        <f t="shared" si="222"/>
        <v>0</v>
      </c>
      <c r="BU76" s="194">
        <f t="shared" si="222"/>
        <v>0</v>
      </c>
      <c r="BV76" s="194">
        <f t="shared" si="222"/>
        <v>0</v>
      </c>
      <c r="BW76" s="194"/>
      <c r="BX76" s="194">
        <f t="shared" ref="BX76:DC76" si="223">BX8/2+BX11+BX16+BX17</f>
        <v>0</v>
      </c>
      <c r="BY76" s="194">
        <f t="shared" si="223"/>
        <v>0</v>
      </c>
      <c r="BZ76" s="194">
        <f t="shared" si="223"/>
        <v>0</v>
      </c>
      <c r="CA76" s="194">
        <f t="shared" si="223"/>
        <v>0</v>
      </c>
      <c r="CB76" s="194">
        <f t="shared" si="223"/>
        <v>0</v>
      </c>
      <c r="CC76" s="194">
        <f t="shared" si="223"/>
        <v>0</v>
      </c>
      <c r="CD76" s="194">
        <f t="shared" si="223"/>
        <v>1</v>
      </c>
      <c r="CE76" s="194">
        <f t="shared" si="223"/>
        <v>0</v>
      </c>
      <c r="CF76" s="194">
        <f t="shared" si="223"/>
        <v>0</v>
      </c>
      <c r="CG76" s="194">
        <f t="shared" si="223"/>
        <v>0</v>
      </c>
      <c r="CH76" s="194">
        <f t="shared" si="223"/>
        <v>0</v>
      </c>
      <c r="CI76" s="194">
        <f t="shared" si="223"/>
        <v>0</v>
      </c>
      <c r="CJ76" s="194">
        <f t="shared" si="223"/>
        <v>0</v>
      </c>
      <c r="CK76" s="194">
        <f t="shared" si="223"/>
        <v>0</v>
      </c>
      <c r="CL76" s="194">
        <f t="shared" si="223"/>
        <v>0</v>
      </c>
      <c r="CM76" s="194">
        <f t="shared" si="223"/>
        <v>0</v>
      </c>
      <c r="CN76" s="194">
        <f t="shared" si="223"/>
        <v>0</v>
      </c>
      <c r="CO76" s="194">
        <f t="shared" si="223"/>
        <v>0</v>
      </c>
      <c r="CP76" s="194">
        <f t="shared" si="223"/>
        <v>0</v>
      </c>
      <c r="CQ76" s="194">
        <f t="shared" si="223"/>
        <v>0</v>
      </c>
      <c r="CR76" s="194">
        <f t="shared" si="223"/>
        <v>0</v>
      </c>
      <c r="CS76" s="194">
        <f t="shared" si="223"/>
        <v>0</v>
      </c>
      <c r="CT76" s="194">
        <f t="shared" si="223"/>
        <v>0</v>
      </c>
      <c r="CU76" s="194">
        <f t="shared" si="223"/>
        <v>0</v>
      </c>
      <c r="CV76" s="194">
        <f t="shared" si="223"/>
        <v>0.5</v>
      </c>
      <c r="CW76" s="194">
        <f t="shared" si="223"/>
        <v>0</v>
      </c>
      <c r="CX76" s="194">
        <f t="shared" si="223"/>
        <v>0</v>
      </c>
      <c r="CY76" s="194">
        <f t="shared" si="223"/>
        <v>0</v>
      </c>
      <c r="CZ76" s="194">
        <f t="shared" si="223"/>
        <v>0</v>
      </c>
      <c r="DA76" s="194">
        <f t="shared" si="223"/>
        <v>0</v>
      </c>
      <c r="DB76" s="194">
        <f t="shared" si="223"/>
        <v>0</v>
      </c>
      <c r="DC76" s="194">
        <f t="shared" si="223"/>
        <v>0</v>
      </c>
      <c r="DD76" s="194">
        <f t="shared" ref="DD76:EI76" si="224">DD8/2+DD11+DD16+DD17</f>
        <v>0</v>
      </c>
      <c r="DE76" s="194">
        <f t="shared" si="224"/>
        <v>0</v>
      </c>
      <c r="DF76" s="194">
        <f t="shared" si="224"/>
        <v>0</v>
      </c>
      <c r="DG76" s="194">
        <f t="shared" si="224"/>
        <v>0</v>
      </c>
      <c r="DH76" s="194">
        <f t="shared" si="224"/>
        <v>0</v>
      </c>
      <c r="DI76" s="194">
        <f t="shared" si="224"/>
        <v>0</v>
      </c>
      <c r="DJ76" s="194">
        <f t="shared" si="224"/>
        <v>0</v>
      </c>
      <c r="DK76" s="194">
        <f t="shared" si="224"/>
        <v>0</v>
      </c>
      <c r="DL76" s="194">
        <f t="shared" si="224"/>
        <v>1</v>
      </c>
      <c r="DM76" s="194">
        <f t="shared" si="224"/>
        <v>0</v>
      </c>
      <c r="DN76" s="194">
        <f t="shared" si="224"/>
        <v>0</v>
      </c>
      <c r="DO76" s="194">
        <f t="shared" si="224"/>
        <v>0</v>
      </c>
      <c r="DP76" s="194">
        <f t="shared" si="224"/>
        <v>0</v>
      </c>
      <c r="DQ76" s="194">
        <f t="shared" si="224"/>
        <v>0</v>
      </c>
      <c r="DR76" s="194">
        <f t="shared" si="224"/>
        <v>0</v>
      </c>
      <c r="DS76" s="194">
        <f t="shared" si="224"/>
        <v>0</v>
      </c>
      <c r="DT76" s="194">
        <f t="shared" si="224"/>
        <v>0</v>
      </c>
      <c r="DU76" s="194">
        <f t="shared" si="224"/>
        <v>0</v>
      </c>
      <c r="DV76" s="194">
        <f t="shared" si="224"/>
        <v>0</v>
      </c>
      <c r="DW76" s="194">
        <f t="shared" si="224"/>
        <v>0</v>
      </c>
      <c r="DX76" s="194">
        <f t="shared" si="224"/>
        <v>0</v>
      </c>
      <c r="DY76" s="194">
        <f t="shared" si="224"/>
        <v>0</v>
      </c>
      <c r="DZ76" s="194">
        <f t="shared" si="224"/>
        <v>0</v>
      </c>
      <c r="EA76" s="194">
        <f t="shared" si="224"/>
        <v>0</v>
      </c>
      <c r="EB76" s="194">
        <f t="shared" si="224"/>
        <v>0</v>
      </c>
      <c r="EC76" s="194">
        <f t="shared" si="224"/>
        <v>0</v>
      </c>
      <c r="ED76" s="194">
        <f t="shared" si="224"/>
        <v>0</v>
      </c>
      <c r="EE76" s="194">
        <f t="shared" si="224"/>
        <v>0</v>
      </c>
      <c r="EF76" s="194">
        <f t="shared" si="224"/>
        <v>0</v>
      </c>
      <c r="EG76" s="194">
        <f t="shared" si="224"/>
        <v>0</v>
      </c>
      <c r="EH76" s="194">
        <f t="shared" si="224"/>
        <v>0</v>
      </c>
      <c r="EI76" s="194">
        <f t="shared" si="224"/>
        <v>0</v>
      </c>
      <c r="EJ76" s="194">
        <f t="shared" ref="EJ76:EZ76" si="225">EJ8/2+EJ11+EJ16+EJ17</f>
        <v>0</v>
      </c>
      <c r="EK76" s="194">
        <f t="shared" si="225"/>
        <v>0</v>
      </c>
      <c r="EL76" s="194">
        <f t="shared" si="225"/>
        <v>0</v>
      </c>
      <c r="EM76" s="194">
        <f t="shared" si="225"/>
        <v>0</v>
      </c>
      <c r="EN76" s="194">
        <f t="shared" si="225"/>
        <v>0</v>
      </c>
      <c r="EO76" s="194">
        <f t="shared" si="225"/>
        <v>0</v>
      </c>
      <c r="EP76" s="194">
        <f t="shared" si="225"/>
        <v>0</v>
      </c>
      <c r="EQ76" s="194">
        <f t="shared" si="225"/>
        <v>0</v>
      </c>
      <c r="ER76" s="194">
        <f t="shared" si="225"/>
        <v>0</v>
      </c>
      <c r="ES76" s="194">
        <f t="shared" si="225"/>
        <v>0</v>
      </c>
      <c r="ET76" s="194">
        <f t="shared" si="225"/>
        <v>0</v>
      </c>
      <c r="EU76" s="194">
        <f t="shared" si="225"/>
        <v>0</v>
      </c>
      <c r="EV76" s="194">
        <f t="shared" si="225"/>
        <v>0</v>
      </c>
      <c r="EW76" s="194">
        <f t="shared" si="225"/>
        <v>0</v>
      </c>
      <c r="EX76" s="194">
        <f t="shared" si="225"/>
        <v>0</v>
      </c>
      <c r="EY76" s="194">
        <f t="shared" si="225"/>
        <v>0</v>
      </c>
      <c r="EZ76" s="194">
        <f t="shared" si="225"/>
        <v>0</v>
      </c>
      <c r="FA76" s="194">
        <f t="shared" ref="FA76:FJ76" si="226">FA8/2+FA11+FA16+FA17</f>
        <v>0</v>
      </c>
      <c r="FB76" s="194">
        <f t="shared" si="226"/>
        <v>0</v>
      </c>
      <c r="FC76" s="194">
        <f t="shared" si="226"/>
        <v>0</v>
      </c>
      <c r="FD76" s="194">
        <f t="shared" si="226"/>
        <v>0</v>
      </c>
      <c r="FE76" s="194">
        <f t="shared" si="226"/>
        <v>0</v>
      </c>
      <c r="FF76" s="194">
        <f t="shared" si="226"/>
        <v>0</v>
      </c>
      <c r="FG76" s="194">
        <f t="shared" si="226"/>
        <v>0</v>
      </c>
      <c r="FH76" s="194">
        <f t="shared" si="226"/>
        <v>0</v>
      </c>
      <c r="FI76" s="194">
        <f t="shared" si="226"/>
        <v>0</v>
      </c>
      <c r="FJ76" s="194">
        <f t="shared" si="226"/>
        <v>0</v>
      </c>
      <c r="FK76" s="194">
        <f t="shared" ref="FK76:FY76" si="227">FK8/2+FK11+FK16+FK17</f>
        <v>0</v>
      </c>
      <c r="FL76" s="194">
        <f t="shared" si="227"/>
        <v>0</v>
      </c>
      <c r="FM76" s="194">
        <f t="shared" si="227"/>
        <v>0</v>
      </c>
      <c r="FN76" s="194">
        <f t="shared" si="227"/>
        <v>0</v>
      </c>
      <c r="FO76" s="194">
        <f t="shared" si="227"/>
        <v>0</v>
      </c>
      <c r="FP76" s="194">
        <f t="shared" si="227"/>
        <v>0</v>
      </c>
      <c r="FQ76" s="194">
        <f t="shared" si="227"/>
        <v>0</v>
      </c>
      <c r="FR76" s="194">
        <f t="shared" si="227"/>
        <v>0</v>
      </c>
      <c r="FS76" s="194">
        <f t="shared" si="227"/>
        <v>0</v>
      </c>
      <c r="FT76" s="194">
        <f t="shared" si="227"/>
        <v>0</v>
      </c>
      <c r="FU76" s="194">
        <f t="shared" si="227"/>
        <v>0</v>
      </c>
      <c r="FV76" s="194">
        <f t="shared" si="227"/>
        <v>0</v>
      </c>
      <c r="FW76" s="194">
        <f t="shared" si="227"/>
        <v>0</v>
      </c>
      <c r="FX76" s="194">
        <f t="shared" si="227"/>
        <v>0</v>
      </c>
      <c r="FY76" s="194">
        <f t="shared" si="227"/>
        <v>0</v>
      </c>
      <c r="FZ76" s="194">
        <f t="shared" ref="FZ76:GO76" si="228">FZ8/2+FZ11+FZ16+FZ17</f>
        <v>0</v>
      </c>
      <c r="GA76" s="194">
        <f t="shared" si="228"/>
        <v>0</v>
      </c>
      <c r="GB76" s="194">
        <f t="shared" si="228"/>
        <v>0</v>
      </c>
      <c r="GC76" s="194">
        <f t="shared" si="228"/>
        <v>0</v>
      </c>
      <c r="GD76" s="194">
        <f t="shared" si="228"/>
        <v>0</v>
      </c>
      <c r="GE76" s="194">
        <f t="shared" si="228"/>
        <v>0</v>
      </c>
      <c r="GF76" s="194">
        <f t="shared" si="228"/>
        <v>0</v>
      </c>
      <c r="GG76" s="194">
        <f t="shared" si="228"/>
        <v>0</v>
      </c>
      <c r="GH76" s="194">
        <f t="shared" si="228"/>
        <v>0</v>
      </c>
      <c r="GI76" s="194">
        <f t="shared" si="228"/>
        <v>0</v>
      </c>
      <c r="GJ76" s="194">
        <f t="shared" si="228"/>
        <v>0</v>
      </c>
      <c r="GK76" s="194">
        <f t="shared" si="228"/>
        <v>0</v>
      </c>
      <c r="GL76" s="194">
        <f t="shared" si="228"/>
        <v>0</v>
      </c>
      <c r="GM76" s="194">
        <f t="shared" si="228"/>
        <v>0</v>
      </c>
      <c r="GN76" s="194">
        <f t="shared" si="228"/>
        <v>0</v>
      </c>
      <c r="GO76" s="194">
        <f t="shared" si="228"/>
        <v>0</v>
      </c>
      <c r="GP76" s="194">
        <f t="shared" ref="GP76:HT76" si="229">GP8/2+GP11+GP16+GP17</f>
        <v>0</v>
      </c>
      <c r="GQ76" s="194">
        <f t="shared" si="229"/>
        <v>0</v>
      </c>
      <c r="GR76" s="194">
        <f t="shared" si="229"/>
        <v>0</v>
      </c>
      <c r="GS76" s="194">
        <f t="shared" si="229"/>
        <v>0</v>
      </c>
      <c r="GT76" s="194">
        <f t="shared" si="229"/>
        <v>0</v>
      </c>
      <c r="GU76" s="194">
        <f t="shared" si="229"/>
        <v>0</v>
      </c>
      <c r="GV76" s="194">
        <f t="shared" si="229"/>
        <v>0</v>
      </c>
      <c r="GW76" s="194">
        <f t="shared" si="229"/>
        <v>0</v>
      </c>
      <c r="GX76" s="194">
        <f t="shared" si="229"/>
        <v>0</v>
      </c>
      <c r="GY76" s="194">
        <f t="shared" si="229"/>
        <v>0</v>
      </c>
      <c r="GZ76" s="194">
        <f t="shared" si="229"/>
        <v>0</v>
      </c>
      <c r="HA76" s="194">
        <f t="shared" si="229"/>
        <v>0</v>
      </c>
      <c r="HB76" s="194">
        <f t="shared" si="229"/>
        <v>0</v>
      </c>
      <c r="HC76" s="194">
        <f t="shared" si="229"/>
        <v>0</v>
      </c>
      <c r="HD76" s="194">
        <f t="shared" si="229"/>
        <v>0</v>
      </c>
      <c r="HE76" s="194">
        <f t="shared" si="229"/>
        <v>0</v>
      </c>
      <c r="HF76" s="194">
        <f t="shared" si="229"/>
        <v>0</v>
      </c>
      <c r="HG76" s="194">
        <f t="shared" si="229"/>
        <v>0</v>
      </c>
      <c r="HH76" s="194">
        <f t="shared" si="229"/>
        <v>0</v>
      </c>
      <c r="HI76" s="194">
        <f t="shared" si="229"/>
        <v>0</v>
      </c>
      <c r="HJ76" s="194">
        <f t="shared" si="229"/>
        <v>0</v>
      </c>
      <c r="HK76" s="194">
        <f t="shared" si="229"/>
        <v>0</v>
      </c>
      <c r="HL76" s="194">
        <f t="shared" si="229"/>
        <v>0</v>
      </c>
      <c r="HM76" s="194">
        <f t="shared" si="229"/>
        <v>0</v>
      </c>
      <c r="HN76" s="194">
        <f t="shared" si="229"/>
        <v>0</v>
      </c>
      <c r="HO76" s="194">
        <f t="shared" si="229"/>
        <v>0</v>
      </c>
      <c r="HP76" s="194">
        <f t="shared" si="229"/>
        <v>0</v>
      </c>
      <c r="HQ76" s="194">
        <f t="shared" si="229"/>
        <v>0</v>
      </c>
      <c r="HR76" s="194">
        <f t="shared" si="229"/>
        <v>0</v>
      </c>
      <c r="HS76" s="194">
        <f t="shared" si="229"/>
        <v>0</v>
      </c>
      <c r="HT76" s="194">
        <f t="shared" si="229"/>
        <v>0</v>
      </c>
    </row>
    <row r="77" spans="1:229" x14ac:dyDescent="0.25">
      <c r="B77" s="495"/>
      <c r="C77" s="8" t="s">
        <v>89</v>
      </c>
      <c r="E77" s="194">
        <f t="shared" ref="E77:AJ77" si="230">E8/2+E15+E18</f>
        <v>0</v>
      </c>
      <c r="F77" s="194">
        <f t="shared" si="230"/>
        <v>0</v>
      </c>
      <c r="G77" s="194">
        <f t="shared" si="230"/>
        <v>0</v>
      </c>
      <c r="H77" s="194">
        <f t="shared" si="230"/>
        <v>0</v>
      </c>
      <c r="I77" s="194">
        <f t="shared" si="230"/>
        <v>0</v>
      </c>
      <c r="J77" s="194">
        <f t="shared" si="230"/>
        <v>1</v>
      </c>
      <c r="K77" s="194">
        <f t="shared" si="230"/>
        <v>0</v>
      </c>
      <c r="L77" s="194">
        <f t="shared" si="230"/>
        <v>0</v>
      </c>
      <c r="M77" s="194">
        <f t="shared" si="230"/>
        <v>1</v>
      </c>
      <c r="N77" s="194">
        <f t="shared" si="230"/>
        <v>0</v>
      </c>
      <c r="O77" s="292">
        <f t="shared" si="230"/>
        <v>0</v>
      </c>
      <c r="P77" s="292">
        <f t="shared" si="230"/>
        <v>0</v>
      </c>
      <c r="Q77" s="194">
        <f t="shared" si="230"/>
        <v>0</v>
      </c>
      <c r="R77" s="194">
        <f t="shared" si="230"/>
        <v>0</v>
      </c>
      <c r="S77" s="194">
        <f t="shared" si="230"/>
        <v>0</v>
      </c>
      <c r="T77" s="194">
        <f t="shared" si="230"/>
        <v>0</v>
      </c>
      <c r="U77" s="194">
        <f t="shared" si="230"/>
        <v>0</v>
      </c>
      <c r="V77" s="194">
        <f t="shared" si="230"/>
        <v>0</v>
      </c>
      <c r="W77" s="194">
        <f t="shared" si="230"/>
        <v>0.5</v>
      </c>
      <c r="X77" s="194">
        <f t="shared" si="230"/>
        <v>0</v>
      </c>
      <c r="Y77" s="194">
        <f t="shared" si="230"/>
        <v>0</v>
      </c>
      <c r="Z77" s="194">
        <f t="shared" si="230"/>
        <v>2</v>
      </c>
      <c r="AA77" s="194">
        <f t="shared" si="230"/>
        <v>0</v>
      </c>
      <c r="AB77" s="194">
        <f t="shared" si="230"/>
        <v>0.5</v>
      </c>
      <c r="AC77" s="194">
        <f t="shared" si="230"/>
        <v>0</v>
      </c>
      <c r="AD77" s="194">
        <f t="shared" si="230"/>
        <v>0</v>
      </c>
      <c r="AE77" s="194">
        <f t="shared" si="230"/>
        <v>0.5</v>
      </c>
      <c r="AF77" s="194">
        <f t="shared" si="230"/>
        <v>0</v>
      </c>
      <c r="AG77" s="194">
        <f t="shared" si="230"/>
        <v>0</v>
      </c>
      <c r="AH77" s="194">
        <f t="shared" si="230"/>
        <v>0</v>
      </c>
      <c r="AI77" s="194">
        <f t="shared" si="230"/>
        <v>0</v>
      </c>
      <c r="AJ77" s="194">
        <f t="shared" si="230"/>
        <v>0</v>
      </c>
      <c r="AK77" s="194">
        <f t="shared" ref="AK77:BP77" si="231">AK8/2+AK15+AK18</f>
        <v>0</v>
      </c>
      <c r="AL77" s="194">
        <f t="shared" si="231"/>
        <v>0</v>
      </c>
      <c r="AM77" s="194">
        <f t="shared" si="231"/>
        <v>0</v>
      </c>
      <c r="AN77" s="194">
        <f t="shared" si="231"/>
        <v>0</v>
      </c>
      <c r="AO77" s="194">
        <f t="shared" si="231"/>
        <v>0</v>
      </c>
      <c r="AP77" s="194">
        <f t="shared" si="231"/>
        <v>0</v>
      </c>
      <c r="AQ77" s="194">
        <f t="shared" si="231"/>
        <v>0</v>
      </c>
      <c r="AR77" s="194">
        <f t="shared" si="231"/>
        <v>0</v>
      </c>
      <c r="AS77" s="194">
        <f t="shared" si="231"/>
        <v>0</v>
      </c>
      <c r="AT77" s="194">
        <f t="shared" si="231"/>
        <v>0</v>
      </c>
      <c r="AU77" s="194">
        <f t="shared" si="231"/>
        <v>0</v>
      </c>
      <c r="AV77" s="194">
        <f t="shared" si="231"/>
        <v>0.5</v>
      </c>
      <c r="AW77" s="194">
        <f t="shared" si="231"/>
        <v>0</v>
      </c>
      <c r="AX77" s="194">
        <f t="shared" si="231"/>
        <v>0</v>
      </c>
      <c r="AY77" s="194">
        <f t="shared" si="231"/>
        <v>0</v>
      </c>
      <c r="AZ77" s="194">
        <f t="shared" si="231"/>
        <v>0</v>
      </c>
      <c r="BA77" s="194">
        <f t="shared" si="231"/>
        <v>0</v>
      </c>
      <c r="BB77" s="194">
        <f t="shared" si="231"/>
        <v>0</v>
      </c>
      <c r="BC77" s="194">
        <f t="shared" si="231"/>
        <v>0</v>
      </c>
      <c r="BD77" s="194">
        <f t="shared" si="231"/>
        <v>0</v>
      </c>
      <c r="BE77" s="194">
        <f t="shared" si="231"/>
        <v>0</v>
      </c>
      <c r="BF77" s="194">
        <f t="shared" si="231"/>
        <v>0</v>
      </c>
      <c r="BG77" s="194">
        <f t="shared" si="231"/>
        <v>0</v>
      </c>
      <c r="BH77" s="194">
        <f t="shared" si="231"/>
        <v>0</v>
      </c>
      <c r="BI77" s="194">
        <f t="shared" si="231"/>
        <v>0</v>
      </c>
      <c r="BJ77" s="194">
        <f t="shared" si="231"/>
        <v>0</v>
      </c>
      <c r="BK77" s="194">
        <f t="shared" si="231"/>
        <v>0</v>
      </c>
      <c r="BL77" s="194">
        <f t="shared" si="231"/>
        <v>0</v>
      </c>
      <c r="BM77" s="194">
        <f t="shared" si="231"/>
        <v>0</v>
      </c>
      <c r="BN77" s="194">
        <f t="shared" si="231"/>
        <v>0</v>
      </c>
      <c r="BO77" s="194">
        <f t="shared" si="231"/>
        <v>0</v>
      </c>
      <c r="BP77" s="194">
        <f t="shared" si="231"/>
        <v>0</v>
      </c>
      <c r="BQ77" s="194">
        <f t="shared" ref="BQ77:BV77" si="232">BQ8/2+BQ15+BQ18</f>
        <v>0</v>
      </c>
      <c r="BR77" s="194">
        <f t="shared" si="232"/>
        <v>0</v>
      </c>
      <c r="BS77" s="194">
        <f t="shared" si="232"/>
        <v>1.5</v>
      </c>
      <c r="BT77" s="194">
        <f t="shared" si="232"/>
        <v>0</v>
      </c>
      <c r="BU77" s="194">
        <f t="shared" si="232"/>
        <v>0</v>
      </c>
      <c r="BV77" s="194">
        <f t="shared" si="232"/>
        <v>0</v>
      </c>
      <c r="BW77" s="194"/>
      <c r="BX77" s="194">
        <f t="shared" ref="BX77:DC77" si="233">BX8/2+BX15+BX18</f>
        <v>0</v>
      </c>
      <c r="BY77" s="194">
        <f t="shared" si="233"/>
        <v>0</v>
      </c>
      <c r="BZ77" s="194">
        <f t="shared" si="233"/>
        <v>0</v>
      </c>
      <c r="CA77" s="194">
        <f t="shared" si="233"/>
        <v>0</v>
      </c>
      <c r="CB77" s="194">
        <f t="shared" si="233"/>
        <v>0</v>
      </c>
      <c r="CC77" s="194">
        <f t="shared" si="233"/>
        <v>0</v>
      </c>
      <c r="CD77" s="194">
        <f t="shared" si="233"/>
        <v>0</v>
      </c>
      <c r="CE77" s="194">
        <f t="shared" si="233"/>
        <v>0</v>
      </c>
      <c r="CF77" s="194">
        <f t="shared" si="233"/>
        <v>0</v>
      </c>
      <c r="CG77" s="194">
        <f t="shared" si="233"/>
        <v>0</v>
      </c>
      <c r="CH77" s="194">
        <f t="shared" si="233"/>
        <v>0</v>
      </c>
      <c r="CI77" s="194">
        <f t="shared" si="233"/>
        <v>0</v>
      </c>
      <c r="CJ77" s="194">
        <f t="shared" si="233"/>
        <v>0</v>
      </c>
      <c r="CK77" s="194">
        <f t="shared" si="233"/>
        <v>0</v>
      </c>
      <c r="CL77" s="194">
        <f t="shared" si="233"/>
        <v>0</v>
      </c>
      <c r="CM77" s="194">
        <f t="shared" si="233"/>
        <v>0</v>
      </c>
      <c r="CN77" s="194">
        <f t="shared" si="233"/>
        <v>0</v>
      </c>
      <c r="CO77" s="194">
        <f t="shared" si="233"/>
        <v>0</v>
      </c>
      <c r="CP77" s="194">
        <f t="shared" si="233"/>
        <v>0</v>
      </c>
      <c r="CQ77" s="194">
        <f t="shared" si="233"/>
        <v>0</v>
      </c>
      <c r="CR77" s="194">
        <f t="shared" si="233"/>
        <v>0</v>
      </c>
      <c r="CS77" s="194">
        <f t="shared" si="233"/>
        <v>0</v>
      </c>
      <c r="CT77" s="194">
        <f t="shared" si="233"/>
        <v>0</v>
      </c>
      <c r="CU77" s="194">
        <f t="shared" si="233"/>
        <v>0</v>
      </c>
      <c r="CV77" s="194">
        <f t="shared" si="233"/>
        <v>0.5</v>
      </c>
      <c r="CW77" s="194">
        <f t="shared" si="233"/>
        <v>0</v>
      </c>
      <c r="CX77" s="194">
        <f t="shared" si="233"/>
        <v>0</v>
      </c>
      <c r="CY77" s="194">
        <f t="shared" si="233"/>
        <v>0</v>
      </c>
      <c r="CZ77" s="194">
        <f t="shared" si="233"/>
        <v>0</v>
      </c>
      <c r="DA77" s="194">
        <f t="shared" si="233"/>
        <v>0</v>
      </c>
      <c r="DB77" s="194">
        <f t="shared" si="233"/>
        <v>0</v>
      </c>
      <c r="DC77" s="194">
        <f t="shared" si="233"/>
        <v>0</v>
      </c>
      <c r="DD77" s="194">
        <f t="shared" ref="DD77:EI77" si="234">DD8/2+DD15+DD18</f>
        <v>0</v>
      </c>
      <c r="DE77" s="194">
        <f t="shared" si="234"/>
        <v>0</v>
      </c>
      <c r="DF77" s="194">
        <f t="shared" si="234"/>
        <v>0</v>
      </c>
      <c r="DG77" s="194">
        <f t="shared" si="234"/>
        <v>0</v>
      </c>
      <c r="DH77" s="194">
        <f t="shared" si="234"/>
        <v>0</v>
      </c>
      <c r="DI77" s="194">
        <f t="shared" si="234"/>
        <v>0</v>
      </c>
      <c r="DJ77" s="194">
        <f t="shared" si="234"/>
        <v>0</v>
      </c>
      <c r="DK77" s="194">
        <f t="shared" si="234"/>
        <v>0</v>
      </c>
      <c r="DL77" s="194">
        <f t="shared" si="234"/>
        <v>1</v>
      </c>
      <c r="DM77" s="194">
        <f t="shared" si="234"/>
        <v>0</v>
      </c>
      <c r="DN77" s="194">
        <f t="shared" si="234"/>
        <v>0</v>
      </c>
      <c r="DO77" s="194">
        <f t="shared" si="234"/>
        <v>0</v>
      </c>
      <c r="DP77" s="194">
        <f t="shared" si="234"/>
        <v>0</v>
      </c>
      <c r="DQ77" s="194">
        <f t="shared" si="234"/>
        <v>0</v>
      </c>
      <c r="DR77" s="194">
        <f t="shared" si="234"/>
        <v>0</v>
      </c>
      <c r="DS77" s="194">
        <f t="shared" si="234"/>
        <v>0</v>
      </c>
      <c r="DT77" s="194">
        <f t="shared" si="234"/>
        <v>0</v>
      </c>
      <c r="DU77" s="194">
        <f t="shared" si="234"/>
        <v>0</v>
      </c>
      <c r="DV77" s="194">
        <f t="shared" si="234"/>
        <v>0</v>
      </c>
      <c r="DW77" s="194">
        <f t="shared" si="234"/>
        <v>0</v>
      </c>
      <c r="DX77" s="194">
        <f t="shared" si="234"/>
        <v>0</v>
      </c>
      <c r="DY77" s="194">
        <f t="shared" si="234"/>
        <v>0</v>
      </c>
      <c r="DZ77" s="194">
        <f t="shared" si="234"/>
        <v>0</v>
      </c>
      <c r="EA77" s="194">
        <f t="shared" si="234"/>
        <v>0</v>
      </c>
      <c r="EB77" s="194">
        <f t="shared" si="234"/>
        <v>0</v>
      </c>
      <c r="EC77" s="194">
        <f t="shared" si="234"/>
        <v>0</v>
      </c>
      <c r="ED77" s="194">
        <f t="shared" si="234"/>
        <v>0</v>
      </c>
      <c r="EE77" s="194">
        <f t="shared" si="234"/>
        <v>0</v>
      </c>
      <c r="EF77" s="194">
        <f t="shared" si="234"/>
        <v>0</v>
      </c>
      <c r="EG77" s="194">
        <f t="shared" si="234"/>
        <v>0</v>
      </c>
      <c r="EH77" s="194">
        <f t="shared" si="234"/>
        <v>0</v>
      </c>
      <c r="EI77" s="194">
        <f t="shared" si="234"/>
        <v>0</v>
      </c>
      <c r="EJ77" s="194">
        <f t="shared" ref="EJ77:EZ77" si="235">EJ8/2+EJ15+EJ18</f>
        <v>0</v>
      </c>
      <c r="EK77" s="194">
        <f t="shared" si="235"/>
        <v>0</v>
      </c>
      <c r="EL77" s="194">
        <f t="shared" si="235"/>
        <v>0</v>
      </c>
      <c r="EM77" s="194">
        <f t="shared" si="235"/>
        <v>0</v>
      </c>
      <c r="EN77" s="194">
        <f t="shared" si="235"/>
        <v>0</v>
      </c>
      <c r="EO77" s="194">
        <f t="shared" si="235"/>
        <v>0</v>
      </c>
      <c r="EP77" s="194">
        <f t="shared" si="235"/>
        <v>0</v>
      </c>
      <c r="EQ77" s="194">
        <f t="shared" si="235"/>
        <v>0</v>
      </c>
      <c r="ER77" s="194">
        <f t="shared" si="235"/>
        <v>0</v>
      </c>
      <c r="ES77" s="194">
        <f t="shared" si="235"/>
        <v>0</v>
      </c>
      <c r="ET77" s="194">
        <f t="shared" si="235"/>
        <v>0</v>
      </c>
      <c r="EU77" s="194">
        <f t="shared" si="235"/>
        <v>0</v>
      </c>
      <c r="EV77" s="194">
        <f t="shared" si="235"/>
        <v>0</v>
      </c>
      <c r="EW77" s="194">
        <f t="shared" si="235"/>
        <v>0</v>
      </c>
      <c r="EX77" s="194">
        <f t="shared" si="235"/>
        <v>0</v>
      </c>
      <c r="EY77" s="194">
        <f t="shared" si="235"/>
        <v>0</v>
      </c>
      <c r="EZ77" s="194">
        <f t="shared" si="235"/>
        <v>0</v>
      </c>
      <c r="FA77" s="194">
        <f t="shared" ref="FA77:FJ77" si="236">FA8/2+FA15+FA18</f>
        <v>0</v>
      </c>
      <c r="FB77" s="194">
        <f t="shared" si="236"/>
        <v>0</v>
      </c>
      <c r="FC77" s="194">
        <f t="shared" si="236"/>
        <v>0</v>
      </c>
      <c r="FD77" s="194">
        <f t="shared" si="236"/>
        <v>0</v>
      </c>
      <c r="FE77" s="194">
        <f t="shared" si="236"/>
        <v>0</v>
      </c>
      <c r="FF77" s="194">
        <f t="shared" si="236"/>
        <v>0</v>
      </c>
      <c r="FG77" s="194">
        <f t="shared" si="236"/>
        <v>0</v>
      </c>
      <c r="FH77" s="194">
        <f t="shared" si="236"/>
        <v>0</v>
      </c>
      <c r="FI77" s="194">
        <f t="shared" si="236"/>
        <v>0</v>
      </c>
      <c r="FJ77" s="194">
        <f t="shared" si="236"/>
        <v>0</v>
      </c>
      <c r="FK77" s="194">
        <f t="shared" ref="FK77:FY77" si="237">FK8/2+FK15+FK18</f>
        <v>0</v>
      </c>
      <c r="FL77" s="194">
        <f t="shared" si="237"/>
        <v>0</v>
      </c>
      <c r="FM77" s="194">
        <f t="shared" si="237"/>
        <v>0</v>
      </c>
      <c r="FN77" s="194">
        <f t="shared" si="237"/>
        <v>0</v>
      </c>
      <c r="FO77" s="194">
        <f t="shared" si="237"/>
        <v>0</v>
      </c>
      <c r="FP77" s="194">
        <f t="shared" si="237"/>
        <v>0</v>
      </c>
      <c r="FQ77" s="194">
        <f t="shared" si="237"/>
        <v>0</v>
      </c>
      <c r="FR77" s="194">
        <f t="shared" si="237"/>
        <v>0</v>
      </c>
      <c r="FS77" s="194">
        <f t="shared" si="237"/>
        <v>0</v>
      </c>
      <c r="FT77" s="194">
        <f t="shared" si="237"/>
        <v>0</v>
      </c>
      <c r="FU77" s="194">
        <f t="shared" si="237"/>
        <v>0</v>
      </c>
      <c r="FV77" s="194">
        <f t="shared" si="237"/>
        <v>0</v>
      </c>
      <c r="FW77" s="194">
        <f t="shared" si="237"/>
        <v>0</v>
      </c>
      <c r="FX77" s="194">
        <f t="shared" si="237"/>
        <v>0</v>
      </c>
      <c r="FY77" s="194">
        <f t="shared" si="237"/>
        <v>0</v>
      </c>
      <c r="FZ77" s="194">
        <f t="shared" ref="FZ77:GO77" si="238">FZ8/2+FZ15+FZ18</f>
        <v>0</v>
      </c>
      <c r="GA77" s="194">
        <f t="shared" si="238"/>
        <v>0</v>
      </c>
      <c r="GB77" s="194">
        <f t="shared" si="238"/>
        <v>0</v>
      </c>
      <c r="GC77" s="194">
        <f t="shared" si="238"/>
        <v>0</v>
      </c>
      <c r="GD77" s="194">
        <f t="shared" si="238"/>
        <v>0</v>
      </c>
      <c r="GE77" s="194">
        <f t="shared" si="238"/>
        <v>0</v>
      </c>
      <c r="GF77" s="194">
        <f t="shared" si="238"/>
        <v>0</v>
      </c>
      <c r="GG77" s="194">
        <f t="shared" si="238"/>
        <v>0</v>
      </c>
      <c r="GH77" s="194">
        <f t="shared" si="238"/>
        <v>0</v>
      </c>
      <c r="GI77" s="194">
        <f t="shared" si="238"/>
        <v>0</v>
      </c>
      <c r="GJ77" s="194">
        <f t="shared" si="238"/>
        <v>0</v>
      </c>
      <c r="GK77" s="194">
        <f t="shared" si="238"/>
        <v>0</v>
      </c>
      <c r="GL77" s="194">
        <f t="shared" si="238"/>
        <v>0</v>
      </c>
      <c r="GM77" s="194">
        <f t="shared" si="238"/>
        <v>0</v>
      </c>
      <c r="GN77" s="194">
        <f t="shared" si="238"/>
        <v>0</v>
      </c>
      <c r="GO77" s="194">
        <f t="shared" si="238"/>
        <v>0</v>
      </c>
      <c r="GP77" s="194">
        <f t="shared" ref="GP77:HT77" si="239">GP8/2+GP15+GP18</f>
        <v>0</v>
      </c>
      <c r="GQ77" s="194">
        <f t="shared" si="239"/>
        <v>0</v>
      </c>
      <c r="GR77" s="194">
        <f t="shared" si="239"/>
        <v>0</v>
      </c>
      <c r="GS77" s="194">
        <f t="shared" si="239"/>
        <v>0</v>
      </c>
      <c r="GT77" s="194">
        <f t="shared" si="239"/>
        <v>0</v>
      </c>
      <c r="GU77" s="194">
        <f t="shared" si="239"/>
        <v>0</v>
      </c>
      <c r="GV77" s="194">
        <f t="shared" si="239"/>
        <v>0</v>
      </c>
      <c r="GW77" s="194">
        <f t="shared" si="239"/>
        <v>0</v>
      </c>
      <c r="GX77" s="194">
        <f t="shared" si="239"/>
        <v>0</v>
      </c>
      <c r="GY77" s="194">
        <f t="shared" si="239"/>
        <v>0</v>
      </c>
      <c r="GZ77" s="194">
        <f t="shared" si="239"/>
        <v>0</v>
      </c>
      <c r="HA77" s="194">
        <f t="shared" si="239"/>
        <v>0</v>
      </c>
      <c r="HB77" s="194">
        <f t="shared" si="239"/>
        <v>0</v>
      </c>
      <c r="HC77" s="194">
        <f t="shared" si="239"/>
        <v>0</v>
      </c>
      <c r="HD77" s="194">
        <f t="shared" si="239"/>
        <v>0</v>
      </c>
      <c r="HE77" s="194">
        <f t="shared" si="239"/>
        <v>0</v>
      </c>
      <c r="HF77" s="194">
        <f t="shared" si="239"/>
        <v>0</v>
      </c>
      <c r="HG77" s="194">
        <f t="shared" si="239"/>
        <v>0</v>
      </c>
      <c r="HH77" s="194">
        <f t="shared" si="239"/>
        <v>0</v>
      </c>
      <c r="HI77" s="194">
        <f t="shared" si="239"/>
        <v>0</v>
      </c>
      <c r="HJ77" s="194">
        <f t="shared" si="239"/>
        <v>0</v>
      </c>
      <c r="HK77" s="194">
        <f t="shared" si="239"/>
        <v>0</v>
      </c>
      <c r="HL77" s="194">
        <f t="shared" si="239"/>
        <v>0</v>
      </c>
      <c r="HM77" s="194">
        <f t="shared" si="239"/>
        <v>0</v>
      </c>
      <c r="HN77" s="194">
        <f t="shared" si="239"/>
        <v>0</v>
      </c>
      <c r="HO77" s="194">
        <f t="shared" si="239"/>
        <v>0</v>
      </c>
      <c r="HP77" s="194">
        <f t="shared" si="239"/>
        <v>0</v>
      </c>
      <c r="HQ77" s="194">
        <f t="shared" si="239"/>
        <v>0</v>
      </c>
      <c r="HR77" s="194">
        <f t="shared" si="239"/>
        <v>0</v>
      </c>
      <c r="HS77" s="194">
        <f t="shared" si="239"/>
        <v>0</v>
      </c>
      <c r="HT77" s="194">
        <f t="shared" si="239"/>
        <v>0</v>
      </c>
    </row>
    <row r="78" spans="1:229" x14ac:dyDescent="0.25">
      <c r="O78" s="293"/>
      <c r="P78" s="293"/>
    </row>
    <row r="79" spans="1:229" x14ac:dyDescent="0.25">
      <c r="B79" s="495" t="s">
        <v>16</v>
      </c>
      <c r="C79" s="8" t="s">
        <v>79</v>
      </c>
      <c r="E79" s="194">
        <f t="shared" ref="E79:AJ79" si="240">E22+E23+E25+E26+E27</f>
        <v>0</v>
      </c>
      <c r="F79" s="194">
        <f t="shared" si="240"/>
        <v>0</v>
      </c>
      <c r="G79" s="194">
        <f t="shared" si="240"/>
        <v>0</v>
      </c>
      <c r="H79" s="194">
        <f t="shared" si="240"/>
        <v>2</v>
      </c>
      <c r="I79" s="194">
        <f t="shared" si="240"/>
        <v>4</v>
      </c>
      <c r="J79" s="194">
        <f t="shared" si="240"/>
        <v>0</v>
      </c>
      <c r="K79" s="194">
        <f t="shared" si="240"/>
        <v>0</v>
      </c>
      <c r="L79" s="194">
        <f t="shared" si="240"/>
        <v>4</v>
      </c>
      <c r="M79" s="194">
        <f t="shared" si="240"/>
        <v>10</v>
      </c>
      <c r="N79" s="194">
        <f t="shared" si="240"/>
        <v>0</v>
      </c>
      <c r="O79" s="292">
        <f t="shared" si="240"/>
        <v>2</v>
      </c>
      <c r="P79" s="292">
        <f t="shared" si="240"/>
        <v>2</v>
      </c>
      <c r="Q79" s="194">
        <f t="shared" si="240"/>
        <v>0</v>
      </c>
      <c r="R79" s="194">
        <f t="shared" si="240"/>
        <v>1</v>
      </c>
      <c r="S79" s="194">
        <f t="shared" si="240"/>
        <v>1</v>
      </c>
      <c r="T79" s="194">
        <f t="shared" si="240"/>
        <v>0</v>
      </c>
      <c r="U79" s="194">
        <f t="shared" si="240"/>
        <v>0</v>
      </c>
      <c r="V79" s="194">
        <f t="shared" si="240"/>
        <v>0</v>
      </c>
      <c r="W79" s="194">
        <f t="shared" si="240"/>
        <v>0</v>
      </c>
      <c r="X79" s="194">
        <f t="shared" si="240"/>
        <v>0</v>
      </c>
      <c r="Y79" s="194">
        <f t="shared" si="240"/>
        <v>0</v>
      </c>
      <c r="Z79" s="194">
        <f t="shared" si="240"/>
        <v>0</v>
      </c>
      <c r="AA79" s="194">
        <f t="shared" si="240"/>
        <v>0</v>
      </c>
      <c r="AB79" s="194">
        <f t="shared" si="240"/>
        <v>0</v>
      </c>
      <c r="AC79" s="194">
        <f t="shared" si="240"/>
        <v>0</v>
      </c>
      <c r="AD79" s="194">
        <f t="shared" si="240"/>
        <v>0</v>
      </c>
      <c r="AE79" s="194">
        <f t="shared" si="240"/>
        <v>0</v>
      </c>
      <c r="AF79" s="194">
        <f t="shared" si="240"/>
        <v>0</v>
      </c>
      <c r="AG79" s="194">
        <f t="shared" si="240"/>
        <v>0</v>
      </c>
      <c r="AH79" s="194">
        <f t="shared" si="240"/>
        <v>0</v>
      </c>
      <c r="AI79" s="194">
        <f t="shared" si="240"/>
        <v>0</v>
      </c>
      <c r="AJ79" s="194">
        <f t="shared" si="240"/>
        <v>0</v>
      </c>
      <c r="AK79" s="194">
        <f t="shared" ref="AK79:BP79" si="241">AK22+AK23+AK25+AK26+AK27</f>
        <v>0</v>
      </c>
      <c r="AL79" s="194">
        <f t="shared" si="241"/>
        <v>0</v>
      </c>
      <c r="AM79" s="194">
        <f t="shared" si="241"/>
        <v>0</v>
      </c>
      <c r="AN79" s="194">
        <f t="shared" si="241"/>
        <v>0</v>
      </c>
      <c r="AO79" s="194">
        <f t="shared" si="241"/>
        <v>0</v>
      </c>
      <c r="AP79" s="194">
        <f t="shared" si="241"/>
        <v>0</v>
      </c>
      <c r="AQ79" s="194">
        <f t="shared" si="241"/>
        <v>0</v>
      </c>
      <c r="AR79" s="194">
        <f t="shared" si="241"/>
        <v>0</v>
      </c>
      <c r="AS79" s="194">
        <f t="shared" si="241"/>
        <v>0</v>
      </c>
      <c r="AT79" s="194">
        <f t="shared" si="241"/>
        <v>0</v>
      </c>
      <c r="AU79" s="194">
        <f t="shared" si="241"/>
        <v>0</v>
      </c>
      <c r="AV79" s="194">
        <f t="shared" si="241"/>
        <v>0</v>
      </c>
      <c r="AW79" s="194">
        <f t="shared" si="241"/>
        <v>0</v>
      </c>
      <c r="AX79" s="194">
        <f t="shared" si="241"/>
        <v>1</v>
      </c>
      <c r="AY79" s="194">
        <f t="shared" si="241"/>
        <v>0</v>
      </c>
      <c r="AZ79" s="194">
        <f t="shared" si="241"/>
        <v>5</v>
      </c>
      <c r="BA79" s="194">
        <f t="shared" si="241"/>
        <v>2</v>
      </c>
      <c r="BB79" s="194">
        <f t="shared" si="241"/>
        <v>3</v>
      </c>
      <c r="BC79" s="194">
        <f t="shared" si="241"/>
        <v>2</v>
      </c>
      <c r="BD79" s="194">
        <f t="shared" si="241"/>
        <v>0</v>
      </c>
      <c r="BE79" s="194">
        <f t="shared" si="241"/>
        <v>2</v>
      </c>
      <c r="BF79" s="194">
        <f t="shared" si="241"/>
        <v>0</v>
      </c>
      <c r="BG79" s="194">
        <f t="shared" si="241"/>
        <v>2</v>
      </c>
      <c r="BH79" s="194">
        <f t="shared" si="241"/>
        <v>2</v>
      </c>
      <c r="BI79" s="194">
        <f t="shared" si="241"/>
        <v>0</v>
      </c>
      <c r="BJ79" s="194">
        <f t="shared" si="241"/>
        <v>0</v>
      </c>
      <c r="BK79" s="194">
        <f t="shared" si="241"/>
        <v>0</v>
      </c>
      <c r="BL79" s="194">
        <f t="shared" si="241"/>
        <v>0</v>
      </c>
      <c r="BM79" s="194">
        <f t="shared" si="241"/>
        <v>0</v>
      </c>
      <c r="BN79" s="194">
        <f t="shared" si="241"/>
        <v>0</v>
      </c>
      <c r="BO79" s="194">
        <f t="shared" si="241"/>
        <v>5</v>
      </c>
      <c r="BP79" s="194">
        <f t="shared" si="241"/>
        <v>3</v>
      </c>
      <c r="BQ79" s="194">
        <f t="shared" ref="BQ79:BV79" si="242">BQ22+BQ23+BQ25+BQ26+BQ27</f>
        <v>0</v>
      </c>
      <c r="BR79" s="194">
        <f t="shared" si="242"/>
        <v>0</v>
      </c>
      <c r="BS79" s="194">
        <f t="shared" si="242"/>
        <v>0</v>
      </c>
      <c r="BT79" s="194">
        <f t="shared" si="242"/>
        <v>0</v>
      </c>
      <c r="BU79" s="194">
        <f t="shared" si="242"/>
        <v>0</v>
      </c>
      <c r="BV79" s="194">
        <f t="shared" si="242"/>
        <v>0</v>
      </c>
      <c r="BW79" s="194"/>
      <c r="BX79" s="194">
        <f t="shared" ref="BX79:DC79" si="243">BX22+BX23+BX25+BX26+BX27</f>
        <v>5</v>
      </c>
      <c r="BY79" s="194">
        <f t="shared" si="243"/>
        <v>4</v>
      </c>
      <c r="BZ79" s="194">
        <f t="shared" si="243"/>
        <v>0</v>
      </c>
      <c r="CA79" s="194">
        <f t="shared" si="243"/>
        <v>1</v>
      </c>
      <c r="CB79" s="194">
        <f t="shared" si="243"/>
        <v>2</v>
      </c>
      <c r="CC79" s="194">
        <f t="shared" si="243"/>
        <v>0</v>
      </c>
      <c r="CD79" s="194">
        <f t="shared" si="243"/>
        <v>0</v>
      </c>
      <c r="CE79" s="194">
        <f t="shared" si="243"/>
        <v>0</v>
      </c>
      <c r="CF79" s="194">
        <f t="shared" si="243"/>
        <v>0</v>
      </c>
      <c r="CG79" s="194">
        <f t="shared" si="243"/>
        <v>0</v>
      </c>
      <c r="CH79" s="194">
        <f t="shared" si="243"/>
        <v>0</v>
      </c>
      <c r="CI79" s="194">
        <f t="shared" si="243"/>
        <v>4</v>
      </c>
      <c r="CJ79" s="194">
        <f t="shared" si="243"/>
        <v>2</v>
      </c>
      <c r="CK79" s="194">
        <f t="shared" si="243"/>
        <v>0</v>
      </c>
      <c r="CL79" s="194">
        <f t="shared" si="243"/>
        <v>0</v>
      </c>
      <c r="CM79" s="194">
        <f t="shared" si="243"/>
        <v>0</v>
      </c>
      <c r="CN79" s="194">
        <f t="shared" si="243"/>
        <v>0</v>
      </c>
      <c r="CO79" s="194">
        <f t="shared" si="243"/>
        <v>4</v>
      </c>
      <c r="CP79" s="194">
        <f t="shared" si="243"/>
        <v>3</v>
      </c>
      <c r="CQ79" s="194">
        <f t="shared" si="243"/>
        <v>4</v>
      </c>
      <c r="CR79" s="194">
        <f t="shared" si="243"/>
        <v>1</v>
      </c>
      <c r="CS79" s="194">
        <f t="shared" si="243"/>
        <v>1</v>
      </c>
      <c r="CT79" s="194">
        <f t="shared" si="243"/>
        <v>0</v>
      </c>
      <c r="CU79" s="194">
        <f t="shared" si="243"/>
        <v>0</v>
      </c>
      <c r="CV79" s="194">
        <f t="shared" si="243"/>
        <v>0</v>
      </c>
      <c r="CW79" s="194">
        <f t="shared" si="243"/>
        <v>0</v>
      </c>
      <c r="CX79" s="194">
        <f t="shared" si="243"/>
        <v>0</v>
      </c>
      <c r="CY79" s="194">
        <f t="shared" si="243"/>
        <v>0</v>
      </c>
      <c r="CZ79" s="194">
        <f t="shared" si="243"/>
        <v>0</v>
      </c>
      <c r="DA79" s="194">
        <f t="shared" si="243"/>
        <v>0</v>
      </c>
      <c r="DB79" s="194">
        <f t="shared" si="243"/>
        <v>0</v>
      </c>
      <c r="DC79" s="194">
        <f t="shared" si="243"/>
        <v>1</v>
      </c>
      <c r="DD79" s="194">
        <f t="shared" ref="DD79:EI79" si="244">DD22+DD23+DD25+DD26+DD27</f>
        <v>0</v>
      </c>
      <c r="DE79" s="194">
        <f t="shared" si="244"/>
        <v>0</v>
      </c>
      <c r="DF79" s="194">
        <f t="shared" si="244"/>
        <v>0</v>
      </c>
      <c r="DG79" s="194">
        <f t="shared" si="244"/>
        <v>1</v>
      </c>
      <c r="DH79" s="194">
        <f t="shared" si="244"/>
        <v>4</v>
      </c>
      <c r="DI79" s="194">
        <f t="shared" si="244"/>
        <v>0</v>
      </c>
      <c r="DJ79" s="194">
        <f t="shared" si="244"/>
        <v>9</v>
      </c>
      <c r="DK79" s="194">
        <f t="shared" si="244"/>
        <v>5</v>
      </c>
      <c r="DL79" s="194">
        <f t="shared" si="244"/>
        <v>1</v>
      </c>
      <c r="DM79" s="194">
        <f t="shared" si="244"/>
        <v>4</v>
      </c>
      <c r="DN79" s="194">
        <f t="shared" si="244"/>
        <v>0</v>
      </c>
      <c r="DO79" s="194">
        <f t="shared" si="244"/>
        <v>1</v>
      </c>
      <c r="DP79" s="194">
        <f t="shared" si="244"/>
        <v>0</v>
      </c>
      <c r="DQ79" s="194">
        <f t="shared" si="244"/>
        <v>0</v>
      </c>
      <c r="DR79" s="194">
        <f t="shared" si="244"/>
        <v>0</v>
      </c>
      <c r="DS79" s="194">
        <f t="shared" si="244"/>
        <v>0</v>
      </c>
      <c r="DT79" s="194">
        <f t="shared" si="244"/>
        <v>0</v>
      </c>
      <c r="DU79" s="194">
        <f t="shared" si="244"/>
        <v>0</v>
      </c>
      <c r="DV79" s="194">
        <f t="shared" si="244"/>
        <v>0</v>
      </c>
      <c r="DW79" s="194">
        <f t="shared" si="244"/>
        <v>0</v>
      </c>
      <c r="DX79" s="194">
        <f t="shared" si="244"/>
        <v>0</v>
      </c>
      <c r="DY79" s="194">
        <f t="shared" si="244"/>
        <v>0</v>
      </c>
      <c r="DZ79" s="194">
        <f t="shared" si="244"/>
        <v>0</v>
      </c>
      <c r="EA79" s="194">
        <f t="shared" si="244"/>
        <v>0</v>
      </c>
      <c r="EB79" s="194">
        <f t="shared" si="244"/>
        <v>0</v>
      </c>
      <c r="EC79" s="194">
        <f t="shared" si="244"/>
        <v>0</v>
      </c>
      <c r="ED79" s="194">
        <f t="shared" si="244"/>
        <v>0</v>
      </c>
      <c r="EE79" s="194">
        <f t="shared" si="244"/>
        <v>0</v>
      </c>
      <c r="EF79" s="194">
        <f t="shared" si="244"/>
        <v>0</v>
      </c>
      <c r="EG79" s="194">
        <f t="shared" si="244"/>
        <v>0</v>
      </c>
      <c r="EH79" s="194">
        <f t="shared" si="244"/>
        <v>0</v>
      </c>
      <c r="EI79" s="194">
        <f t="shared" si="244"/>
        <v>0</v>
      </c>
      <c r="EJ79" s="194">
        <f t="shared" ref="EJ79:EZ79" si="245">EJ22+EJ23+EJ25+EJ26+EJ27</f>
        <v>0</v>
      </c>
      <c r="EK79" s="194">
        <f t="shared" si="245"/>
        <v>0</v>
      </c>
      <c r="EL79" s="194">
        <f t="shared" si="245"/>
        <v>0</v>
      </c>
      <c r="EM79" s="194">
        <f t="shared" si="245"/>
        <v>0</v>
      </c>
      <c r="EN79" s="194">
        <f t="shared" si="245"/>
        <v>0</v>
      </c>
      <c r="EO79" s="194">
        <f t="shared" si="245"/>
        <v>0</v>
      </c>
      <c r="EP79" s="194">
        <f t="shared" si="245"/>
        <v>0</v>
      </c>
      <c r="EQ79" s="194">
        <f t="shared" si="245"/>
        <v>0</v>
      </c>
      <c r="ER79" s="194">
        <f t="shared" si="245"/>
        <v>0</v>
      </c>
      <c r="ES79" s="194">
        <f t="shared" si="245"/>
        <v>0</v>
      </c>
      <c r="ET79" s="194">
        <f t="shared" si="245"/>
        <v>0</v>
      </c>
      <c r="EU79" s="194">
        <f t="shared" si="245"/>
        <v>0</v>
      </c>
      <c r="EV79" s="194">
        <f t="shared" si="245"/>
        <v>0</v>
      </c>
      <c r="EW79" s="194">
        <f t="shared" si="245"/>
        <v>0</v>
      </c>
      <c r="EX79" s="194">
        <f t="shared" si="245"/>
        <v>0</v>
      </c>
      <c r="EY79" s="194">
        <f t="shared" si="245"/>
        <v>0</v>
      </c>
      <c r="EZ79" s="194">
        <f t="shared" si="245"/>
        <v>0</v>
      </c>
      <c r="FA79" s="194">
        <f t="shared" ref="FA79:FJ79" si="246">FA22+FA23+FA25+FA26+FA27</f>
        <v>0</v>
      </c>
      <c r="FB79" s="194">
        <f t="shared" si="246"/>
        <v>0</v>
      </c>
      <c r="FC79" s="194">
        <f t="shared" si="246"/>
        <v>0</v>
      </c>
      <c r="FD79" s="194">
        <f t="shared" si="246"/>
        <v>0</v>
      </c>
      <c r="FE79" s="194">
        <f t="shared" si="246"/>
        <v>0</v>
      </c>
      <c r="FF79" s="194">
        <f t="shared" si="246"/>
        <v>0</v>
      </c>
      <c r="FG79" s="194">
        <f t="shared" si="246"/>
        <v>0</v>
      </c>
      <c r="FH79" s="194">
        <f t="shared" si="246"/>
        <v>0</v>
      </c>
      <c r="FI79" s="194">
        <f t="shared" si="246"/>
        <v>0</v>
      </c>
      <c r="FJ79" s="194">
        <f t="shared" si="246"/>
        <v>0</v>
      </c>
      <c r="FK79" s="194">
        <f t="shared" ref="FK79:FY79" si="247">FK22+FK23+FK25+FK26+FK27</f>
        <v>0</v>
      </c>
      <c r="FL79" s="194">
        <f t="shared" si="247"/>
        <v>0</v>
      </c>
      <c r="FM79" s="194">
        <f t="shared" si="247"/>
        <v>0</v>
      </c>
      <c r="FN79" s="194">
        <f t="shared" si="247"/>
        <v>0</v>
      </c>
      <c r="FO79" s="194">
        <f t="shared" si="247"/>
        <v>0</v>
      </c>
      <c r="FP79" s="194">
        <f t="shared" si="247"/>
        <v>0</v>
      </c>
      <c r="FQ79" s="194">
        <f t="shared" si="247"/>
        <v>0</v>
      </c>
      <c r="FR79" s="194">
        <f t="shared" si="247"/>
        <v>0</v>
      </c>
      <c r="FS79" s="194">
        <f t="shared" si="247"/>
        <v>0</v>
      </c>
      <c r="FT79" s="194">
        <f t="shared" si="247"/>
        <v>0</v>
      </c>
      <c r="FU79" s="194">
        <f t="shared" si="247"/>
        <v>0</v>
      </c>
      <c r="FV79" s="194">
        <f t="shared" si="247"/>
        <v>0</v>
      </c>
      <c r="FW79" s="194">
        <f t="shared" si="247"/>
        <v>0</v>
      </c>
      <c r="FX79" s="194">
        <f t="shared" si="247"/>
        <v>0</v>
      </c>
      <c r="FY79" s="194">
        <f t="shared" si="247"/>
        <v>0</v>
      </c>
      <c r="FZ79" s="194">
        <f t="shared" ref="FZ79:GO79" si="248">FZ22+FZ23+FZ25+FZ26+FZ27</f>
        <v>0</v>
      </c>
      <c r="GA79" s="194">
        <f t="shared" si="248"/>
        <v>0</v>
      </c>
      <c r="GB79" s="194">
        <f t="shared" si="248"/>
        <v>0</v>
      </c>
      <c r="GC79" s="194">
        <f t="shared" si="248"/>
        <v>0</v>
      </c>
      <c r="GD79" s="194">
        <f t="shared" si="248"/>
        <v>0</v>
      </c>
      <c r="GE79" s="194">
        <f t="shared" si="248"/>
        <v>0</v>
      </c>
      <c r="GF79" s="194">
        <f t="shared" si="248"/>
        <v>0</v>
      </c>
      <c r="GG79" s="194">
        <f t="shared" si="248"/>
        <v>0</v>
      </c>
      <c r="GH79" s="194">
        <f t="shared" si="248"/>
        <v>0</v>
      </c>
      <c r="GI79" s="194">
        <f t="shared" si="248"/>
        <v>0</v>
      </c>
      <c r="GJ79" s="194">
        <f t="shared" si="248"/>
        <v>0</v>
      </c>
      <c r="GK79" s="194">
        <f t="shared" si="248"/>
        <v>0</v>
      </c>
      <c r="GL79" s="194">
        <f t="shared" si="248"/>
        <v>0</v>
      </c>
      <c r="GM79" s="194">
        <f t="shared" si="248"/>
        <v>0</v>
      </c>
      <c r="GN79" s="194">
        <f t="shared" si="248"/>
        <v>0</v>
      </c>
      <c r="GO79" s="194">
        <f t="shared" si="248"/>
        <v>0</v>
      </c>
      <c r="GP79" s="194">
        <f t="shared" ref="GP79:HT79" si="249">GP22+GP23+GP25+GP26+GP27</f>
        <v>0</v>
      </c>
      <c r="GQ79" s="194">
        <f t="shared" si="249"/>
        <v>0</v>
      </c>
      <c r="GR79" s="194">
        <f t="shared" si="249"/>
        <v>0</v>
      </c>
      <c r="GS79" s="194">
        <f t="shared" si="249"/>
        <v>0</v>
      </c>
      <c r="GT79" s="194">
        <f t="shared" si="249"/>
        <v>0</v>
      </c>
      <c r="GU79" s="194">
        <f t="shared" si="249"/>
        <v>0</v>
      </c>
      <c r="GV79" s="194">
        <f t="shared" si="249"/>
        <v>0</v>
      </c>
      <c r="GW79" s="194">
        <f t="shared" si="249"/>
        <v>0</v>
      </c>
      <c r="GX79" s="194">
        <f t="shared" si="249"/>
        <v>0</v>
      </c>
      <c r="GY79" s="194">
        <f t="shared" si="249"/>
        <v>0</v>
      </c>
      <c r="GZ79" s="194">
        <f t="shared" si="249"/>
        <v>0</v>
      </c>
      <c r="HA79" s="194">
        <f t="shared" si="249"/>
        <v>0</v>
      </c>
      <c r="HB79" s="194">
        <f t="shared" si="249"/>
        <v>0</v>
      </c>
      <c r="HC79" s="194">
        <f t="shared" si="249"/>
        <v>0</v>
      </c>
      <c r="HD79" s="194">
        <f t="shared" si="249"/>
        <v>0</v>
      </c>
      <c r="HE79" s="194">
        <f t="shared" si="249"/>
        <v>0</v>
      </c>
      <c r="HF79" s="194">
        <f t="shared" si="249"/>
        <v>0</v>
      </c>
      <c r="HG79" s="194">
        <f t="shared" si="249"/>
        <v>0</v>
      </c>
      <c r="HH79" s="194">
        <f t="shared" si="249"/>
        <v>0</v>
      </c>
      <c r="HI79" s="194">
        <f t="shared" si="249"/>
        <v>0</v>
      </c>
      <c r="HJ79" s="194">
        <f t="shared" si="249"/>
        <v>0</v>
      </c>
      <c r="HK79" s="194">
        <f t="shared" si="249"/>
        <v>0</v>
      </c>
      <c r="HL79" s="194">
        <f t="shared" si="249"/>
        <v>0</v>
      </c>
      <c r="HM79" s="194">
        <f t="shared" si="249"/>
        <v>0</v>
      </c>
      <c r="HN79" s="194">
        <f t="shared" si="249"/>
        <v>0</v>
      </c>
      <c r="HO79" s="194">
        <f t="shared" si="249"/>
        <v>0</v>
      </c>
      <c r="HP79" s="194">
        <f t="shared" si="249"/>
        <v>0</v>
      </c>
      <c r="HQ79" s="194">
        <f t="shared" si="249"/>
        <v>0</v>
      </c>
      <c r="HR79" s="194">
        <f t="shared" si="249"/>
        <v>0</v>
      </c>
      <c r="HS79" s="194">
        <f t="shared" si="249"/>
        <v>0</v>
      </c>
      <c r="HT79" s="194">
        <f t="shared" si="249"/>
        <v>0</v>
      </c>
    </row>
    <row r="80" spans="1:229" x14ac:dyDescent="0.25">
      <c r="B80" s="495"/>
      <c r="C80" s="8" t="s">
        <v>80</v>
      </c>
      <c r="E80" s="194">
        <f t="shared" ref="E80:AJ80" si="250">E21/2+E24+E29+E30</f>
        <v>0</v>
      </c>
      <c r="F80" s="194">
        <f t="shared" si="250"/>
        <v>0</v>
      </c>
      <c r="G80" s="194">
        <f t="shared" si="250"/>
        <v>0</v>
      </c>
      <c r="H80" s="194">
        <f t="shared" si="250"/>
        <v>0</v>
      </c>
      <c r="I80" s="194">
        <f t="shared" si="250"/>
        <v>0</v>
      </c>
      <c r="J80" s="194">
        <f t="shared" si="250"/>
        <v>0</v>
      </c>
      <c r="K80" s="194">
        <f t="shared" si="250"/>
        <v>0</v>
      </c>
      <c r="L80" s="194">
        <f t="shared" si="250"/>
        <v>0</v>
      </c>
      <c r="M80" s="194">
        <f t="shared" si="250"/>
        <v>0</v>
      </c>
      <c r="N80" s="194">
        <f t="shared" si="250"/>
        <v>0</v>
      </c>
      <c r="O80" s="292">
        <f t="shared" si="250"/>
        <v>0</v>
      </c>
      <c r="P80" s="292">
        <f t="shared" si="250"/>
        <v>0</v>
      </c>
      <c r="Q80" s="194">
        <f t="shared" si="250"/>
        <v>0</v>
      </c>
      <c r="R80" s="194">
        <f t="shared" si="250"/>
        <v>0</v>
      </c>
      <c r="S80" s="194">
        <f t="shared" si="250"/>
        <v>0</v>
      </c>
      <c r="T80" s="194">
        <f t="shared" si="250"/>
        <v>0</v>
      </c>
      <c r="U80" s="194">
        <f t="shared" si="250"/>
        <v>0</v>
      </c>
      <c r="V80" s="194">
        <f t="shared" si="250"/>
        <v>0</v>
      </c>
      <c r="W80" s="194">
        <f t="shared" si="250"/>
        <v>0</v>
      </c>
      <c r="X80" s="194">
        <f t="shared" si="250"/>
        <v>0</v>
      </c>
      <c r="Y80" s="194">
        <f t="shared" si="250"/>
        <v>0</v>
      </c>
      <c r="Z80" s="194">
        <f t="shared" si="250"/>
        <v>0</v>
      </c>
      <c r="AA80" s="194">
        <f t="shared" si="250"/>
        <v>0</v>
      </c>
      <c r="AB80" s="194">
        <f t="shared" si="250"/>
        <v>0</v>
      </c>
      <c r="AC80" s="194">
        <f t="shared" si="250"/>
        <v>0</v>
      </c>
      <c r="AD80" s="194">
        <f t="shared" si="250"/>
        <v>0</v>
      </c>
      <c r="AE80" s="194">
        <f t="shared" si="250"/>
        <v>0.5</v>
      </c>
      <c r="AF80" s="194">
        <f t="shared" si="250"/>
        <v>6</v>
      </c>
      <c r="AG80" s="194">
        <f t="shared" si="250"/>
        <v>0</v>
      </c>
      <c r="AH80" s="194">
        <f t="shared" si="250"/>
        <v>0</v>
      </c>
      <c r="AI80" s="194">
        <f t="shared" si="250"/>
        <v>0</v>
      </c>
      <c r="AJ80" s="194">
        <f t="shared" si="250"/>
        <v>0</v>
      </c>
      <c r="AK80" s="194">
        <f t="shared" ref="AK80:BP80" si="251">AK21/2+AK24+AK29+AK30</f>
        <v>0</v>
      </c>
      <c r="AL80" s="194">
        <f t="shared" si="251"/>
        <v>0</v>
      </c>
      <c r="AM80" s="194">
        <f t="shared" si="251"/>
        <v>0</v>
      </c>
      <c r="AN80" s="194">
        <f t="shared" si="251"/>
        <v>0</v>
      </c>
      <c r="AO80" s="194">
        <f t="shared" si="251"/>
        <v>0</v>
      </c>
      <c r="AP80" s="194">
        <f t="shared" si="251"/>
        <v>0</v>
      </c>
      <c r="AQ80" s="194">
        <f t="shared" si="251"/>
        <v>0</v>
      </c>
      <c r="AR80" s="194">
        <f t="shared" si="251"/>
        <v>0</v>
      </c>
      <c r="AS80" s="194">
        <f t="shared" si="251"/>
        <v>0</v>
      </c>
      <c r="AT80" s="194">
        <f t="shared" si="251"/>
        <v>0</v>
      </c>
      <c r="AU80" s="194">
        <f t="shared" si="251"/>
        <v>2</v>
      </c>
      <c r="AV80" s="194">
        <f t="shared" si="251"/>
        <v>0</v>
      </c>
      <c r="AW80" s="194">
        <f t="shared" si="251"/>
        <v>0</v>
      </c>
      <c r="AX80" s="194">
        <f t="shared" si="251"/>
        <v>0</v>
      </c>
      <c r="AY80" s="194">
        <f t="shared" si="251"/>
        <v>0</v>
      </c>
      <c r="AZ80" s="194">
        <f t="shared" si="251"/>
        <v>0</v>
      </c>
      <c r="BA80" s="194">
        <f t="shared" si="251"/>
        <v>4</v>
      </c>
      <c r="BB80" s="194">
        <f t="shared" si="251"/>
        <v>0</v>
      </c>
      <c r="BC80" s="194">
        <f t="shared" si="251"/>
        <v>0</v>
      </c>
      <c r="BD80" s="194">
        <f t="shared" si="251"/>
        <v>0</v>
      </c>
      <c r="BE80" s="194">
        <f t="shared" si="251"/>
        <v>0</v>
      </c>
      <c r="BF80" s="194">
        <f t="shared" si="251"/>
        <v>0</v>
      </c>
      <c r="BG80" s="194">
        <f t="shared" si="251"/>
        <v>0</v>
      </c>
      <c r="BH80" s="194">
        <f t="shared" si="251"/>
        <v>0</v>
      </c>
      <c r="BI80" s="194">
        <f t="shared" si="251"/>
        <v>0</v>
      </c>
      <c r="BJ80" s="194">
        <f t="shared" si="251"/>
        <v>0</v>
      </c>
      <c r="BK80" s="194">
        <f t="shared" si="251"/>
        <v>0</v>
      </c>
      <c r="BL80" s="194">
        <f t="shared" si="251"/>
        <v>0</v>
      </c>
      <c r="BM80" s="194">
        <f t="shared" si="251"/>
        <v>0</v>
      </c>
      <c r="BN80" s="194">
        <f t="shared" si="251"/>
        <v>0</v>
      </c>
      <c r="BO80" s="194">
        <f t="shared" si="251"/>
        <v>2</v>
      </c>
      <c r="BP80" s="194">
        <f t="shared" si="251"/>
        <v>0</v>
      </c>
      <c r="BQ80" s="194">
        <f t="shared" ref="BQ80:BV80" si="252">BQ21/2+BQ24+BQ29+BQ30</f>
        <v>0</v>
      </c>
      <c r="BR80" s="194">
        <f t="shared" si="252"/>
        <v>0</v>
      </c>
      <c r="BS80" s="194">
        <f t="shared" si="252"/>
        <v>2</v>
      </c>
      <c r="BT80" s="194">
        <f t="shared" si="252"/>
        <v>0</v>
      </c>
      <c r="BU80" s="194">
        <f t="shared" si="252"/>
        <v>0</v>
      </c>
      <c r="BV80" s="194">
        <f t="shared" si="252"/>
        <v>0</v>
      </c>
      <c r="BW80" s="194"/>
      <c r="BX80" s="194">
        <f t="shared" ref="BX80:DC80" si="253">BX21/2+BX24+BX29+BX30</f>
        <v>0</v>
      </c>
      <c r="BY80" s="194">
        <f t="shared" si="253"/>
        <v>0</v>
      </c>
      <c r="BZ80" s="194">
        <f t="shared" si="253"/>
        <v>0</v>
      </c>
      <c r="CA80" s="194">
        <f t="shared" si="253"/>
        <v>0</v>
      </c>
      <c r="CB80" s="194">
        <f t="shared" si="253"/>
        <v>0</v>
      </c>
      <c r="CC80" s="194">
        <f t="shared" si="253"/>
        <v>0</v>
      </c>
      <c r="CD80" s="194">
        <f t="shared" si="253"/>
        <v>1.5</v>
      </c>
      <c r="CE80" s="194">
        <f t="shared" si="253"/>
        <v>0</v>
      </c>
      <c r="CF80" s="194">
        <f t="shared" si="253"/>
        <v>0</v>
      </c>
      <c r="CG80" s="194">
        <f t="shared" si="253"/>
        <v>0</v>
      </c>
      <c r="CH80" s="194">
        <f t="shared" si="253"/>
        <v>0</v>
      </c>
      <c r="CI80" s="194">
        <f t="shared" si="253"/>
        <v>0</v>
      </c>
      <c r="CJ80" s="194">
        <f t="shared" si="253"/>
        <v>0</v>
      </c>
      <c r="CK80" s="194">
        <f t="shared" si="253"/>
        <v>0</v>
      </c>
      <c r="CL80" s="194">
        <f t="shared" si="253"/>
        <v>1.5</v>
      </c>
      <c r="CM80" s="194">
        <f t="shared" si="253"/>
        <v>0</v>
      </c>
      <c r="CN80" s="194">
        <f t="shared" si="253"/>
        <v>0</v>
      </c>
      <c r="CO80" s="194">
        <f t="shared" si="253"/>
        <v>2.5</v>
      </c>
      <c r="CP80" s="194">
        <f t="shared" si="253"/>
        <v>0</v>
      </c>
      <c r="CQ80" s="194">
        <f t="shared" si="253"/>
        <v>0</v>
      </c>
      <c r="CR80" s="194">
        <f t="shared" si="253"/>
        <v>0</v>
      </c>
      <c r="CS80" s="194">
        <f t="shared" si="253"/>
        <v>0</v>
      </c>
      <c r="CT80" s="194">
        <f t="shared" si="253"/>
        <v>0</v>
      </c>
      <c r="CU80" s="194">
        <f t="shared" si="253"/>
        <v>0</v>
      </c>
      <c r="CV80" s="194">
        <f t="shared" si="253"/>
        <v>0</v>
      </c>
      <c r="CW80" s="194">
        <f t="shared" si="253"/>
        <v>2</v>
      </c>
      <c r="CX80" s="194">
        <f t="shared" si="253"/>
        <v>1.5</v>
      </c>
      <c r="CY80" s="194">
        <f t="shared" si="253"/>
        <v>0</v>
      </c>
      <c r="CZ80" s="194">
        <f t="shared" si="253"/>
        <v>0</v>
      </c>
      <c r="DA80" s="194">
        <f t="shared" si="253"/>
        <v>1.5</v>
      </c>
      <c r="DB80" s="194">
        <f t="shared" si="253"/>
        <v>0</v>
      </c>
      <c r="DC80" s="194">
        <f t="shared" si="253"/>
        <v>0</v>
      </c>
      <c r="DD80" s="194">
        <f t="shared" ref="DD80:EI80" si="254">DD21/2+DD24+DD29+DD30</f>
        <v>1.5</v>
      </c>
      <c r="DE80" s="194">
        <f t="shared" si="254"/>
        <v>0</v>
      </c>
      <c r="DF80" s="194">
        <f t="shared" si="254"/>
        <v>0</v>
      </c>
      <c r="DG80" s="194">
        <f t="shared" si="254"/>
        <v>3.5</v>
      </c>
      <c r="DH80" s="194">
        <f t="shared" si="254"/>
        <v>0.5</v>
      </c>
      <c r="DI80" s="194">
        <f t="shared" si="254"/>
        <v>0</v>
      </c>
      <c r="DJ80" s="194">
        <f t="shared" si="254"/>
        <v>0</v>
      </c>
      <c r="DK80" s="194">
        <f t="shared" si="254"/>
        <v>0</v>
      </c>
      <c r="DL80" s="194">
        <f t="shared" si="254"/>
        <v>3</v>
      </c>
      <c r="DM80" s="194">
        <f t="shared" si="254"/>
        <v>0</v>
      </c>
      <c r="DN80" s="194">
        <f t="shared" si="254"/>
        <v>0.5</v>
      </c>
      <c r="DO80" s="194">
        <f t="shared" si="254"/>
        <v>0</v>
      </c>
      <c r="DP80" s="194">
        <f t="shared" si="254"/>
        <v>0</v>
      </c>
      <c r="DQ80" s="194">
        <f t="shared" si="254"/>
        <v>0</v>
      </c>
      <c r="DR80" s="194">
        <f t="shared" si="254"/>
        <v>0.5</v>
      </c>
      <c r="DS80" s="194">
        <f t="shared" si="254"/>
        <v>0</v>
      </c>
      <c r="DT80" s="194">
        <f t="shared" si="254"/>
        <v>0</v>
      </c>
      <c r="DU80" s="194">
        <f t="shared" si="254"/>
        <v>0</v>
      </c>
      <c r="DV80" s="194">
        <f t="shared" si="254"/>
        <v>0</v>
      </c>
      <c r="DW80" s="194">
        <f t="shared" si="254"/>
        <v>0</v>
      </c>
      <c r="DX80" s="194">
        <f t="shared" si="254"/>
        <v>0</v>
      </c>
      <c r="DY80" s="194">
        <f t="shared" si="254"/>
        <v>0</v>
      </c>
      <c r="DZ80" s="194">
        <f t="shared" si="254"/>
        <v>0</v>
      </c>
      <c r="EA80" s="194">
        <f t="shared" si="254"/>
        <v>0</v>
      </c>
      <c r="EB80" s="194">
        <f t="shared" si="254"/>
        <v>0</v>
      </c>
      <c r="EC80" s="194">
        <f t="shared" si="254"/>
        <v>0</v>
      </c>
      <c r="ED80" s="194">
        <f t="shared" si="254"/>
        <v>0</v>
      </c>
      <c r="EE80" s="194">
        <f t="shared" si="254"/>
        <v>0</v>
      </c>
      <c r="EF80" s="194">
        <f t="shared" si="254"/>
        <v>0</v>
      </c>
      <c r="EG80" s="194">
        <f t="shared" si="254"/>
        <v>0</v>
      </c>
      <c r="EH80" s="194">
        <f t="shared" si="254"/>
        <v>0</v>
      </c>
      <c r="EI80" s="194">
        <f t="shared" si="254"/>
        <v>0</v>
      </c>
      <c r="EJ80" s="194">
        <f t="shared" ref="EJ80:EZ80" si="255">EJ21/2+EJ24+EJ29+EJ30</f>
        <v>0</v>
      </c>
      <c r="EK80" s="194">
        <f t="shared" si="255"/>
        <v>0</v>
      </c>
      <c r="EL80" s="194">
        <f t="shared" si="255"/>
        <v>0</v>
      </c>
      <c r="EM80" s="194">
        <f t="shared" si="255"/>
        <v>0</v>
      </c>
      <c r="EN80" s="194">
        <f t="shared" si="255"/>
        <v>1</v>
      </c>
      <c r="EO80" s="194">
        <f t="shared" si="255"/>
        <v>0</v>
      </c>
      <c r="EP80" s="194">
        <f t="shared" si="255"/>
        <v>0</v>
      </c>
      <c r="EQ80" s="194">
        <f t="shared" si="255"/>
        <v>0</v>
      </c>
      <c r="ER80" s="194">
        <f t="shared" si="255"/>
        <v>0</v>
      </c>
      <c r="ES80" s="194">
        <f t="shared" si="255"/>
        <v>0</v>
      </c>
      <c r="ET80" s="194">
        <f t="shared" si="255"/>
        <v>0</v>
      </c>
      <c r="EU80" s="194">
        <f t="shared" si="255"/>
        <v>0</v>
      </c>
      <c r="EV80" s="194">
        <f t="shared" si="255"/>
        <v>0</v>
      </c>
      <c r="EW80" s="194">
        <f t="shared" si="255"/>
        <v>0</v>
      </c>
      <c r="EX80" s="194">
        <f t="shared" si="255"/>
        <v>0</v>
      </c>
      <c r="EY80" s="194">
        <f t="shared" si="255"/>
        <v>0</v>
      </c>
      <c r="EZ80" s="194">
        <f t="shared" si="255"/>
        <v>0</v>
      </c>
      <c r="FA80" s="194">
        <f t="shared" ref="FA80:FJ80" si="256">FA21/2+FA24+FA29+FA30</f>
        <v>0</v>
      </c>
      <c r="FB80" s="194">
        <f t="shared" si="256"/>
        <v>0</v>
      </c>
      <c r="FC80" s="194">
        <f t="shared" si="256"/>
        <v>0</v>
      </c>
      <c r="FD80" s="194">
        <f t="shared" si="256"/>
        <v>0</v>
      </c>
      <c r="FE80" s="194">
        <f t="shared" si="256"/>
        <v>0</v>
      </c>
      <c r="FF80" s="194">
        <f t="shared" si="256"/>
        <v>0</v>
      </c>
      <c r="FG80" s="194">
        <f t="shared" si="256"/>
        <v>0</v>
      </c>
      <c r="FH80" s="194">
        <f t="shared" si="256"/>
        <v>0</v>
      </c>
      <c r="FI80" s="194">
        <f t="shared" si="256"/>
        <v>0</v>
      </c>
      <c r="FJ80" s="194">
        <f t="shared" si="256"/>
        <v>0</v>
      </c>
      <c r="FK80" s="194">
        <f t="shared" ref="FK80:FY80" si="257">FK21/2+FK24+FK29+FK30</f>
        <v>0</v>
      </c>
      <c r="FL80" s="194">
        <f t="shared" si="257"/>
        <v>0</v>
      </c>
      <c r="FM80" s="194">
        <f t="shared" si="257"/>
        <v>0</v>
      </c>
      <c r="FN80" s="194">
        <f t="shared" si="257"/>
        <v>0</v>
      </c>
      <c r="FO80" s="194">
        <f t="shared" si="257"/>
        <v>0</v>
      </c>
      <c r="FP80" s="194">
        <f t="shared" si="257"/>
        <v>0</v>
      </c>
      <c r="FQ80" s="194">
        <f t="shared" si="257"/>
        <v>0</v>
      </c>
      <c r="FR80" s="194">
        <f t="shared" si="257"/>
        <v>0</v>
      </c>
      <c r="FS80" s="194">
        <f t="shared" si="257"/>
        <v>0</v>
      </c>
      <c r="FT80" s="194">
        <f t="shared" si="257"/>
        <v>0</v>
      </c>
      <c r="FU80" s="194">
        <f t="shared" si="257"/>
        <v>0</v>
      </c>
      <c r="FV80" s="194">
        <f t="shared" si="257"/>
        <v>0</v>
      </c>
      <c r="FW80" s="194">
        <f t="shared" si="257"/>
        <v>0</v>
      </c>
      <c r="FX80" s="194">
        <f t="shared" si="257"/>
        <v>0</v>
      </c>
      <c r="FY80" s="194">
        <f t="shared" si="257"/>
        <v>0</v>
      </c>
      <c r="FZ80" s="194">
        <f t="shared" ref="FZ80:GO80" si="258">FZ21/2+FZ24+FZ29+FZ30</f>
        <v>0</v>
      </c>
      <c r="GA80" s="194">
        <f t="shared" si="258"/>
        <v>0</v>
      </c>
      <c r="GB80" s="194">
        <f t="shared" si="258"/>
        <v>0</v>
      </c>
      <c r="GC80" s="194">
        <f t="shared" si="258"/>
        <v>0</v>
      </c>
      <c r="GD80" s="194">
        <f t="shared" si="258"/>
        <v>0</v>
      </c>
      <c r="GE80" s="194">
        <f t="shared" si="258"/>
        <v>0</v>
      </c>
      <c r="GF80" s="194">
        <f t="shared" si="258"/>
        <v>0</v>
      </c>
      <c r="GG80" s="194">
        <f t="shared" si="258"/>
        <v>0</v>
      </c>
      <c r="GH80" s="194">
        <f t="shared" si="258"/>
        <v>0</v>
      </c>
      <c r="GI80" s="194">
        <f t="shared" si="258"/>
        <v>5</v>
      </c>
      <c r="GJ80" s="194">
        <f t="shared" si="258"/>
        <v>0</v>
      </c>
      <c r="GK80" s="194">
        <f t="shared" si="258"/>
        <v>0</v>
      </c>
      <c r="GL80" s="194">
        <f t="shared" si="258"/>
        <v>0</v>
      </c>
      <c r="GM80" s="194">
        <f t="shared" si="258"/>
        <v>3</v>
      </c>
      <c r="GN80" s="194">
        <f t="shared" si="258"/>
        <v>0</v>
      </c>
      <c r="GO80" s="194">
        <f t="shared" si="258"/>
        <v>0</v>
      </c>
      <c r="GP80" s="194">
        <f t="shared" ref="GP80:HT80" si="259">GP21/2+GP24+GP29+GP30</f>
        <v>0</v>
      </c>
      <c r="GQ80" s="194">
        <f t="shared" si="259"/>
        <v>0</v>
      </c>
      <c r="GR80" s="194">
        <f t="shared" si="259"/>
        <v>0</v>
      </c>
      <c r="GS80" s="194">
        <f t="shared" si="259"/>
        <v>0</v>
      </c>
      <c r="GT80" s="194">
        <f t="shared" si="259"/>
        <v>0</v>
      </c>
      <c r="GU80" s="194">
        <f t="shared" si="259"/>
        <v>0</v>
      </c>
      <c r="GV80" s="194">
        <f t="shared" si="259"/>
        <v>0</v>
      </c>
      <c r="GW80" s="194">
        <f t="shared" si="259"/>
        <v>0</v>
      </c>
      <c r="GX80" s="194">
        <f t="shared" si="259"/>
        <v>0</v>
      </c>
      <c r="GY80" s="194">
        <f t="shared" si="259"/>
        <v>0</v>
      </c>
      <c r="GZ80" s="194">
        <f t="shared" si="259"/>
        <v>0</v>
      </c>
      <c r="HA80" s="194">
        <f t="shared" si="259"/>
        <v>0</v>
      </c>
      <c r="HB80" s="194">
        <f t="shared" si="259"/>
        <v>0</v>
      </c>
      <c r="HC80" s="194">
        <f t="shared" si="259"/>
        <v>0</v>
      </c>
      <c r="HD80" s="194">
        <f t="shared" si="259"/>
        <v>0</v>
      </c>
      <c r="HE80" s="194">
        <f t="shared" si="259"/>
        <v>0</v>
      </c>
      <c r="HF80" s="194">
        <f t="shared" si="259"/>
        <v>0</v>
      </c>
      <c r="HG80" s="194">
        <f t="shared" si="259"/>
        <v>0</v>
      </c>
      <c r="HH80" s="194">
        <f t="shared" si="259"/>
        <v>0</v>
      </c>
      <c r="HI80" s="194">
        <f t="shared" si="259"/>
        <v>0</v>
      </c>
      <c r="HJ80" s="194">
        <f t="shared" si="259"/>
        <v>0</v>
      </c>
      <c r="HK80" s="194">
        <f t="shared" si="259"/>
        <v>0</v>
      </c>
      <c r="HL80" s="194">
        <f t="shared" si="259"/>
        <v>0</v>
      </c>
      <c r="HM80" s="194">
        <f t="shared" si="259"/>
        <v>0</v>
      </c>
      <c r="HN80" s="194">
        <f t="shared" si="259"/>
        <v>0</v>
      </c>
      <c r="HO80" s="194">
        <f t="shared" si="259"/>
        <v>0</v>
      </c>
      <c r="HP80" s="194">
        <f t="shared" si="259"/>
        <v>0</v>
      </c>
      <c r="HQ80" s="194">
        <f t="shared" si="259"/>
        <v>0</v>
      </c>
      <c r="HR80" s="194">
        <f t="shared" si="259"/>
        <v>0</v>
      </c>
      <c r="HS80" s="194">
        <f t="shared" si="259"/>
        <v>0</v>
      </c>
      <c r="HT80" s="194">
        <f t="shared" si="259"/>
        <v>0</v>
      </c>
    </row>
    <row r="81" spans="3:228" x14ac:dyDescent="0.25">
      <c r="C81" s="8" t="s">
        <v>89</v>
      </c>
      <c r="E81">
        <f t="shared" ref="E81:AJ81" si="260">E21/2+E28+E31</f>
        <v>0</v>
      </c>
      <c r="F81">
        <f t="shared" si="260"/>
        <v>0</v>
      </c>
      <c r="G81">
        <f t="shared" si="260"/>
        <v>0</v>
      </c>
      <c r="H81">
        <f t="shared" si="260"/>
        <v>0</v>
      </c>
      <c r="I81">
        <f t="shared" si="260"/>
        <v>0</v>
      </c>
      <c r="J81">
        <f t="shared" si="260"/>
        <v>0</v>
      </c>
      <c r="K81">
        <f t="shared" si="260"/>
        <v>0</v>
      </c>
      <c r="L81">
        <f t="shared" si="260"/>
        <v>0</v>
      </c>
      <c r="M81">
        <f t="shared" si="260"/>
        <v>0</v>
      </c>
      <c r="N81">
        <f t="shared" si="260"/>
        <v>0</v>
      </c>
      <c r="O81" s="293">
        <f t="shared" si="260"/>
        <v>0</v>
      </c>
      <c r="P81" s="293">
        <f t="shared" si="260"/>
        <v>0</v>
      </c>
      <c r="Q81">
        <f t="shared" si="260"/>
        <v>0</v>
      </c>
      <c r="R81">
        <f t="shared" si="260"/>
        <v>0</v>
      </c>
      <c r="S81">
        <f t="shared" si="260"/>
        <v>0</v>
      </c>
      <c r="T81">
        <f t="shared" si="260"/>
        <v>0</v>
      </c>
      <c r="U81">
        <f t="shared" si="260"/>
        <v>0</v>
      </c>
      <c r="V81">
        <f t="shared" si="260"/>
        <v>0</v>
      </c>
      <c r="W81">
        <f t="shared" si="260"/>
        <v>0</v>
      </c>
      <c r="X81">
        <f t="shared" si="260"/>
        <v>0</v>
      </c>
      <c r="Y81">
        <f t="shared" si="260"/>
        <v>8</v>
      </c>
      <c r="Z81">
        <f t="shared" si="260"/>
        <v>0</v>
      </c>
      <c r="AA81">
        <f t="shared" si="260"/>
        <v>0</v>
      </c>
      <c r="AB81">
        <f t="shared" si="260"/>
        <v>5</v>
      </c>
      <c r="AC81">
        <f t="shared" si="260"/>
        <v>6</v>
      </c>
      <c r="AD81">
        <f t="shared" si="260"/>
        <v>0</v>
      </c>
      <c r="AE81">
        <f t="shared" si="260"/>
        <v>0.5</v>
      </c>
      <c r="AF81">
        <f t="shared" si="260"/>
        <v>0</v>
      </c>
      <c r="AG81">
        <f t="shared" si="260"/>
        <v>0</v>
      </c>
      <c r="AH81">
        <f t="shared" si="260"/>
        <v>0</v>
      </c>
      <c r="AI81">
        <f t="shared" si="260"/>
        <v>0</v>
      </c>
      <c r="AJ81">
        <f t="shared" si="260"/>
        <v>0</v>
      </c>
      <c r="AK81">
        <f t="shared" ref="AK81:BP81" si="261">AK21/2+AK28+AK31</f>
        <v>0</v>
      </c>
      <c r="AL81">
        <f t="shared" si="261"/>
        <v>0</v>
      </c>
      <c r="AM81">
        <f t="shared" si="261"/>
        <v>0</v>
      </c>
      <c r="AN81">
        <f t="shared" si="261"/>
        <v>0</v>
      </c>
      <c r="AO81">
        <f t="shared" si="261"/>
        <v>0</v>
      </c>
      <c r="AP81">
        <f t="shared" si="261"/>
        <v>0</v>
      </c>
      <c r="AQ81">
        <f t="shared" si="261"/>
        <v>0</v>
      </c>
      <c r="AR81">
        <f t="shared" si="261"/>
        <v>0</v>
      </c>
      <c r="AS81">
        <f t="shared" si="261"/>
        <v>0</v>
      </c>
      <c r="AT81">
        <f t="shared" si="261"/>
        <v>0</v>
      </c>
      <c r="AU81">
        <f t="shared" si="261"/>
        <v>0</v>
      </c>
      <c r="AV81">
        <f t="shared" si="261"/>
        <v>0</v>
      </c>
      <c r="AW81">
        <f t="shared" si="261"/>
        <v>0</v>
      </c>
      <c r="AX81">
        <f t="shared" si="261"/>
        <v>0</v>
      </c>
      <c r="AY81">
        <f t="shared" si="261"/>
        <v>0</v>
      </c>
      <c r="AZ81">
        <f t="shared" si="261"/>
        <v>0</v>
      </c>
      <c r="BA81">
        <f t="shared" si="261"/>
        <v>4</v>
      </c>
      <c r="BB81">
        <f t="shared" si="261"/>
        <v>0</v>
      </c>
      <c r="BC81">
        <f t="shared" si="261"/>
        <v>0</v>
      </c>
      <c r="BD81">
        <f t="shared" si="261"/>
        <v>0</v>
      </c>
      <c r="BE81">
        <f t="shared" si="261"/>
        <v>0</v>
      </c>
      <c r="BF81">
        <f t="shared" si="261"/>
        <v>0</v>
      </c>
      <c r="BG81">
        <f t="shared" si="261"/>
        <v>0</v>
      </c>
      <c r="BH81">
        <f t="shared" si="261"/>
        <v>0</v>
      </c>
      <c r="BI81">
        <f t="shared" si="261"/>
        <v>0</v>
      </c>
      <c r="BJ81">
        <f t="shared" si="261"/>
        <v>0</v>
      </c>
      <c r="BK81">
        <f t="shared" si="261"/>
        <v>0</v>
      </c>
      <c r="BL81">
        <f t="shared" si="261"/>
        <v>0</v>
      </c>
      <c r="BM81">
        <f t="shared" si="261"/>
        <v>0</v>
      </c>
      <c r="BN81">
        <f t="shared" si="261"/>
        <v>0</v>
      </c>
      <c r="BO81">
        <f t="shared" si="261"/>
        <v>0</v>
      </c>
      <c r="BP81">
        <f t="shared" si="261"/>
        <v>0</v>
      </c>
      <c r="BQ81">
        <f t="shared" ref="BQ81:BV81" si="262">BQ21/2+BQ28+BQ31</f>
        <v>3</v>
      </c>
      <c r="BR81">
        <f t="shared" si="262"/>
        <v>0</v>
      </c>
      <c r="BS81">
        <f t="shared" si="262"/>
        <v>0</v>
      </c>
      <c r="BT81">
        <f t="shared" si="262"/>
        <v>0</v>
      </c>
      <c r="BU81">
        <f t="shared" si="262"/>
        <v>0</v>
      </c>
      <c r="BV81">
        <f t="shared" si="262"/>
        <v>0</v>
      </c>
      <c r="BX81">
        <f t="shared" ref="BX81:DC81" si="263">BX21/2+BX28+BX31</f>
        <v>0</v>
      </c>
      <c r="BY81">
        <f t="shared" si="263"/>
        <v>0</v>
      </c>
      <c r="BZ81">
        <f t="shared" si="263"/>
        <v>0</v>
      </c>
      <c r="CA81">
        <f t="shared" si="263"/>
        <v>0</v>
      </c>
      <c r="CB81">
        <f t="shared" si="263"/>
        <v>0</v>
      </c>
      <c r="CC81">
        <f t="shared" si="263"/>
        <v>0</v>
      </c>
      <c r="CD81">
        <f t="shared" si="263"/>
        <v>0.5</v>
      </c>
      <c r="CE81">
        <f t="shared" si="263"/>
        <v>0</v>
      </c>
      <c r="CF81">
        <f t="shared" si="263"/>
        <v>0</v>
      </c>
      <c r="CG81">
        <f t="shared" si="263"/>
        <v>0</v>
      </c>
      <c r="CH81">
        <f t="shared" si="263"/>
        <v>0</v>
      </c>
      <c r="CI81">
        <f t="shared" si="263"/>
        <v>3.5</v>
      </c>
      <c r="CJ81">
        <f t="shared" si="263"/>
        <v>0</v>
      </c>
      <c r="CK81">
        <f t="shared" si="263"/>
        <v>0</v>
      </c>
      <c r="CL81">
        <f t="shared" si="263"/>
        <v>0.5</v>
      </c>
      <c r="CM81">
        <f t="shared" si="263"/>
        <v>0</v>
      </c>
      <c r="CN81">
        <f t="shared" si="263"/>
        <v>0</v>
      </c>
      <c r="CO81">
        <f t="shared" si="263"/>
        <v>2.5</v>
      </c>
      <c r="CP81">
        <f t="shared" si="263"/>
        <v>0</v>
      </c>
      <c r="CQ81">
        <f t="shared" si="263"/>
        <v>1</v>
      </c>
      <c r="CR81">
        <f t="shared" si="263"/>
        <v>0</v>
      </c>
      <c r="CS81">
        <f t="shared" si="263"/>
        <v>0</v>
      </c>
      <c r="CT81">
        <f t="shared" si="263"/>
        <v>0</v>
      </c>
      <c r="CU81">
        <f t="shared" si="263"/>
        <v>0</v>
      </c>
      <c r="CV81">
        <f t="shared" si="263"/>
        <v>0</v>
      </c>
      <c r="CW81">
        <f t="shared" si="263"/>
        <v>3</v>
      </c>
      <c r="CX81">
        <f t="shared" si="263"/>
        <v>1.5</v>
      </c>
      <c r="CY81">
        <f t="shared" si="263"/>
        <v>0</v>
      </c>
      <c r="CZ81">
        <f t="shared" si="263"/>
        <v>1.5</v>
      </c>
      <c r="DA81">
        <f t="shared" si="263"/>
        <v>1.5</v>
      </c>
      <c r="DB81">
        <f t="shared" si="263"/>
        <v>0</v>
      </c>
      <c r="DC81">
        <f t="shared" si="263"/>
        <v>0</v>
      </c>
      <c r="DD81">
        <f t="shared" ref="DD81:EI81" si="264">DD21/2+DD28+DD31</f>
        <v>5.5</v>
      </c>
      <c r="DE81">
        <f t="shared" si="264"/>
        <v>0</v>
      </c>
      <c r="DF81">
        <f t="shared" si="264"/>
        <v>0</v>
      </c>
      <c r="DG81">
        <f t="shared" si="264"/>
        <v>3.5</v>
      </c>
      <c r="DH81">
        <f t="shared" si="264"/>
        <v>0.5</v>
      </c>
      <c r="DI81">
        <f t="shared" si="264"/>
        <v>0</v>
      </c>
      <c r="DJ81">
        <f t="shared" si="264"/>
        <v>0</v>
      </c>
      <c r="DK81">
        <f t="shared" si="264"/>
        <v>0</v>
      </c>
      <c r="DL81">
        <f t="shared" si="264"/>
        <v>2</v>
      </c>
      <c r="DM81">
        <f t="shared" si="264"/>
        <v>0</v>
      </c>
      <c r="DN81">
        <f t="shared" si="264"/>
        <v>0.5</v>
      </c>
      <c r="DO81">
        <f t="shared" si="264"/>
        <v>0</v>
      </c>
      <c r="DP81">
        <f t="shared" si="264"/>
        <v>0</v>
      </c>
      <c r="DQ81">
        <f t="shared" si="264"/>
        <v>0</v>
      </c>
      <c r="DR81">
        <f t="shared" si="264"/>
        <v>0.5</v>
      </c>
      <c r="DS81">
        <f t="shared" si="264"/>
        <v>0</v>
      </c>
      <c r="DT81">
        <f t="shared" si="264"/>
        <v>0</v>
      </c>
      <c r="DU81">
        <f t="shared" si="264"/>
        <v>3</v>
      </c>
      <c r="DV81">
        <f t="shared" si="264"/>
        <v>0</v>
      </c>
      <c r="DW81">
        <f t="shared" si="264"/>
        <v>0</v>
      </c>
      <c r="DX81">
        <f t="shared" si="264"/>
        <v>0</v>
      </c>
      <c r="DY81">
        <f t="shared" si="264"/>
        <v>0</v>
      </c>
      <c r="DZ81">
        <f t="shared" si="264"/>
        <v>0</v>
      </c>
      <c r="EA81">
        <f t="shared" si="264"/>
        <v>0</v>
      </c>
      <c r="EB81">
        <f t="shared" si="264"/>
        <v>0</v>
      </c>
      <c r="EC81">
        <f t="shared" si="264"/>
        <v>0</v>
      </c>
      <c r="ED81">
        <f t="shared" si="264"/>
        <v>0</v>
      </c>
      <c r="EE81">
        <f t="shared" si="264"/>
        <v>0</v>
      </c>
      <c r="EF81">
        <f t="shared" si="264"/>
        <v>0</v>
      </c>
      <c r="EG81">
        <f t="shared" si="264"/>
        <v>0</v>
      </c>
      <c r="EH81">
        <f t="shared" si="264"/>
        <v>0</v>
      </c>
      <c r="EI81">
        <f t="shared" si="264"/>
        <v>0</v>
      </c>
      <c r="EJ81">
        <f t="shared" ref="EJ81:EZ81" si="265">EJ21/2+EJ28+EJ31</f>
        <v>0</v>
      </c>
      <c r="EK81">
        <f t="shared" si="265"/>
        <v>0</v>
      </c>
      <c r="EL81">
        <f t="shared" si="265"/>
        <v>0</v>
      </c>
      <c r="EM81">
        <f t="shared" si="265"/>
        <v>0</v>
      </c>
      <c r="EN81">
        <f t="shared" si="265"/>
        <v>1</v>
      </c>
      <c r="EO81">
        <f t="shared" si="265"/>
        <v>0</v>
      </c>
      <c r="EP81">
        <f t="shared" si="265"/>
        <v>0</v>
      </c>
      <c r="EQ81">
        <f t="shared" si="265"/>
        <v>0</v>
      </c>
      <c r="ER81">
        <f t="shared" si="265"/>
        <v>0</v>
      </c>
      <c r="ES81">
        <f t="shared" si="265"/>
        <v>0</v>
      </c>
      <c r="ET81">
        <f t="shared" si="265"/>
        <v>1</v>
      </c>
      <c r="EU81">
        <f t="shared" si="265"/>
        <v>0</v>
      </c>
      <c r="EV81">
        <f t="shared" si="265"/>
        <v>0</v>
      </c>
      <c r="EW81">
        <f t="shared" si="265"/>
        <v>0</v>
      </c>
      <c r="EX81">
        <f t="shared" si="265"/>
        <v>0</v>
      </c>
      <c r="EY81">
        <f t="shared" si="265"/>
        <v>0</v>
      </c>
      <c r="EZ81">
        <f t="shared" si="265"/>
        <v>0</v>
      </c>
      <c r="FA81">
        <f t="shared" ref="FA81:FJ81" si="266">FA21/2+FA28+FA31</f>
        <v>0</v>
      </c>
      <c r="FB81">
        <f t="shared" si="266"/>
        <v>0</v>
      </c>
      <c r="FC81">
        <f t="shared" si="266"/>
        <v>0</v>
      </c>
      <c r="FD81">
        <f t="shared" si="266"/>
        <v>0</v>
      </c>
      <c r="FE81">
        <f t="shared" si="266"/>
        <v>0</v>
      </c>
      <c r="FF81">
        <f t="shared" si="266"/>
        <v>0</v>
      </c>
      <c r="FG81">
        <f t="shared" si="266"/>
        <v>0</v>
      </c>
      <c r="FH81">
        <f t="shared" si="266"/>
        <v>0</v>
      </c>
      <c r="FI81">
        <f t="shared" si="266"/>
        <v>0</v>
      </c>
      <c r="FJ81">
        <f t="shared" si="266"/>
        <v>0</v>
      </c>
      <c r="FK81">
        <f t="shared" ref="FK81:FY81" si="267">FK21/2+FK28+FK31</f>
        <v>0</v>
      </c>
      <c r="FL81">
        <f t="shared" si="267"/>
        <v>0</v>
      </c>
      <c r="FM81">
        <f t="shared" si="267"/>
        <v>0</v>
      </c>
      <c r="FN81">
        <f t="shared" si="267"/>
        <v>0</v>
      </c>
      <c r="FO81">
        <f t="shared" si="267"/>
        <v>0</v>
      </c>
      <c r="FP81">
        <f t="shared" si="267"/>
        <v>0</v>
      </c>
      <c r="FQ81">
        <f t="shared" si="267"/>
        <v>0</v>
      </c>
      <c r="FR81">
        <f t="shared" si="267"/>
        <v>0</v>
      </c>
      <c r="FS81">
        <f t="shared" si="267"/>
        <v>0</v>
      </c>
      <c r="FT81">
        <f t="shared" si="267"/>
        <v>0</v>
      </c>
      <c r="FU81">
        <f t="shared" si="267"/>
        <v>0</v>
      </c>
      <c r="FV81">
        <f t="shared" si="267"/>
        <v>0</v>
      </c>
      <c r="FW81">
        <f t="shared" si="267"/>
        <v>0</v>
      </c>
      <c r="FX81">
        <f t="shared" si="267"/>
        <v>0</v>
      </c>
      <c r="FY81">
        <f t="shared" si="267"/>
        <v>0</v>
      </c>
      <c r="FZ81">
        <f t="shared" ref="FZ81:GO81" si="268">FZ21/2+FZ28+FZ31</f>
        <v>0</v>
      </c>
      <c r="GA81">
        <f t="shared" si="268"/>
        <v>0</v>
      </c>
      <c r="GB81">
        <f t="shared" si="268"/>
        <v>0</v>
      </c>
      <c r="GC81">
        <f t="shared" si="268"/>
        <v>0</v>
      </c>
      <c r="GD81">
        <f t="shared" si="268"/>
        <v>0</v>
      </c>
      <c r="GE81">
        <f t="shared" si="268"/>
        <v>0</v>
      </c>
      <c r="GF81">
        <f t="shared" si="268"/>
        <v>0</v>
      </c>
      <c r="GG81">
        <f t="shared" si="268"/>
        <v>0</v>
      </c>
      <c r="GH81">
        <f t="shared" si="268"/>
        <v>0</v>
      </c>
      <c r="GI81">
        <f t="shared" si="268"/>
        <v>0</v>
      </c>
      <c r="GJ81">
        <f t="shared" si="268"/>
        <v>0</v>
      </c>
      <c r="GK81">
        <f t="shared" si="268"/>
        <v>0</v>
      </c>
      <c r="GL81">
        <f t="shared" si="268"/>
        <v>0</v>
      </c>
      <c r="GM81">
        <f t="shared" si="268"/>
        <v>0</v>
      </c>
      <c r="GN81">
        <f t="shared" si="268"/>
        <v>0</v>
      </c>
      <c r="GO81">
        <f t="shared" si="268"/>
        <v>0</v>
      </c>
      <c r="GP81">
        <f t="shared" ref="GP81:HT81" si="269">GP21/2+GP28+GP31</f>
        <v>0</v>
      </c>
      <c r="GQ81">
        <f t="shared" si="269"/>
        <v>0</v>
      </c>
      <c r="GR81">
        <f t="shared" si="269"/>
        <v>0</v>
      </c>
      <c r="GS81">
        <f t="shared" si="269"/>
        <v>0</v>
      </c>
      <c r="GT81">
        <f t="shared" si="269"/>
        <v>0</v>
      </c>
      <c r="GU81">
        <f t="shared" si="269"/>
        <v>0</v>
      </c>
      <c r="GV81">
        <f t="shared" si="269"/>
        <v>0</v>
      </c>
      <c r="GW81">
        <f t="shared" si="269"/>
        <v>0</v>
      </c>
      <c r="GX81">
        <f t="shared" si="269"/>
        <v>0</v>
      </c>
      <c r="GY81">
        <f t="shared" si="269"/>
        <v>0</v>
      </c>
      <c r="GZ81">
        <f t="shared" si="269"/>
        <v>0</v>
      </c>
      <c r="HA81">
        <f t="shared" si="269"/>
        <v>0</v>
      </c>
      <c r="HB81">
        <f t="shared" si="269"/>
        <v>0</v>
      </c>
      <c r="HC81">
        <f t="shared" si="269"/>
        <v>0</v>
      </c>
      <c r="HD81">
        <f t="shared" si="269"/>
        <v>0</v>
      </c>
      <c r="HE81">
        <f t="shared" si="269"/>
        <v>0</v>
      </c>
      <c r="HF81">
        <f t="shared" si="269"/>
        <v>0</v>
      </c>
      <c r="HG81">
        <f t="shared" si="269"/>
        <v>0</v>
      </c>
      <c r="HH81">
        <f t="shared" si="269"/>
        <v>0</v>
      </c>
      <c r="HI81">
        <f t="shared" si="269"/>
        <v>0</v>
      </c>
      <c r="HJ81">
        <f t="shared" si="269"/>
        <v>0</v>
      </c>
      <c r="HK81">
        <f t="shared" si="269"/>
        <v>0</v>
      </c>
      <c r="HL81">
        <f t="shared" si="269"/>
        <v>0</v>
      </c>
      <c r="HM81">
        <f t="shared" si="269"/>
        <v>0</v>
      </c>
      <c r="HN81">
        <f t="shared" si="269"/>
        <v>0</v>
      </c>
      <c r="HO81">
        <f t="shared" si="269"/>
        <v>0</v>
      </c>
      <c r="HP81">
        <f t="shared" si="269"/>
        <v>0</v>
      </c>
      <c r="HQ81">
        <f t="shared" si="269"/>
        <v>0</v>
      </c>
      <c r="HR81">
        <f t="shared" si="269"/>
        <v>0</v>
      </c>
      <c r="HS81">
        <f t="shared" si="269"/>
        <v>0</v>
      </c>
      <c r="HT81">
        <f t="shared" si="269"/>
        <v>0</v>
      </c>
    </row>
    <row r="82" spans="3:228" x14ac:dyDescent="0.25">
      <c r="O82" s="293"/>
      <c r="P82" s="293"/>
    </row>
  </sheetData>
  <mergeCells count="22">
    <mergeCell ref="B79:B80"/>
    <mergeCell ref="B75:B77"/>
    <mergeCell ref="B8:B18"/>
    <mergeCell ref="B21:B31"/>
    <mergeCell ref="B34:B44"/>
    <mergeCell ref="B47:B57"/>
    <mergeCell ref="A72:C72"/>
    <mergeCell ref="B60:B70"/>
    <mergeCell ref="A1:C5"/>
    <mergeCell ref="D1:HU5"/>
    <mergeCell ref="D6:D7"/>
    <mergeCell ref="C6:C7"/>
    <mergeCell ref="B6:B7"/>
    <mergeCell ref="A6:A7"/>
    <mergeCell ref="E6:M6"/>
    <mergeCell ref="O6:AP6"/>
    <mergeCell ref="AR6:BV6"/>
    <mergeCell ref="BX6:DA6"/>
    <mergeCell ref="DB6:EF6"/>
    <mergeCell ref="EG6:FJ6"/>
    <mergeCell ref="FK6:GO6"/>
    <mergeCell ref="GP6:HT6"/>
  </mergeCells>
  <pageMargins left="0.7" right="0.7" top="0.75" bottom="0.75" header="0.3" footer="0.3"/>
  <pageSetup scale="21" fitToHeight="0" orientation="landscape" r:id="rId1"/>
  <colBreaks count="1" manualBreakCount="1">
    <brk id="5" min="6" max="14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EE57-9215-4054-B5F5-DA1BD6710791}">
  <sheetPr>
    <pageSetUpPr fitToPage="1"/>
  </sheetPr>
  <dimension ref="A1:HU46"/>
  <sheetViews>
    <sheetView zoomScale="70" zoomScaleNormal="70" zoomScaleSheetLayoutView="82" workbookViewId="0">
      <pane xSplit="4" ySplit="8" topLeftCell="FW9" activePane="bottomRight" state="frozen"/>
      <selection pane="topRight" activeCell="F1" sqref="F1"/>
      <selection pane="bottomLeft" activeCell="A2" sqref="A2"/>
      <selection pane="bottomRight" activeCell="GZ14" sqref="GZ14"/>
    </sheetView>
  </sheetViews>
  <sheetFormatPr defaultRowHeight="15" x14ac:dyDescent="0.25"/>
  <cols>
    <col min="1" max="1" width="11.5703125" customWidth="1"/>
    <col min="2" max="2" width="21.5703125" customWidth="1"/>
    <col min="3" max="3" width="14.5703125" style="8" customWidth="1"/>
    <col min="4" max="4" width="8" customWidth="1"/>
    <col min="5" max="6" width="5.5703125" hidden="1" customWidth="1"/>
    <col min="7" max="7" width="6.42578125" hidden="1" customWidth="1"/>
    <col min="8" max="10" width="6.28515625" hidden="1" customWidth="1"/>
    <col min="11" max="12" width="5.5703125" hidden="1" customWidth="1"/>
    <col min="13" max="13" width="12.7109375" style="45" hidden="1" customWidth="1"/>
    <col min="14" max="14" width="1" style="45" customWidth="1"/>
    <col min="15" max="42" width="6.28515625" customWidth="1"/>
    <col min="43" max="43" width="1.28515625" customWidth="1"/>
    <col min="44" max="51" width="6.28515625" customWidth="1"/>
    <col min="52" max="52" width="6.7109375" customWidth="1"/>
    <col min="53" max="56" width="6.28515625" customWidth="1"/>
    <col min="57" max="57" width="6.85546875" bestFit="1" customWidth="1"/>
    <col min="58" max="59" width="6.28515625" customWidth="1"/>
    <col min="60" max="60" width="6.85546875" bestFit="1" customWidth="1"/>
    <col min="61" max="66" width="6.28515625" customWidth="1"/>
    <col min="67" max="67" width="6.85546875" bestFit="1" customWidth="1"/>
    <col min="68" max="71" width="6.28515625" customWidth="1"/>
    <col min="72" max="72" width="6.85546875" bestFit="1" customWidth="1"/>
    <col min="73" max="74" width="6.28515625" customWidth="1"/>
    <col min="75" max="75" width="1.28515625" customWidth="1"/>
    <col min="76" max="76" width="6.85546875" bestFit="1" customWidth="1"/>
    <col min="77" max="78" width="6.28515625" customWidth="1"/>
    <col min="79" max="79" width="6.85546875" bestFit="1" customWidth="1"/>
    <col min="80" max="80" width="6.28515625" customWidth="1"/>
    <col min="81" max="81" width="6.85546875" bestFit="1" customWidth="1"/>
    <col min="82" max="83" width="6.28515625" customWidth="1"/>
    <col min="84" max="84" width="6.7109375" customWidth="1"/>
    <col min="85" max="87" width="6.28515625" customWidth="1"/>
    <col min="88" max="88" width="6.85546875" bestFit="1" customWidth="1"/>
    <col min="89" max="90" width="6.28515625" customWidth="1"/>
    <col min="91" max="91" width="6.85546875" bestFit="1" customWidth="1"/>
    <col min="92" max="92" width="6.28515625" customWidth="1"/>
    <col min="93" max="93" width="6.85546875" bestFit="1" customWidth="1"/>
    <col min="94" max="94" width="6.28515625" customWidth="1"/>
    <col min="95" max="95" width="6.85546875" bestFit="1" customWidth="1"/>
    <col min="96" max="96" width="6.28515625" customWidth="1"/>
    <col min="97" max="97" width="6.85546875" bestFit="1" customWidth="1"/>
    <col min="98" max="100" width="6.28515625" customWidth="1"/>
    <col min="101" max="102" width="6.85546875" bestFit="1" customWidth="1"/>
    <col min="103" max="103" width="6.28515625" customWidth="1"/>
    <col min="104" max="104" width="6.85546875" bestFit="1" customWidth="1"/>
    <col min="105" max="228" width="6.28515625" customWidth="1"/>
    <col min="229" max="229" width="12.7109375" style="45" bestFit="1" customWidth="1"/>
  </cols>
  <sheetData>
    <row r="1" spans="1:229" ht="15.75" customHeight="1" x14ac:dyDescent="0.25">
      <c r="A1" s="454" t="e" vm="1">
        <v>#VALUE!</v>
      </c>
      <c r="B1" s="454"/>
      <c r="C1" s="454"/>
      <c r="D1" s="489" t="s">
        <v>32</v>
      </c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  <c r="AO1" s="499"/>
      <c r="AP1" s="499"/>
      <c r="AQ1" s="499"/>
      <c r="AR1" s="499"/>
      <c r="AS1" s="499"/>
      <c r="AT1" s="499"/>
      <c r="AU1" s="499"/>
      <c r="AV1" s="499"/>
      <c r="AW1" s="499"/>
      <c r="AX1" s="499"/>
      <c r="AY1" s="499"/>
      <c r="AZ1" s="499"/>
      <c r="BA1" s="499"/>
      <c r="BB1" s="499"/>
      <c r="BC1" s="499"/>
      <c r="BD1" s="499"/>
      <c r="BE1" s="499"/>
      <c r="BF1" s="499"/>
      <c r="BG1" s="499"/>
      <c r="BH1" s="499"/>
      <c r="BI1" s="499"/>
      <c r="BJ1" s="499"/>
      <c r="BK1" s="499"/>
      <c r="BL1" s="499"/>
      <c r="BM1" s="499"/>
      <c r="BN1" s="499"/>
      <c r="BO1" s="499"/>
      <c r="BP1" s="499"/>
      <c r="BQ1" s="499"/>
      <c r="BR1" s="499"/>
      <c r="BS1" s="499"/>
      <c r="BT1" s="499"/>
      <c r="BU1" s="499"/>
      <c r="BV1" s="499"/>
      <c r="BW1" s="499"/>
      <c r="BX1" s="499"/>
      <c r="BY1" s="499"/>
      <c r="BZ1" s="499"/>
      <c r="CA1" s="499"/>
      <c r="CB1" s="499"/>
      <c r="CC1" s="499"/>
      <c r="CD1" s="499"/>
      <c r="CE1" s="499"/>
      <c r="CF1" s="499"/>
      <c r="CG1" s="499"/>
      <c r="CH1" s="499"/>
      <c r="CI1" s="499"/>
      <c r="CJ1" s="499"/>
      <c r="CK1" s="499"/>
      <c r="CL1" s="499"/>
      <c r="CM1" s="499"/>
      <c r="CN1" s="499"/>
      <c r="CO1" s="499"/>
      <c r="CP1" s="499"/>
      <c r="CQ1" s="499"/>
      <c r="CR1" s="499"/>
      <c r="CS1" s="499"/>
      <c r="CT1" s="499"/>
      <c r="CU1" s="499"/>
      <c r="CV1" s="499"/>
      <c r="CW1" s="499"/>
      <c r="CX1" s="499"/>
      <c r="CY1" s="499"/>
      <c r="CZ1" s="499"/>
      <c r="DA1" s="499"/>
      <c r="DB1" s="499"/>
      <c r="DC1" s="499"/>
      <c r="DD1" s="499"/>
      <c r="DE1" s="499"/>
      <c r="DF1" s="499"/>
      <c r="DG1" s="499"/>
      <c r="DH1" s="499"/>
      <c r="DI1" s="499"/>
      <c r="DJ1" s="499"/>
      <c r="DK1" s="499"/>
      <c r="DL1" s="499"/>
      <c r="DM1" s="499"/>
      <c r="DN1" s="499"/>
      <c r="DO1" s="499"/>
      <c r="DP1" s="499"/>
      <c r="DQ1" s="499"/>
      <c r="DR1" s="499"/>
      <c r="DS1" s="499"/>
      <c r="DT1" s="499"/>
      <c r="DU1" s="499"/>
      <c r="DV1" s="499"/>
      <c r="DW1" s="499"/>
      <c r="DX1" s="499"/>
      <c r="DY1" s="499"/>
      <c r="DZ1" s="499"/>
      <c r="EA1" s="499"/>
      <c r="EB1" s="499"/>
      <c r="EC1" s="499"/>
      <c r="ED1" s="499"/>
      <c r="EE1" s="499"/>
      <c r="EF1" s="499"/>
      <c r="EG1" s="499"/>
      <c r="EH1" s="499"/>
      <c r="EI1" s="499"/>
      <c r="EJ1" s="499"/>
      <c r="EK1" s="499"/>
      <c r="EL1" s="499"/>
      <c r="EM1" s="499"/>
      <c r="EN1" s="499"/>
      <c r="EO1" s="499"/>
      <c r="EP1" s="499"/>
      <c r="EQ1" s="499"/>
      <c r="ER1" s="499"/>
      <c r="ES1" s="499"/>
      <c r="ET1" s="499"/>
      <c r="EU1" s="499"/>
      <c r="EV1" s="499"/>
      <c r="EW1" s="499"/>
      <c r="EX1" s="499"/>
      <c r="EY1" s="499"/>
      <c r="EZ1" s="499"/>
      <c r="FA1" s="499"/>
      <c r="FB1" s="499"/>
      <c r="FC1" s="499"/>
      <c r="FD1" s="499"/>
      <c r="FE1" s="499"/>
      <c r="FF1" s="499"/>
      <c r="FG1" s="499"/>
      <c r="FH1" s="499"/>
      <c r="FI1" s="499"/>
      <c r="FJ1" s="499"/>
      <c r="FK1" s="499"/>
      <c r="FL1" s="499"/>
      <c r="FM1" s="499"/>
      <c r="FN1" s="499"/>
      <c r="FO1" s="499"/>
      <c r="FP1" s="499"/>
      <c r="FQ1" s="499"/>
      <c r="FR1" s="499"/>
      <c r="FS1" s="499"/>
      <c r="FT1" s="499"/>
      <c r="FU1" s="499"/>
      <c r="FV1" s="499"/>
      <c r="FW1" s="499"/>
      <c r="FX1" s="499"/>
      <c r="FY1" s="499"/>
      <c r="FZ1" s="499"/>
      <c r="GA1" s="499"/>
      <c r="GB1" s="499"/>
      <c r="GC1" s="499"/>
      <c r="GD1" s="499"/>
      <c r="GE1" s="499"/>
      <c r="GF1" s="499"/>
      <c r="GG1" s="499"/>
      <c r="GH1" s="499"/>
      <c r="GI1" s="499"/>
      <c r="GJ1" s="499"/>
      <c r="GK1" s="499"/>
      <c r="GL1" s="499"/>
      <c r="GM1" s="499"/>
      <c r="GN1" s="499"/>
      <c r="GO1" s="499"/>
      <c r="GP1" s="499"/>
      <c r="GQ1" s="499"/>
      <c r="GR1" s="499"/>
      <c r="GS1" s="499"/>
      <c r="GT1" s="499"/>
      <c r="GU1" s="499"/>
      <c r="GV1" s="499"/>
      <c r="GW1" s="499"/>
      <c r="GX1" s="499"/>
      <c r="GY1" s="499"/>
      <c r="GZ1" s="499"/>
      <c r="HA1" s="499"/>
      <c r="HB1" s="499"/>
      <c r="HC1" s="499"/>
      <c r="HD1" s="499"/>
      <c r="HE1" s="499"/>
      <c r="HF1" s="499"/>
      <c r="HG1" s="499"/>
      <c r="HH1" s="499"/>
      <c r="HI1" s="499"/>
      <c r="HJ1" s="499"/>
      <c r="HK1" s="499"/>
      <c r="HL1" s="499"/>
      <c r="HM1" s="499"/>
      <c r="HN1" s="499"/>
      <c r="HO1" s="499"/>
      <c r="HP1" s="499"/>
      <c r="HQ1" s="499"/>
      <c r="HR1" s="499"/>
      <c r="HS1" s="499"/>
      <c r="HT1" s="499"/>
      <c r="HU1" s="499"/>
    </row>
    <row r="2" spans="1:229" ht="15.75" customHeight="1" x14ac:dyDescent="0.25">
      <c r="A2" s="454"/>
      <c r="B2" s="454"/>
      <c r="C2" s="454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  <c r="BV2" s="499"/>
      <c r="BW2" s="499"/>
      <c r="BX2" s="499"/>
      <c r="BY2" s="499"/>
      <c r="BZ2" s="499"/>
      <c r="CA2" s="499"/>
      <c r="CB2" s="499"/>
      <c r="CC2" s="499"/>
      <c r="CD2" s="499"/>
      <c r="CE2" s="499"/>
      <c r="CF2" s="499"/>
      <c r="CG2" s="499"/>
      <c r="CH2" s="499"/>
      <c r="CI2" s="499"/>
      <c r="CJ2" s="499"/>
      <c r="CK2" s="499"/>
      <c r="CL2" s="499"/>
      <c r="CM2" s="499"/>
      <c r="CN2" s="499"/>
      <c r="CO2" s="499"/>
      <c r="CP2" s="499"/>
      <c r="CQ2" s="499"/>
      <c r="CR2" s="499"/>
      <c r="CS2" s="499"/>
      <c r="CT2" s="499"/>
      <c r="CU2" s="499"/>
      <c r="CV2" s="499"/>
      <c r="CW2" s="499"/>
      <c r="CX2" s="499"/>
      <c r="CY2" s="499"/>
      <c r="CZ2" s="499"/>
      <c r="DA2" s="499"/>
      <c r="DB2" s="499"/>
      <c r="DC2" s="499"/>
      <c r="DD2" s="499"/>
      <c r="DE2" s="499"/>
      <c r="DF2" s="499"/>
      <c r="DG2" s="499"/>
      <c r="DH2" s="499"/>
      <c r="DI2" s="499"/>
      <c r="DJ2" s="499"/>
      <c r="DK2" s="499"/>
      <c r="DL2" s="499"/>
      <c r="DM2" s="499"/>
      <c r="DN2" s="499"/>
      <c r="DO2" s="499"/>
      <c r="DP2" s="499"/>
      <c r="DQ2" s="499"/>
      <c r="DR2" s="499"/>
      <c r="DS2" s="499"/>
      <c r="DT2" s="499"/>
      <c r="DU2" s="499"/>
      <c r="DV2" s="499"/>
      <c r="DW2" s="499"/>
      <c r="DX2" s="499"/>
      <c r="DY2" s="499"/>
      <c r="DZ2" s="499"/>
      <c r="EA2" s="499"/>
      <c r="EB2" s="499"/>
      <c r="EC2" s="499"/>
      <c r="ED2" s="499"/>
      <c r="EE2" s="499"/>
      <c r="EF2" s="499"/>
      <c r="EG2" s="499"/>
      <c r="EH2" s="499"/>
      <c r="EI2" s="499"/>
      <c r="EJ2" s="499"/>
      <c r="EK2" s="499"/>
      <c r="EL2" s="499"/>
      <c r="EM2" s="499"/>
      <c r="EN2" s="499"/>
      <c r="EO2" s="499"/>
      <c r="EP2" s="499"/>
      <c r="EQ2" s="499"/>
      <c r="ER2" s="499"/>
      <c r="ES2" s="499"/>
      <c r="ET2" s="499"/>
      <c r="EU2" s="499"/>
      <c r="EV2" s="499"/>
      <c r="EW2" s="499"/>
      <c r="EX2" s="499"/>
      <c r="EY2" s="499"/>
      <c r="EZ2" s="499"/>
      <c r="FA2" s="499"/>
      <c r="FB2" s="499"/>
      <c r="FC2" s="499"/>
      <c r="FD2" s="499"/>
      <c r="FE2" s="499"/>
      <c r="FF2" s="499"/>
      <c r="FG2" s="499"/>
      <c r="FH2" s="499"/>
      <c r="FI2" s="499"/>
      <c r="FJ2" s="499"/>
      <c r="FK2" s="499"/>
      <c r="FL2" s="499"/>
      <c r="FM2" s="499"/>
      <c r="FN2" s="499"/>
      <c r="FO2" s="499"/>
      <c r="FP2" s="499"/>
      <c r="FQ2" s="499"/>
      <c r="FR2" s="499"/>
      <c r="FS2" s="499"/>
      <c r="FT2" s="499"/>
      <c r="FU2" s="499"/>
      <c r="FV2" s="499"/>
      <c r="FW2" s="499"/>
      <c r="FX2" s="499"/>
      <c r="FY2" s="499"/>
      <c r="FZ2" s="499"/>
      <c r="GA2" s="499"/>
      <c r="GB2" s="499"/>
      <c r="GC2" s="499"/>
      <c r="GD2" s="499"/>
      <c r="GE2" s="499"/>
      <c r="GF2" s="499"/>
      <c r="GG2" s="499"/>
      <c r="GH2" s="499"/>
      <c r="GI2" s="499"/>
      <c r="GJ2" s="499"/>
      <c r="GK2" s="499"/>
      <c r="GL2" s="499"/>
      <c r="GM2" s="499"/>
      <c r="GN2" s="499"/>
      <c r="GO2" s="499"/>
      <c r="GP2" s="499"/>
      <c r="GQ2" s="499"/>
      <c r="GR2" s="499"/>
      <c r="GS2" s="499"/>
      <c r="GT2" s="499"/>
      <c r="GU2" s="499"/>
      <c r="GV2" s="499"/>
      <c r="GW2" s="499"/>
      <c r="GX2" s="499"/>
      <c r="GY2" s="499"/>
      <c r="GZ2" s="499"/>
      <c r="HA2" s="499"/>
      <c r="HB2" s="499"/>
      <c r="HC2" s="499"/>
      <c r="HD2" s="499"/>
      <c r="HE2" s="499"/>
      <c r="HF2" s="499"/>
      <c r="HG2" s="499"/>
      <c r="HH2" s="499"/>
      <c r="HI2" s="499"/>
      <c r="HJ2" s="499"/>
      <c r="HK2" s="499"/>
      <c r="HL2" s="499"/>
      <c r="HM2" s="499"/>
      <c r="HN2" s="499"/>
      <c r="HO2" s="499"/>
      <c r="HP2" s="499"/>
      <c r="HQ2" s="499"/>
      <c r="HR2" s="499"/>
      <c r="HS2" s="499"/>
      <c r="HT2" s="499"/>
      <c r="HU2" s="499"/>
    </row>
    <row r="3" spans="1:229" ht="15.75" customHeight="1" x14ac:dyDescent="0.25">
      <c r="A3" s="454"/>
      <c r="B3" s="454"/>
      <c r="C3" s="454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  <c r="AO3" s="499"/>
      <c r="AP3" s="499"/>
      <c r="AQ3" s="499"/>
      <c r="AR3" s="499"/>
      <c r="AS3" s="499"/>
      <c r="AT3" s="499"/>
      <c r="AU3" s="499"/>
      <c r="AV3" s="499"/>
      <c r="AW3" s="499"/>
      <c r="AX3" s="499"/>
      <c r="AY3" s="499"/>
      <c r="AZ3" s="499"/>
      <c r="BA3" s="499"/>
      <c r="BB3" s="499"/>
      <c r="BC3" s="499"/>
      <c r="BD3" s="499"/>
      <c r="BE3" s="499"/>
      <c r="BF3" s="499"/>
      <c r="BG3" s="499"/>
      <c r="BH3" s="499"/>
      <c r="BI3" s="499"/>
      <c r="BJ3" s="499"/>
      <c r="BK3" s="499"/>
      <c r="BL3" s="499"/>
      <c r="BM3" s="499"/>
      <c r="BN3" s="499"/>
      <c r="BO3" s="499"/>
      <c r="BP3" s="499"/>
      <c r="BQ3" s="499"/>
      <c r="BR3" s="499"/>
      <c r="BS3" s="499"/>
      <c r="BT3" s="499"/>
      <c r="BU3" s="499"/>
      <c r="BV3" s="499"/>
      <c r="BW3" s="499"/>
      <c r="BX3" s="499"/>
      <c r="BY3" s="499"/>
      <c r="BZ3" s="499"/>
      <c r="CA3" s="499"/>
      <c r="CB3" s="499"/>
      <c r="CC3" s="499"/>
      <c r="CD3" s="499"/>
      <c r="CE3" s="499"/>
      <c r="CF3" s="499"/>
      <c r="CG3" s="499"/>
      <c r="CH3" s="499"/>
      <c r="CI3" s="499"/>
      <c r="CJ3" s="499"/>
      <c r="CK3" s="499"/>
      <c r="CL3" s="499"/>
      <c r="CM3" s="499"/>
      <c r="CN3" s="499"/>
      <c r="CO3" s="499"/>
      <c r="CP3" s="499"/>
      <c r="CQ3" s="499"/>
      <c r="CR3" s="499"/>
      <c r="CS3" s="499"/>
      <c r="CT3" s="499"/>
      <c r="CU3" s="499"/>
      <c r="CV3" s="499"/>
      <c r="CW3" s="499"/>
      <c r="CX3" s="499"/>
      <c r="CY3" s="499"/>
      <c r="CZ3" s="499"/>
      <c r="DA3" s="499"/>
      <c r="DB3" s="499"/>
      <c r="DC3" s="499"/>
      <c r="DD3" s="499"/>
      <c r="DE3" s="499"/>
      <c r="DF3" s="499"/>
      <c r="DG3" s="499"/>
      <c r="DH3" s="499"/>
      <c r="DI3" s="499"/>
      <c r="DJ3" s="499"/>
      <c r="DK3" s="499"/>
      <c r="DL3" s="499"/>
      <c r="DM3" s="499"/>
      <c r="DN3" s="499"/>
      <c r="DO3" s="499"/>
      <c r="DP3" s="499"/>
      <c r="DQ3" s="499"/>
      <c r="DR3" s="499"/>
      <c r="DS3" s="499"/>
      <c r="DT3" s="499"/>
      <c r="DU3" s="499"/>
      <c r="DV3" s="499"/>
      <c r="DW3" s="499"/>
      <c r="DX3" s="499"/>
      <c r="DY3" s="499"/>
      <c r="DZ3" s="499"/>
      <c r="EA3" s="499"/>
      <c r="EB3" s="499"/>
      <c r="EC3" s="499"/>
      <c r="ED3" s="499"/>
      <c r="EE3" s="499"/>
      <c r="EF3" s="499"/>
      <c r="EG3" s="499"/>
      <c r="EH3" s="499"/>
      <c r="EI3" s="499"/>
      <c r="EJ3" s="499"/>
      <c r="EK3" s="499"/>
      <c r="EL3" s="499"/>
      <c r="EM3" s="499"/>
      <c r="EN3" s="499"/>
      <c r="EO3" s="499"/>
      <c r="EP3" s="499"/>
      <c r="EQ3" s="499"/>
      <c r="ER3" s="499"/>
      <c r="ES3" s="499"/>
      <c r="ET3" s="499"/>
      <c r="EU3" s="499"/>
      <c r="EV3" s="499"/>
      <c r="EW3" s="499"/>
      <c r="EX3" s="499"/>
      <c r="EY3" s="499"/>
      <c r="EZ3" s="499"/>
      <c r="FA3" s="499"/>
      <c r="FB3" s="499"/>
      <c r="FC3" s="499"/>
      <c r="FD3" s="499"/>
      <c r="FE3" s="499"/>
      <c r="FF3" s="499"/>
      <c r="FG3" s="499"/>
      <c r="FH3" s="499"/>
      <c r="FI3" s="499"/>
      <c r="FJ3" s="499"/>
      <c r="FK3" s="499"/>
      <c r="FL3" s="499"/>
      <c r="FM3" s="499"/>
      <c r="FN3" s="499"/>
      <c r="FO3" s="499"/>
      <c r="FP3" s="499"/>
      <c r="FQ3" s="499"/>
      <c r="FR3" s="499"/>
      <c r="FS3" s="499"/>
      <c r="FT3" s="499"/>
      <c r="FU3" s="499"/>
      <c r="FV3" s="499"/>
      <c r="FW3" s="499"/>
      <c r="FX3" s="499"/>
      <c r="FY3" s="499"/>
      <c r="FZ3" s="499"/>
      <c r="GA3" s="499"/>
      <c r="GB3" s="499"/>
      <c r="GC3" s="499"/>
      <c r="GD3" s="499"/>
      <c r="GE3" s="499"/>
      <c r="GF3" s="499"/>
      <c r="GG3" s="499"/>
      <c r="GH3" s="499"/>
      <c r="GI3" s="499"/>
      <c r="GJ3" s="499"/>
      <c r="GK3" s="499"/>
      <c r="GL3" s="499"/>
      <c r="GM3" s="499"/>
      <c r="GN3" s="499"/>
      <c r="GO3" s="499"/>
      <c r="GP3" s="499"/>
      <c r="GQ3" s="499"/>
      <c r="GR3" s="499"/>
      <c r="GS3" s="499"/>
      <c r="GT3" s="499"/>
      <c r="GU3" s="499"/>
      <c r="GV3" s="499"/>
      <c r="GW3" s="499"/>
      <c r="GX3" s="499"/>
      <c r="GY3" s="499"/>
      <c r="GZ3" s="499"/>
      <c r="HA3" s="499"/>
      <c r="HB3" s="499"/>
      <c r="HC3" s="499"/>
      <c r="HD3" s="499"/>
      <c r="HE3" s="499"/>
      <c r="HF3" s="499"/>
      <c r="HG3" s="499"/>
      <c r="HH3" s="499"/>
      <c r="HI3" s="499"/>
      <c r="HJ3" s="499"/>
      <c r="HK3" s="499"/>
      <c r="HL3" s="499"/>
      <c r="HM3" s="499"/>
      <c r="HN3" s="499"/>
      <c r="HO3" s="499"/>
      <c r="HP3" s="499"/>
      <c r="HQ3" s="499"/>
      <c r="HR3" s="499"/>
      <c r="HS3" s="499"/>
      <c r="HT3" s="499"/>
      <c r="HU3" s="499"/>
    </row>
    <row r="4" spans="1:229" ht="15.75" customHeight="1" x14ac:dyDescent="0.25">
      <c r="A4" s="454"/>
      <c r="B4" s="454"/>
      <c r="C4" s="454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AS4" s="499"/>
      <c r="AT4" s="499"/>
      <c r="AU4" s="499"/>
      <c r="AV4" s="499"/>
      <c r="AW4" s="499"/>
      <c r="AX4" s="499"/>
      <c r="AY4" s="499"/>
      <c r="AZ4" s="499"/>
      <c r="BA4" s="499"/>
      <c r="BB4" s="499"/>
      <c r="BC4" s="499"/>
      <c r="BD4" s="499"/>
      <c r="BE4" s="499"/>
      <c r="BF4" s="499"/>
      <c r="BG4" s="499"/>
      <c r="BH4" s="499"/>
      <c r="BI4" s="499"/>
      <c r="BJ4" s="499"/>
      <c r="BK4" s="499"/>
      <c r="BL4" s="499"/>
      <c r="BM4" s="499"/>
      <c r="BN4" s="499"/>
      <c r="BO4" s="499"/>
      <c r="BP4" s="499"/>
      <c r="BQ4" s="499"/>
      <c r="BR4" s="499"/>
      <c r="BS4" s="499"/>
      <c r="BT4" s="499"/>
      <c r="BU4" s="499"/>
      <c r="BV4" s="499"/>
      <c r="BW4" s="499"/>
      <c r="BX4" s="499"/>
      <c r="BY4" s="499"/>
      <c r="BZ4" s="499"/>
      <c r="CA4" s="499"/>
      <c r="CB4" s="499"/>
      <c r="CC4" s="499"/>
      <c r="CD4" s="499"/>
      <c r="CE4" s="499"/>
      <c r="CF4" s="499"/>
      <c r="CG4" s="499"/>
      <c r="CH4" s="499"/>
      <c r="CI4" s="499"/>
      <c r="CJ4" s="499"/>
      <c r="CK4" s="499"/>
      <c r="CL4" s="499"/>
      <c r="CM4" s="499"/>
      <c r="CN4" s="499"/>
      <c r="CO4" s="499"/>
      <c r="CP4" s="499"/>
      <c r="CQ4" s="499"/>
      <c r="CR4" s="499"/>
      <c r="CS4" s="499"/>
      <c r="CT4" s="499"/>
      <c r="CU4" s="499"/>
      <c r="CV4" s="499"/>
      <c r="CW4" s="499"/>
      <c r="CX4" s="499"/>
      <c r="CY4" s="499"/>
      <c r="CZ4" s="499"/>
      <c r="DA4" s="499"/>
      <c r="DB4" s="499"/>
      <c r="DC4" s="499"/>
      <c r="DD4" s="499"/>
      <c r="DE4" s="499"/>
      <c r="DF4" s="499"/>
      <c r="DG4" s="499"/>
      <c r="DH4" s="499"/>
      <c r="DI4" s="499"/>
      <c r="DJ4" s="499"/>
      <c r="DK4" s="499"/>
      <c r="DL4" s="499"/>
      <c r="DM4" s="499"/>
      <c r="DN4" s="499"/>
      <c r="DO4" s="499"/>
      <c r="DP4" s="499"/>
      <c r="DQ4" s="499"/>
      <c r="DR4" s="499"/>
      <c r="DS4" s="499"/>
      <c r="DT4" s="499"/>
      <c r="DU4" s="499"/>
      <c r="DV4" s="499"/>
      <c r="DW4" s="499"/>
      <c r="DX4" s="499"/>
      <c r="DY4" s="499"/>
      <c r="DZ4" s="499"/>
      <c r="EA4" s="499"/>
      <c r="EB4" s="499"/>
      <c r="EC4" s="499"/>
      <c r="ED4" s="499"/>
      <c r="EE4" s="499"/>
      <c r="EF4" s="499"/>
      <c r="EG4" s="499"/>
      <c r="EH4" s="499"/>
      <c r="EI4" s="499"/>
      <c r="EJ4" s="499"/>
      <c r="EK4" s="499"/>
      <c r="EL4" s="499"/>
      <c r="EM4" s="499"/>
      <c r="EN4" s="499"/>
      <c r="EO4" s="499"/>
      <c r="EP4" s="499"/>
      <c r="EQ4" s="499"/>
      <c r="ER4" s="499"/>
      <c r="ES4" s="499"/>
      <c r="ET4" s="499"/>
      <c r="EU4" s="499"/>
      <c r="EV4" s="499"/>
      <c r="EW4" s="499"/>
      <c r="EX4" s="499"/>
      <c r="EY4" s="499"/>
      <c r="EZ4" s="499"/>
      <c r="FA4" s="499"/>
      <c r="FB4" s="499"/>
      <c r="FC4" s="499"/>
      <c r="FD4" s="499"/>
      <c r="FE4" s="499"/>
      <c r="FF4" s="499"/>
      <c r="FG4" s="499"/>
      <c r="FH4" s="499"/>
      <c r="FI4" s="499"/>
      <c r="FJ4" s="499"/>
      <c r="FK4" s="499"/>
      <c r="FL4" s="499"/>
      <c r="FM4" s="499"/>
      <c r="FN4" s="499"/>
      <c r="FO4" s="499"/>
      <c r="FP4" s="499"/>
      <c r="FQ4" s="499"/>
      <c r="FR4" s="499"/>
      <c r="FS4" s="499"/>
      <c r="FT4" s="499"/>
      <c r="FU4" s="499"/>
      <c r="FV4" s="499"/>
      <c r="FW4" s="499"/>
      <c r="FX4" s="499"/>
      <c r="FY4" s="499"/>
      <c r="FZ4" s="499"/>
      <c r="GA4" s="499"/>
      <c r="GB4" s="499"/>
      <c r="GC4" s="499"/>
      <c r="GD4" s="499"/>
      <c r="GE4" s="499"/>
      <c r="GF4" s="499"/>
      <c r="GG4" s="499"/>
      <c r="GH4" s="499"/>
      <c r="GI4" s="499"/>
      <c r="GJ4" s="499"/>
      <c r="GK4" s="499"/>
      <c r="GL4" s="499"/>
      <c r="GM4" s="499"/>
      <c r="GN4" s="499"/>
      <c r="GO4" s="499"/>
      <c r="GP4" s="499"/>
      <c r="GQ4" s="499"/>
      <c r="GR4" s="499"/>
      <c r="GS4" s="499"/>
      <c r="GT4" s="499"/>
      <c r="GU4" s="499"/>
      <c r="GV4" s="499"/>
      <c r="GW4" s="499"/>
      <c r="GX4" s="499"/>
      <c r="GY4" s="499"/>
      <c r="GZ4" s="499"/>
      <c r="HA4" s="499"/>
      <c r="HB4" s="499"/>
      <c r="HC4" s="499"/>
      <c r="HD4" s="499"/>
      <c r="HE4" s="499"/>
      <c r="HF4" s="499"/>
      <c r="HG4" s="499"/>
      <c r="HH4" s="499"/>
      <c r="HI4" s="499"/>
      <c r="HJ4" s="499"/>
      <c r="HK4" s="499"/>
      <c r="HL4" s="499"/>
      <c r="HM4" s="499"/>
      <c r="HN4" s="499"/>
      <c r="HO4" s="499"/>
      <c r="HP4" s="499"/>
      <c r="HQ4" s="499"/>
      <c r="HR4" s="499"/>
      <c r="HS4" s="499"/>
      <c r="HT4" s="499"/>
      <c r="HU4" s="499"/>
    </row>
    <row r="5" spans="1:229" ht="15.75" customHeight="1" x14ac:dyDescent="0.25">
      <c r="A5" s="454"/>
      <c r="B5" s="454"/>
      <c r="C5" s="454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  <c r="AO5" s="499"/>
      <c r="AP5" s="499"/>
      <c r="AQ5" s="499"/>
      <c r="AR5" s="499"/>
      <c r="AS5" s="499"/>
      <c r="AT5" s="499"/>
      <c r="AU5" s="499"/>
      <c r="AV5" s="499"/>
      <c r="AW5" s="499"/>
      <c r="AX5" s="499"/>
      <c r="AY5" s="499"/>
      <c r="AZ5" s="499"/>
      <c r="BA5" s="499"/>
      <c r="BB5" s="499"/>
      <c r="BC5" s="499"/>
      <c r="BD5" s="499"/>
      <c r="BE5" s="499"/>
      <c r="BF5" s="499"/>
      <c r="BG5" s="499"/>
      <c r="BH5" s="499"/>
      <c r="BI5" s="499"/>
      <c r="BJ5" s="499"/>
      <c r="BK5" s="499"/>
      <c r="BL5" s="499"/>
      <c r="BM5" s="499"/>
      <c r="BN5" s="499"/>
      <c r="BO5" s="499"/>
      <c r="BP5" s="499"/>
      <c r="BQ5" s="499"/>
      <c r="BR5" s="499"/>
      <c r="BS5" s="499"/>
      <c r="BT5" s="499"/>
      <c r="BU5" s="499"/>
      <c r="BV5" s="499"/>
      <c r="BW5" s="499"/>
      <c r="BX5" s="499"/>
      <c r="BY5" s="499"/>
      <c r="BZ5" s="499"/>
      <c r="CA5" s="499"/>
      <c r="CB5" s="499"/>
      <c r="CC5" s="499"/>
      <c r="CD5" s="499"/>
      <c r="CE5" s="499"/>
      <c r="CF5" s="499"/>
      <c r="CG5" s="499"/>
      <c r="CH5" s="499"/>
      <c r="CI5" s="499"/>
      <c r="CJ5" s="499"/>
      <c r="CK5" s="499"/>
      <c r="CL5" s="499"/>
      <c r="CM5" s="499"/>
      <c r="CN5" s="499"/>
      <c r="CO5" s="499"/>
      <c r="CP5" s="499"/>
      <c r="CQ5" s="499"/>
      <c r="CR5" s="499"/>
      <c r="CS5" s="499"/>
      <c r="CT5" s="499"/>
      <c r="CU5" s="499"/>
      <c r="CV5" s="499"/>
      <c r="CW5" s="499"/>
      <c r="CX5" s="499"/>
      <c r="CY5" s="499"/>
      <c r="CZ5" s="499"/>
      <c r="DA5" s="499"/>
      <c r="DB5" s="499"/>
      <c r="DC5" s="499"/>
      <c r="DD5" s="499"/>
      <c r="DE5" s="499"/>
      <c r="DF5" s="499"/>
      <c r="DG5" s="499"/>
      <c r="DH5" s="499"/>
      <c r="DI5" s="499"/>
      <c r="DJ5" s="499"/>
      <c r="DK5" s="499"/>
      <c r="DL5" s="499"/>
      <c r="DM5" s="499"/>
      <c r="DN5" s="499"/>
      <c r="DO5" s="499"/>
      <c r="DP5" s="499"/>
      <c r="DQ5" s="499"/>
      <c r="DR5" s="499"/>
      <c r="DS5" s="499"/>
      <c r="DT5" s="499"/>
      <c r="DU5" s="499"/>
      <c r="DV5" s="499"/>
      <c r="DW5" s="499"/>
      <c r="DX5" s="499"/>
      <c r="DY5" s="499"/>
      <c r="DZ5" s="499"/>
      <c r="EA5" s="499"/>
      <c r="EB5" s="499"/>
      <c r="EC5" s="499"/>
      <c r="ED5" s="499"/>
      <c r="EE5" s="499"/>
      <c r="EF5" s="499"/>
      <c r="EG5" s="499"/>
      <c r="EH5" s="499"/>
      <c r="EI5" s="499"/>
      <c r="EJ5" s="499"/>
      <c r="EK5" s="499"/>
      <c r="EL5" s="499"/>
      <c r="EM5" s="499"/>
      <c r="EN5" s="499"/>
      <c r="EO5" s="499"/>
      <c r="EP5" s="499"/>
      <c r="EQ5" s="499"/>
      <c r="ER5" s="499"/>
      <c r="ES5" s="499"/>
      <c r="ET5" s="499"/>
      <c r="EU5" s="499"/>
      <c r="EV5" s="499"/>
      <c r="EW5" s="499"/>
      <c r="EX5" s="499"/>
      <c r="EY5" s="499"/>
      <c r="EZ5" s="499"/>
      <c r="FA5" s="499"/>
      <c r="FB5" s="499"/>
      <c r="FC5" s="499"/>
      <c r="FD5" s="499"/>
      <c r="FE5" s="499"/>
      <c r="FF5" s="499"/>
      <c r="FG5" s="499"/>
      <c r="FH5" s="499"/>
      <c r="FI5" s="499"/>
      <c r="FJ5" s="499"/>
      <c r="FK5" s="499"/>
      <c r="FL5" s="499"/>
      <c r="FM5" s="499"/>
      <c r="FN5" s="499"/>
      <c r="FO5" s="499"/>
      <c r="FP5" s="499"/>
      <c r="FQ5" s="499"/>
      <c r="FR5" s="499"/>
      <c r="FS5" s="499"/>
      <c r="FT5" s="499"/>
      <c r="FU5" s="499"/>
      <c r="FV5" s="499"/>
      <c r="FW5" s="499"/>
      <c r="FX5" s="499"/>
      <c r="FY5" s="499"/>
      <c r="FZ5" s="499"/>
      <c r="GA5" s="499"/>
      <c r="GB5" s="499"/>
      <c r="GC5" s="499"/>
      <c r="GD5" s="499"/>
      <c r="GE5" s="499"/>
      <c r="GF5" s="499"/>
      <c r="GG5" s="499"/>
      <c r="GH5" s="499"/>
      <c r="GI5" s="499"/>
      <c r="GJ5" s="499"/>
      <c r="GK5" s="499"/>
      <c r="GL5" s="499"/>
      <c r="GM5" s="499"/>
      <c r="GN5" s="499"/>
      <c r="GO5" s="499"/>
      <c r="GP5" s="499"/>
      <c r="GQ5" s="499"/>
      <c r="GR5" s="499"/>
      <c r="GS5" s="499"/>
      <c r="GT5" s="499"/>
      <c r="GU5" s="499"/>
      <c r="GV5" s="499"/>
      <c r="GW5" s="499"/>
      <c r="GX5" s="499"/>
      <c r="GY5" s="499"/>
      <c r="GZ5" s="499"/>
      <c r="HA5" s="499"/>
      <c r="HB5" s="499"/>
      <c r="HC5" s="499"/>
      <c r="HD5" s="499"/>
      <c r="HE5" s="499"/>
      <c r="HF5" s="499"/>
      <c r="HG5" s="499"/>
      <c r="HH5" s="499"/>
      <c r="HI5" s="499"/>
      <c r="HJ5" s="499"/>
      <c r="HK5" s="499"/>
      <c r="HL5" s="499"/>
      <c r="HM5" s="499"/>
      <c r="HN5" s="499"/>
      <c r="HO5" s="499"/>
      <c r="HP5" s="499"/>
      <c r="HQ5" s="499"/>
      <c r="HR5" s="499"/>
      <c r="HS5" s="499"/>
      <c r="HT5" s="499"/>
      <c r="HU5" s="499"/>
    </row>
    <row r="6" spans="1:229" ht="15.75" thickBot="1" x14ac:dyDescent="0.3"/>
    <row r="7" spans="1:229" ht="17.100000000000001" customHeight="1" thickBot="1" x14ac:dyDescent="0.3">
      <c r="A7" s="456" t="s">
        <v>18</v>
      </c>
      <c r="B7" s="458" t="s">
        <v>14</v>
      </c>
      <c r="C7" s="458" t="s">
        <v>28</v>
      </c>
      <c r="D7" s="500" t="s">
        <v>0</v>
      </c>
      <c r="E7" s="490" t="s">
        <v>25</v>
      </c>
      <c r="F7" s="463"/>
      <c r="G7" s="463"/>
      <c r="H7" s="463"/>
      <c r="I7" s="463"/>
      <c r="J7" s="463"/>
      <c r="K7" s="463"/>
      <c r="L7" s="463"/>
      <c r="M7" s="491"/>
      <c r="N7" s="127"/>
      <c r="O7" s="463" t="s">
        <v>73</v>
      </c>
      <c r="P7" s="463"/>
      <c r="Q7" s="463"/>
      <c r="R7" s="463"/>
      <c r="S7" s="463"/>
      <c r="T7" s="463"/>
      <c r="U7" s="463"/>
      <c r="V7" s="463"/>
      <c r="W7" s="463"/>
      <c r="X7" s="463"/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3"/>
      <c r="AO7" s="463"/>
      <c r="AP7" s="463"/>
      <c r="AQ7" s="127"/>
      <c r="AR7" s="490" t="s">
        <v>77</v>
      </c>
      <c r="AS7" s="463"/>
      <c r="AT7" s="463"/>
      <c r="AU7" s="463"/>
      <c r="AV7" s="463"/>
      <c r="AW7" s="463"/>
      <c r="AX7" s="463"/>
      <c r="AY7" s="463"/>
      <c r="AZ7" s="463"/>
      <c r="BA7" s="463"/>
      <c r="BB7" s="463"/>
      <c r="BC7" s="463"/>
      <c r="BD7" s="463"/>
      <c r="BE7" s="463"/>
      <c r="BF7" s="463"/>
      <c r="BG7" s="463"/>
      <c r="BH7" s="463"/>
      <c r="BI7" s="463"/>
      <c r="BJ7" s="463"/>
      <c r="BK7" s="463"/>
      <c r="BL7" s="463"/>
      <c r="BM7" s="463"/>
      <c r="BN7" s="463"/>
      <c r="BO7" s="463"/>
      <c r="BP7" s="463"/>
      <c r="BQ7" s="463"/>
      <c r="BR7" s="463"/>
      <c r="BS7" s="463"/>
      <c r="BT7" s="463"/>
      <c r="BU7" s="463"/>
      <c r="BV7" s="491"/>
      <c r="BW7" s="127"/>
      <c r="BX7" s="463" t="s">
        <v>105</v>
      </c>
      <c r="BY7" s="463"/>
      <c r="BZ7" s="463"/>
      <c r="CA7" s="463"/>
      <c r="CB7" s="463"/>
      <c r="CC7" s="463"/>
      <c r="CD7" s="463"/>
      <c r="CE7" s="463"/>
      <c r="CF7" s="463"/>
      <c r="CG7" s="463"/>
      <c r="CH7" s="463"/>
      <c r="CI7" s="463"/>
      <c r="CJ7" s="463"/>
      <c r="CK7" s="463"/>
      <c r="CL7" s="463"/>
      <c r="CM7" s="463"/>
      <c r="CN7" s="463"/>
      <c r="CO7" s="463"/>
      <c r="CP7" s="463"/>
      <c r="CQ7" s="463"/>
      <c r="CR7" s="463"/>
      <c r="CS7" s="463"/>
      <c r="CT7" s="463"/>
      <c r="CU7" s="463"/>
      <c r="CV7" s="463"/>
      <c r="CW7" s="463"/>
      <c r="CX7" s="463"/>
      <c r="CY7" s="463"/>
      <c r="CZ7" s="463"/>
      <c r="DA7" s="463"/>
      <c r="DB7" s="490" t="s">
        <v>111</v>
      </c>
      <c r="DC7" s="463"/>
      <c r="DD7" s="463"/>
      <c r="DE7" s="463"/>
      <c r="DF7" s="463"/>
      <c r="DG7" s="463"/>
      <c r="DH7" s="463"/>
      <c r="DI7" s="463"/>
      <c r="DJ7" s="463"/>
      <c r="DK7" s="463"/>
      <c r="DL7" s="463"/>
      <c r="DM7" s="463"/>
      <c r="DN7" s="463"/>
      <c r="DO7" s="463"/>
      <c r="DP7" s="463"/>
      <c r="DQ7" s="463"/>
      <c r="DR7" s="463"/>
      <c r="DS7" s="463"/>
      <c r="DT7" s="463"/>
      <c r="DU7" s="463"/>
      <c r="DV7" s="463"/>
      <c r="DW7" s="463"/>
      <c r="DX7" s="463"/>
      <c r="DY7" s="463"/>
      <c r="DZ7" s="463"/>
      <c r="EA7" s="463"/>
      <c r="EB7" s="463"/>
      <c r="EC7" s="463"/>
      <c r="ED7" s="463"/>
      <c r="EE7" s="463"/>
      <c r="EF7" s="463"/>
      <c r="EG7" s="490" t="s">
        <v>117</v>
      </c>
      <c r="EH7" s="463"/>
      <c r="EI7" s="463"/>
      <c r="EJ7" s="463"/>
      <c r="EK7" s="463"/>
      <c r="EL7" s="463"/>
      <c r="EM7" s="463"/>
      <c r="EN7" s="463"/>
      <c r="EO7" s="463"/>
      <c r="EP7" s="463"/>
      <c r="EQ7" s="463"/>
      <c r="ER7" s="463"/>
      <c r="ES7" s="463"/>
      <c r="ET7" s="463"/>
      <c r="EU7" s="463"/>
      <c r="EV7" s="463"/>
      <c r="EW7" s="463"/>
      <c r="EX7" s="463"/>
      <c r="EY7" s="463"/>
      <c r="EZ7" s="463"/>
      <c r="FA7" s="463"/>
      <c r="FB7" s="463"/>
      <c r="FC7" s="463"/>
      <c r="FD7" s="463"/>
      <c r="FE7" s="463"/>
      <c r="FF7" s="463"/>
      <c r="FG7" s="463"/>
      <c r="FH7" s="463"/>
      <c r="FI7" s="463"/>
      <c r="FJ7" s="491"/>
      <c r="FK7" s="490" t="s">
        <v>134</v>
      </c>
      <c r="FL7" s="463"/>
      <c r="FM7" s="463"/>
      <c r="FN7" s="463"/>
      <c r="FO7" s="463"/>
      <c r="FP7" s="463"/>
      <c r="FQ7" s="463"/>
      <c r="FR7" s="463"/>
      <c r="FS7" s="463"/>
      <c r="FT7" s="463"/>
      <c r="FU7" s="463"/>
      <c r="FV7" s="463"/>
      <c r="FW7" s="463"/>
      <c r="FX7" s="463"/>
      <c r="FY7" s="463"/>
      <c r="FZ7" s="463"/>
      <c r="GA7" s="463"/>
      <c r="GB7" s="463"/>
      <c r="GC7" s="463"/>
      <c r="GD7" s="463"/>
      <c r="GE7" s="463"/>
      <c r="GF7" s="463"/>
      <c r="GG7" s="463"/>
      <c r="GH7" s="463"/>
      <c r="GI7" s="463"/>
      <c r="GJ7" s="463"/>
      <c r="GK7" s="463"/>
      <c r="GL7" s="463"/>
      <c r="GM7" s="463"/>
      <c r="GN7" s="463"/>
      <c r="GO7" s="463"/>
      <c r="GP7" s="490" t="s">
        <v>143</v>
      </c>
      <c r="GQ7" s="463"/>
      <c r="GR7" s="463"/>
      <c r="GS7" s="463"/>
      <c r="GT7" s="463"/>
      <c r="GU7" s="463"/>
      <c r="GV7" s="463"/>
      <c r="GW7" s="463"/>
      <c r="GX7" s="463"/>
      <c r="GY7" s="463"/>
      <c r="GZ7" s="463"/>
      <c r="HA7" s="463"/>
      <c r="HB7" s="463"/>
      <c r="HC7" s="463"/>
      <c r="HD7" s="463"/>
      <c r="HE7" s="463"/>
      <c r="HF7" s="463"/>
      <c r="HG7" s="463"/>
      <c r="HH7" s="463"/>
      <c r="HI7" s="463"/>
      <c r="HJ7" s="463"/>
      <c r="HK7" s="463"/>
      <c r="HL7" s="463"/>
      <c r="HM7" s="463"/>
      <c r="HN7" s="463"/>
      <c r="HO7" s="463"/>
      <c r="HP7" s="463"/>
      <c r="HQ7" s="463"/>
      <c r="HR7" s="463"/>
      <c r="HS7" s="463"/>
      <c r="HT7" s="491"/>
      <c r="HU7" s="346"/>
    </row>
    <row r="8" spans="1:229" s="1" customFormat="1" ht="18.600000000000001" customHeight="1" thickBot="1" x14ac:dyDescent="0.3">
      <c r="A8" s="457"/>
      <c r="B8" s="459"/>
      <c r="C8" s="459"/>
      <c r="D8" s="501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14" t="s">
        <v>26</v>
      </c>
      <c r="N8" s="134"/>
      <c r="O8" s="12">
        <v>46054</v>
      </c>
      <c r="P8" s="12">
        <v>46055</v>
      </c>
      <c r="Q8" s="12">
        <v>46056</v>
      </c>
      <c r="R8" s="12">
        <v>46057</v>
      </c>
      <c r="S8" s="12">
        <v>46058</v>
      </c>
      <c r="T8" s="12">
        <v>46059</v>
      </c>
      <c r="U8" s="12">
        <v>46060</v>
      </c>
      <c r="V8" s="12">
        <v>46061</v>
      </c>
      <c r="W8" s="12">
        <v>46062</v>
      </c>
      <c r="X8" s="12">
        <v>46063</v>
      </c>
      <c r="Y8" s="12">
        <v>46064</v>
      </c>
      <c r="Z8" s="12">
        <v>46065</v>
      </c>
      <c r="AA8" s="12">
        <v>46066</v>
      </c>
      <c r="AB8" s="12">
        <v>46067</v>
      </c>
      <c r="AC8" s="12">
        <v>46068</v>
      </c>
      <c r="AD8" s="12">
        <v>46069</v>
      </c>
      <c r="AE8" s="12">
        <v>46070</v>
      </c>
      <c r="AF8" s="120">
        <v>46071</v>
      </c>
      <c r="AG8" s="120">
        <v>46072</v>
      </c>
      <c r="AH8" s="120">
        <v>46073</v>
      </c>
      <c r="AI8" s="120">
        <v>46074</v>
      </c>
      <c r="AJ8" s="120">
        <v>46075</v>
      </c>
      <c r="AK8" s="120">
        <v>46076</v>
      </c>
      <c r="AL8" s="120">
        <v>46077</v>
      </c>
      <c r="AM8" s="120">
        <v>46078</v>
      </c>
      <c r="AN8" s="120">
        <v>46079</v>
      </c>
      <c r="AO8" s="120">
        <v>46080</v>
      </c>
      <c r="AP8" s="86">
        <v>46081</v>
      </c>
      <c r="AQ8" s="140"/>
      <c r="AR8" s="172">
        <v>46082</v>
      </c>
      <c r="AS8" s="173">
        <v>46083</v>
      </c>
      <c r="AT8" s="173">
        <v>46084</v>
      </c>
      <c r="AU8" s="173">
        <v>46085</v>
      </c>
      <c r="AV8" s="173">
        <v>46086</v>
      </c>
      <c r="AW8" s="173">
        <v>46087</v>
      </c>
      <c r="AX8" s="173">
        <v>46088</v>
      </c>
      <c r="AY8" s="173">
        <v>46089</v>
      </c>
      <c r="AZ8" s="173">
        <v>46090</v>
      </c>
      <c r="BA8" s="173">
        <v>46091</v>
      </c>
      <c r="BB8" s="173">
        <v>46092</v>
      </c>
      <c r="BC8" s="173">
        <v>46093</v>
      </c>
      <c r="BD8" s="173">
        <v>46094</v>
      </c>
      <c r="BE8" s="173">
        <v>46095</v>
      </c>
      <c r="BF8" s="173">
        <v>46096</v>
      </c>
      <c r="BG8" s="173">
        <v>46097</v>
      </c>
      <c r="BH8" s="173">
        <v>46098</v>
      </c>
      <c r="BI8" s="173">
        <v>46099</v>
      </c>
      <c r="BJ8" s="173">
        <v>46100</v>
      </c>
      <c r="BK8" s="173">
        <v>46101</v>
      </c>
      <c r="BL8" s="173">
        <v>46102</v>
      </c>
      <c r="BM8" s="173">
        <v>46103</v>
      </c>
      <c r="BN8" s="173">
        <v>46104</v>
      </c>
      <c r="BO8" s="173">
        <v>46105</v>
      </c>
      <c r="BP8" s="173">
        <v>46106</v>
      </c>
      <c r="BQ8" s="173">
        <v>46107</v>
      </c>
      <c r="BR8" s="173">
        <v>46108</v>
      </c>
      <c r="BS8" s="173">
        <v>46109</v>
      </c>
      <c r="BT8" s="173">
        <v>46110</v>
      </c>
      <c r="BU8" s="173">
        <v>46111</v>
      </c>
      <c r="BV8" s="174">
        <v>46112</v>
      </c>
      <c r="BW8" s="140"/>
      <c r="BX8" s="172">
        <v>46113</v>
      </c>
      <c r="BY8" s="173">
        <v>46114</v>
      </c>
      <c r="BZ8" s="172">
        <v>46115</v>
      </c>
      <c r="CA8" s="173">
        <v>46116</v>
      </c>
      <c r="CB8" s="172">
        <v>46117</v>
      </c>
      <c r="CC8" s="173">
        <v>46118</v>
      </c>
      <c r="CD8" s="172">
        <v>46119</v>
      </c>
      <c r="CE8" s="173">
        <v>46120</v>
      </c>
      <c r="CF8" s="172">
        <v>46121</v>
      </c>
      <c r="CG8" s="173">
        <v>46122</v>
      </c>
      <c r="CH8" s="172">
        <v>46123</v>
      </c>
      <c r="CI8" s="173">
        <v>46124</v>
      </c>
      <c r="CJ8" s="172">
        <v>46125</v>
      </c>
      <c r="CK8" s="173">
        <v>46126</v>
      </c>
      <c r="CL8" s="172">
        <v>46127</v>
      </c>
      <c r="CM8" s="173">
        <v>46128</v>
      </c>
      <c r="CN8" s="172">
        <v>46129</v>
      </c>
      <c r="CO8" s="173">
        <v>46130</v>
      </c>
      <c r="CP8" s="172">
        <v>46131</v>
      </c>
      <c r="CQ8" s="173">
        <v>46132</v>
      </c>
      <c r="CR8" s="172">
        <v>46133</v>
      </c>
      <c r="CS8" s="173">
        <v>46134</v>
      </c>
      <c r="CT8" s="172">
        <v>46135</v>
      </c>
      <c r="CU8" s="173">
        <v>46136</v>
      </c>
      <c r="CV8" s="172">
        <v>46137</v>
      </c>
      <c r="CW8" s="173">
        <v>46138</v>
      </c>
      <c r="CX8" s="172">
        <v>46139</v>
      </c>
      <c r="CY8" s="173">
        <v>46140</v>
      </c>
      <c r="CZ8" s="172">
        <v>46141</v>
      </c>
      <c r="DA8" s="273">
        <v>46142</v>
      </c>
      <c r="DB8" s="172">
        <v>46143</v>
      </c>
      <c r="DC8" s="173">
        <v>46144</v>
      </c>
      <c r="DD8" s="173">
        <v>46145</v>
      </c>
      <c r="DE8" s="174">
        <v>46146</v>
      </c>
      <c r="DF8" s="174">
        <v>46147</v>
      </c>
      <c r="DG8" s="174">
        <v>46148</v>
      </c>
      <c r="DH8" s="174">
        <v>46149</v>
      </c>
      <c r="DI8" s="174">
        <v>46150</v>
      </c>
      <c r="DJ8" s="174">
        <v>46151</v>
      </c>
      <c r="DK8" s="273">
        <v>46152</v>
      </c>
      <c r="DL8" s="273">
        <v>46153</v>
      </c>
      <c r="DM8" s="273">
        <v>46154</v>
      </c>
      <c r="DN8" s="273">
        <v>46155</v>
      </c>
      <c r="DO8" s="273">
        <v>46156</v>
      </c>
      <c r="DP8" s="273">
        <v>46157</v>
      </c>
      <c r="DQ8" s="273">
        <v>46158</v>
      </c>
      <c r="DR8" s="273">
        <v>46159</v>
      </c>
      <c r="DS8" s="273">
        <v>46160</v>
      </c>
      <c r="DT8" s="273">
        <v>46161</v>
      </c>
      <c r="DU8" s="273">
        <v>46162</v>
      </c>
      <c r="DV8" s="273">
        <v>46163</v>
      </c>
      <c r="DW8" s="273">
        <v>46164</v>
      </c>
      <c r="DX8" s="273">
        <v>46165</v>
      </c>
      <c r="DY8" s="273">
        <v>46166</v>
      </c>
      <c r="DZ8" s="273">
        <v>46167</v>
      </c>
      <c r="EA8" s="273">
        <v>46168</v>
      </c>
      <c r="EB8" s="273">
        <v>46169</v>
      </c>
      <c r="EC8" s="273">
        <v>46170</v>
      </c>
      <c r="ED8" s="273">
        <v>46171</v>
      </c>
      <c r="EE8" s="273">
        <v>46172</v>
      </c>
      <c r="EF8" s="273">
        <v>46173</v>
      </c>
      <c r="EG8" s="374">
        <v>46174</v>
      </c>
      <c r="EH8" s="375">
        <v>46175</v>
      </c>
      <c r="EI8" s="375">
        <v>46176</v>
      </c>
      <c r="EJ8" s="375">
        <v>46177</v>
      </c>
      <c r="EK8" s="375">
        <v>46178</v>
      </c>
      <c r="EL8" s="375">
        <v>46179</v>
      </c>
      <c r="EM8" s="375">
        <v>46180</v>
      </c>
      <c r="EN8" s="375">
        <v>46181</v>
      </c>
      <c r="EO8" s="375">
        <v>46182</v>
      </c>
      <c r="EP8" s="375">
        <v>46183</v>
      </c>
      <c r="EQ8" s="375">
        <v>46184</v>
      </c>
      <c r="ER8" s="375">
        <v>46185</v>
      </c>
      <c r="ES8" s="375">
        <v>46186</v>
      </c>
      <c r="ET8" s="375">
        <v>46187</v>
      </c>
      <c r="EU8" s="375">
        <v>46188</v>
      </c>
      <c r="EV8" s="375">
        <v>46189</v>
      </c>
      <c r="EW8" s="375">
        <v>46190</v>
      </c>
      <c r="EX8" s="375">
        <v>46191</v>
      </c>
      <c r="EY8" s="375">
        <v>46192</v>
      </c>
      <c r="EZ8" s="373">
        <v>46193</v>
      </c>
      <c r="FA8" s="375">
        <v>46194</v>
      </c>
      <c r="FB8" s="373">
        <v>46195</v>
      </c>
      <c r="FC8" s="375">
        <v>46196</v>
      </c>
      <c r="FD8" s="373">
        <v>46197</v>
      </c>
      <c r="FE8" s="375">
        <v>46198</v>
      </c>
      <c r="FF8" s="373">
        <v>46199</v>
      </c>
      <c r="FG8" s="375">
        <v>46200</v>
      </c>
      <c r="FH8" s="373">
        <v>46201</v>
      </c>
      <c r="FI8" s="375">
        <v>46202</v>
      </c>
      <c r="FJ8" s="393">
        <v>46203</v>
      </c>
      <c r="FK8" s="394">
        <v>46204</v>
      </c>
      <c r="FL8" s="373">
        <v>46205</v>
      </c>
      <c r="FM8" s="373">
        <v>46206</v>
      </c>
      <c r="FN8" s="373">
        <v>46207</v>
      </c>
      <c r="FO8" s="373">
        <v>46208</v>
      </c>
      <c r="FP8" s="373">
        <v>46209</v>
      </c>
      <c r="FQ8" s="373">
        <v>46210</v>
      </c>
      <c r="FR8" s="373">
        <v>46211</v>
      </c>
      <c r="FS8" s="373">
        <v>46212</v>
      </c>
      <c r="FT8" s="373">
        <v>46213</v>
      </c>
      <c r="FU8" s="373">
        <v>46214</v>
      </c>
      <c r="FV8" s="373">
        <v>46215</v>
      </c>
      <c r="FW8" s="373">
        <v>46216</v>
      </c>
      <c r="FX8" s="373">
        <v>46217</v>
      </c>
      <c r="FY8" s="373">
        <v>46218</v>
      </c>
      <c r="FZ8" s="373">
        <v>46219</v>
      </c>
      <c r="GA8" s="373">
        <v>46220</v>
      </c>
      <c r="GB8" s="373">
        <v>46221</v>
      </c>
      <c r="GC8" s="373">
        <v>46222</v>
      </c>
      <c r="GD8" s="373">
        <v>46223</v>
      </c>
      <c r="GE8" s="373">
        <v>46224</v>
      </c>
      <c r="GF8" s="373">
        <v>46225</v>
      </c>
      <c r="GG8" s="373">
        <v>46226</v>
      </c>
      <c r="GH8" s="373">
        <v>46227</v>
      </c>
      <c r="GI8" s="373">
        <v>46228</v>
      </c>
      <c r="GJ8" s="373">
        <v>46229</v>
      </c>
      <c r="GK8" s="373">
        <v>46230</v>
      </c>
      <c r="GL8" s="373">
        <v>46231</v>
      </c>
      <c r="GM8" s="373">
        <v>46232</v>
      </c>
      <c r="GN8" s="373">
        <v>46233</v>
      </c>
      <c r="GO8" s="393">
        <v>46234</v>
      </c>
      <c r="GP8" s="181">
        <v>46235</v>
      </c>
      <c r="GQ8" s="327">
        <v>46236</v>
      </c>
      <c r="GR8" s="327">
        <v>46237</v>
      </c>
      <c r="GS8" s="327">
        <v>46238</v>
      </c>
      <c r="GT8" s="327">
        <v>46239</v>
      </c>
      <c r="GU8" s="327">
        <v>46240</v>
      </c>
      <c r="GV8" s="327">
        <v>46241</v>
      </c>
      <c r="GW8" s="327">
        <v>46242</v>
      </c>
      <c r="GX8" s="327">
        <v>46243</v>
      </c>
      <c r="GY8" s="327">
        <v>46244</v>
      </c>
      <c r="GZ8" s="327">
        <v>46245</v>
      </c>
      <c r="HA8" s="327">
        <v>46246</v>
      </c>
      <c r="HB8" s="327">
        <v>46247</v>
      </c>
      <c r="HC8" s="327">
        <v>46248</v>
      </c>
      <c r="HD8" s="327">
        <v>46249</v>
      </c>
      <c r="HE8" s="327">
        <v>46250</v>
      </c>
      <c r="HF8" s="327">
        <v>46251</v>
      </c>
      <c r="HG8" s="327">
        <v>46252</v>
      </c>
      <c r="HH8" s="327">
        <v>46253</v>
      </c>
      <c r="HI8" s="327">
        <v>46254</v>
      </c>
      <c r="HJ8" s="327">
        <v>46255</v>
      </c>
      <c r="HK8" s="327">
        <v>46256</v>
      </c>
      <c r="HL8" s="327">
        <v>46257</v>
      </c>
      <c r="HM8" s="327">
        <v>46258</v>
      </c>
      <c r="HN8" s="327">
        <v>46259</v>
      </c>
      <c r="HO8" s="327">
        <v>46260</v>
      </c>
      <c r="HP8" s="327">
        <v>46261</v>
      </c>
      <c r="HQ8" s="327">
        <v>46262</v>
      </c>
      <c r="HR8" s="327">
        <v>46263</v>
      </c>
      <c r="HS8" s="327">
        <v>46264</v>
      </c>
      <c r="HT8" s="327">
        <v>46265</v>
      </c>
      <c r="HU8" s="348" t="s">
        <v>26</v>
      </c>
    </row>
    <row r="9" spans="1:229" x14ac:dyDescent="0.25">
      <c r="A9" s="9">
        <v>1</v>
      </c>
      <c r="B9" s="502" t="s">
        <v>15</v>
      </c>
      <c r="C9" s="22" t="s">
        <v>1</v>
      </c>
      <c r="D9" s="28" t="s">
        <v>19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102">
        <f>SUM(E9:L9)</f>
        <v>0</v>
      </c>
      <c r="N9" s="135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155">
        <v>0</v>
      </c>
      <c r="AQ9" s="162"/>
      <c r="AR9" s="7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62"/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01">
        <v>0</v>
      </c>
      <c r="DB9" s="7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01">
        <v>0</v>
      </c>
      <c r="EG9" s="7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01">
        <v>0</v>
      </c>
      <c r="FK9" s="7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01">
        <v>0</v>
      </c>
      <c r="GP9" s="71">
        <v>0</v>
      </c>
      <c r="GQ9" s="37">
        <v>0</v>
      </c>
      <c r="GR9" s="37">
        <v>0</v>
      </c>
      <c r="GS9" s="37">
        <v>0</v>
      </c>
      <c r="GT9" s="37">
        <v>0</v>
      </c>
      <c r="GU9" s="37">
        <v>0</v>
      </c>
      <c r="GV9" s="37">
        <v>0</v>
      </c>
      <c r="GW9" s="37">
        <v>0</v>
      </c>
      <c r="GX9" s="37">
        <v>0</v>
      </c>
      <c r="GY9" s="37">
        <v>0</v>
      </c>
      <c r="GZ9" s="37">
        <v>0</v>
      </c>
      <c r="HA9" s="37">
        <v>0</v>
      </c>
      <c r="HB9" s="37">
        <v>0</v>
      </c>
      <c r="HC9" s="37">
        <v>0</v>
      </c>
      <c r="HD9" s="37">
        <v>0</v>
      </c>
      <c r="HE9" s="37">
        <v>0</v>
      </c>
      <c r="HF9" s="37">
        <v>0</v>
      </c>
      <c r="HG9" s="37">
        <v>0</v>
      </c>
      <c r="HH9" s="37">
        <v>0</v>
      </c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276"/>
      <c r="HU9" s="55">
        <f>SUM(O9:HT9)</f>
        <v>0</v>
      </c>
    </row>
    <row r="10" spans="1:229" x14ac:dyDescent="0.25">
      <c r="A10" s="2">
        <v>2</v>
      </c>
      <c r="B10" s="474"/>
      <c r="C10" s="23" t="s">
        <v>2</v>
      </c>
      <c r="D10" s="29" t="s">
        <v>19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102">
        <f t="shared" ref="M10:M19" si="0">SUM(E10:L10)</f>
        <v>0</v>
      </c>
      <c r="N10" s="135"/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155">
        <v>0</v>
      </c>
      <c r="AQ10" s="162"/>
      <c r="AR10" s="7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62"/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01">
        <v>0</v>
      </c>
      <c r="DB10" s="7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01">
        <v>0</v>
      </c>
      <c r="EG10" s="7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01">
        <v>0</v>
      </c>
      <c r="FK10" s="7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01">
        <v>0</v>
      </c>
      <c r="GP10" s="7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274"/>
      <c r="HU10" s="55">
        <f t="shared" ref="HU10:HU19" si="1">SUM(O10:HT10)</f>
        <v>0</v>
      </c>
    </row>
    <row r="11" spans="1:229" x14ac:dyDescent="0.25">
      <c r="A11" s="2">
        <v>3</v>
      </c>
      <c r="B11" s="474"/>
      <c r="C11" s="23" t="s">
        <v>3</v>
      </c>
      <c r="D11" s="29" t="s">
        <v>19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102">
        <f t="shared" si="0"/>
        <v>0</v>
      </c>
      <c r="N11" s="135"/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155">
        <v>0</v>
      </c>
      <c r="AQ11" s="162"/>
      <c r="AR11" s="7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62"/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01">
        <v>0</v>
      </c>
      <c r="DB11" s="7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01">
        <v>0</v>
      </c>
      <c r="EG11" s="7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01">
        <v>0</v>
      </c>
      <c r="FK11" s="7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01">
        <v>0</v>
      </c>
      <c r="GP11" s="7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274"/>
      <c r="HU11" s="55">
        <f t="shared" si="1"/>
        <v>0</v>
      </c>
    </row>
    <row r="12" spans="1:229" x14ac:dyDescent="0.25">
      <c r="A12" s="2">
        <v>4</v>
      </c>
      <c r="B12" s="474"/>
      <c r="C12" s="23" t="s">
        <v>4</v>
      </c>
      <c r="D12" s="29" t="s">
        <v>19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102">
        <f t="shared" si="0"/>
        <v>0</v>
      </c>
      <c r="N12" s="135"/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155">
        <v>0</v>
      </c>
      <c r="AQ12" s="162"/>
      <c r="AR12" s="7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62"/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01">
        <v>0</v>
      </c>
      <c r="DB12" s="7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01">
        <v>0</v>
      </c>
      <c r="EG12" s="7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01">
        <v>0</v>
      </c>
      <c r="FK12" s="7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01">
        <v>0</v>
      </c>
      <c r="GP12" s="7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274"/>
      <c r="HU12" s="55">
        <f t="shared" si="1"/>
        <v>0</v>
      </c>
    </row>
    <row r="13" spans="1:229" x14ac:dyDescent="0.25">
      <c r="A13" s="2">
        <v>5</v>
      </c>
      <c r="B13" s="474"/>
      <c r="C13" s="23" t="s">
        <v>5</v>
      </c>
      <c r="D13" s="29" t="s">
        <v>19</v>
      </c>
      <c r="E13" s="31">
        <v>0</v>
      </c>
      <c r="F13" s="31">
        <v>0</v>
      </c>
      <c r="G13" s="31">
        <v>0</v>
      </c>
      <c r="H13" s="66">
        <v>19.5</v>
      </c>
      <c r="I13" s="31">
        <v>0</v>
      </c>
      <c r="J13" s="31">
        <v>24</v>
      </c>
      <c r="K13" s="31">
        <v>0</v>
      </c>
      <c r="L13" s="31">
        <v>0</v>
      </c>
      <c r="M13" s="102">
        <f t="shared" si="0"/>
        <v>43.5</v>
      </c>
      <c r="N13" s="135"/>
      <c r="O13" s="31">
        <v>16</v>
      </c>
      <c r="P13" s="66">
        <v>26</v>
      </c>
      <c r="Q13" s="31">
        <v>0</v>
      </c>
      <c r="R13" s="31">
        <v>0</v>
      </c>
      <c r="S13" s="31">
        <v>0</v>
      </c>
      <c r="T13" s="31">
        <v>0</v>
      </c>
      <c r="U13" s="66">
        <v>7.6</v>
      </c>
      <c r="V13" s="31">
        <v>0</v>
      </c>
      <c r="W13" s="66">
        <v>17.5</v>
      </c>
      <c r="X13" s="31">
        <v>0</v>
      </c>
      <c r="Y13" s="31">
        <v>0</v>
      </c>
      <c r="Z13" s="31">
        <v>11</v>
      </c>
      <c r="AA13" s="31">
        <v>0</v>
      </c>
      <c r="AB13" s="31">
        <v>0</v>
      </c>
      <c r="AC13" s="31">
        <v>0</v>
      </c>
      <c r="AD13" s="31">
        <v>0</v>
      </c>
      <c r="AE13" s="66">
        <v>10.5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155">
        <v>0</v>
      </c>
      <c r="AQ13" s="162"/>
      <c r="AR13" s="73">
        <v>0</v>
      </c>
      <c r="AS13" s="13">
        <v>0</v>
      </c>
      <c r="AT13" s="13">
        <v>0</v>
      </c>
      <c r="AU13" s="64">
        <v>2.5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25</v>
      </c>
      <c r="BF13" s="13">
        <v>0</v>
      </c>
      <c r="BG13" s="13">
        <v>0</v>
      </c>
      <c r="BH13" s="64">
        <v>21.8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64">
        <v>19.5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62"/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27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64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01">
        <v>0</v>
      </c>
      <c r="DB13" s="7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01">
        <v>0</v>
      </c>
      <c r="EG13" s="7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01">
        <v>0</v>
      </c>
      <c r="FK13" s="7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01">
        <v>0</v>
      </c>
      <c r="GP13" s="7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274"/>
      <c r="HU13" s="55">
        <f t="shared" si="1"/>
        <v>184.4</v>
      </c>
    </row>
    <row r="14" spans="1:229" x14ac:dyDescent="0.25">
      <c r="A14" s="2">
        <v>6</v>
      </c>
      <c r="B14" s="474"/>
      <c r="C14" s="23" t="s">
        <v>6</v>
      </c>
      <c r="D14" s="29" t="s">
        <v>19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102">
        <f t="shared" si="0"/>
        <v>0</v>
      </c>
      <c r="N14" s="135"/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3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155">
        <v>0</v>
      </c>
      <c r="AQ14" s="162"/>
      <c r="AR14" s="7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27</v>
      </c>
      <c r="BU14" s="13">
        <v>0</v>
      </c>
      <c r="BV14" s="13">
        <v>0</v>
      </c>
      <c r="BW14" s="162"/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01">
        <v>0</v>
      </c>
      <c r="DB14" s="7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01">
        <v>0</v>
      </c>
      <c r="EG14" s="7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01">
        <v>0</v>
      </c>
      <c r="FK14" s="7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01">
        <v>0</v>
      </c>
      <c r="GP14" s="7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274"/>
      <c r="HU14" s="55">
        <f t="shared" si="1"/>
        <v>30</v>
      </c>
    </row>
    <row r="15" spans="1:229" x14ac:dyDescent="0.25">
      <c r="A15" s="2">
        <v>7</v>
      </c>
      <c r="B15" s="474"/>
      <c r="C15" s="23" t="s">
        <v>7</v>
      </c>
      <c r="D15" s="29" t="s">
        <v>19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02">
        <f t="shared" si="0"/>
        <v>0</v>
      </c>
      <c r="N15" s="135"/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66">
        <v>21.5</v>
      </c>
      <c r="AN15" s="31">
        <v>0</v>
      </c>
      <c r="AO15" s="31">
        <v>0</v>
      </c>
      <c r="AP15" s="155">
        <v>0</v>
      </c>
      <c r="AQ15" s="162"/>
      <c r="AR15" s="73">
        <v>0</v>
      </c>
      <c r="AS15" s="13">
        <v>0</v>
      </c>
      <c r="AT15" s="64">
        <v>10.5</v>
      </c>
      <c r="AU15" s="13">
        <v>0</v>
      </c>
      <c r="AV15" s="13">
        <v>0</v>
      </c>
      <c r="AW15" s="13">
        <v>0</v>
      </c>
      <c r="AX15" s="13">
        <v>8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62"/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01">
        <v>0</v>
      </c>
      <c r="DB15" s="7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01">
        <v>0</v>
      </c>
      <c r="EG15" s="7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01">
        <v>0</v>
      </c>
      <c r="FK15" s="7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01">
        <v>0</v>
      </c>
      <c r="GP15" s="7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274"/>
      <c r="HU15" s="55">
        <f t="shared" si="1"/>
        <v>40</v>
      </c>
    </row>
    <row r="16" spans="1:229" x14ac:dyDescent="0.25">
      <c r="A16" s="2">
        <v>8</v>
      </c>
      <c r="B16" s="474"/>
      <c r="C16" s="23" t="s">
        <v>8</v>
      </c>
      <c r="D16" s="29" t="s">
        <v>19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102">
        <f t="shared" si="0"/>
        <v>0</v>
      </c>
      <c r="N16" s="135"/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35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155">
        <v>0</v>
      </c>
      <c r="AQ16" s="162"/>
      <c r="AR16" s="7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64">
        <v>3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62"/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64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01">
        <v>0</v>
      </c>
      <c r="DB16" s="7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01">
        <v>0</v>
      </c>
      <c r="EG16" s="7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01">
        <v>0</v>
      </c>
      <c r="FK16" s="7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01">
        <v>0</v>
      </c>
      <c r="GP16" s="7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274"/>
      <c r="HU16" s="55">
        <f t="shared" si="1"/>
        <v>38</v>
      </c>
    </row>
    <row r="17" spans="1:229" x14ac:dyDescent="0.25">
      <c r="A17" s="2">
        <v>9</v>
      </c>
      <c r="B17" s="474"/>
      <c r="C17" s="23" t="s">
        <v>9</v>
      </c>
      <c r="D17" s="29" t="s">
        <v>19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102">
        <f t="shared" si="0"/>
        <v>0</v>
      </c>
      <c r="N17" s="135"/>
      <c r="O17" s="31">
        <v>0</v>
      </c>
      <c r="P17" s="66">
        <v>9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155">
        <v>0</v>
      </c>
      <c r="AQ17" s="162"/>
      <c r="AR17" s="7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62"/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01">
        <v>0</v>
      </c>
      <c r="DB17" s="7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01">
        <v>0</v>
      </c>
      <c r="EG17" s="7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01">
        <v>0</v>
      </c>
      <c r="FK17" s="7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01">
        <v>0</v>
      </c>
      <c r="GP17" s="7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274"/>
      <c r="HU17" s="55">
        <f t="shared" si="1"/>
        <v>9</v>
      </c>
    </row>
    <row r="18" spans="1:229" x14ac:dyDescent="0.25">
      <c r="A18" s="2">
        <v>10</v>
      </c>
      <c r="B18" s="474"/>
      <c r="C18" s="23" t="s">
        <v>10</v>
      </c>
      <c r="D18" s="29" t="s">
        <v>19</v>
      </c>
      <c r="E18" s="31">
        <v>0</v>
      </c>
      <c r="F18" s="31">
        <v>0</v>
      </c>
      <c r="G18" s="30">
        <v>35.1</v>
      </c>
      <c r="H18" s="31">
        <v>0</v>
      </c>
      <c r="I18" s="31">
        <v>27</v>
      </c>
      <c r="J18" s="31">
        <v>0</v>
      </c>
      <c r="K18" s="31">
        <v>0</v>
      </c>
      <c r="L18" s="31">
        <v>0</v>
      </c>
      <c r="M18" s="102">
        <f t="shared" si="0"/>
        <v>62.1</v>
      </c>
      <c r="N18" s="135"/>
      <c r="O18" s="66">
        <v>5.0999999999999996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66">
        <v>9.6999999999999993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155">
        <v>0</v>
      </c>
      <c r="AQ18" s="162"/>
      <c r="AR18" s="7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62"/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01">
        <v>0</v>
      </c>
      <c r="DB18" s="7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01">
        <v>0</v>
      </c>
      <c r="EG18" s="7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01">
        <v>0</v>
      </c>
      <c r="FK18" s="73">
        <v>0</v>
      </c>
      <c r="FL18" s="13">
        <v>0</v>
      </c>
      <c r="FM18" s="13">
        <v>0</v>
      </c>
      <c r="FN18" s="13">
        <v>0</v>
      </c>
      <c r="FO18" s="13">
        <v>0</v>
      </c>
      <c r="FP18" s="272">
        <v>21.7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01">
        <v>0</v>
      </c>
      <c r="GP18" s="7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274"/>
      <c r="HU18" s="55">
        <f t="shared" si="1"/>
        <v>36.5</v>
      </c>
    </row>
    <row r="19" spans="1:229" x14ac:dyDescent="0.25">
      <c r="A19" s="2">
        <v>11</v>
      </c>
      <c r="B19" s="496"/>
      <c r="C19" s="23" t="s">
        <v>11</v>
      </c>
      <c r="D19" s="29" t="s">
        <v>19</v>
      </c>
      <c r="E19" s="31">
        <v>0</v>
      </c>
      <c r="F19" s="31">
        <v>0</v>
      </c>
      <c r="G19" s="13">
        <v>0</v>
      </c>
      <c r="H19" s="13">
        <v>0</v>
      </c>
      <c r="I19" s="13">
        <v>0</v>
      </c>
      <c r="J19" s="13">
        <v>0</v>
      </c>
      <c r="K19" s="31">
        <v>0</v>
      </c>
      <c r="L19" s="31">
        <v>0</v>
      </c>
      <c r="M19" s="102">
        <f t="shared" si="0"/>
        <v>0</v>
      </c>
      <c r="N19" s="135"/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32.9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7</v>
      </c>
      <c r="AM19" s="31">
        <v>0</v>
      </c>
      <c r="AN19" s="31">
        <v>0</v>
      </c>
      <c r="AO19" s="31">
        <v>0</v>
      </c>
      <c r="AP19" s="155">
        <v>0</v>
      </c>
      <c r="AQ19" s="162"/>
      <c r="AR19" s="7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62"/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01">
        <v>0</v>
      </c>
      <c r="DB19" s="7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01">
        <v>0</v>
      </c>
      <c r="EG19" s="7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01">
        <v>0</v>
      </c>
      <c r="FK19" s="7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01">
        <v>0</v>
      </c>
      <c r="GP19" s="7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274"/>
      <c r="HU19" s="55">
        <f t="shared" si="1"/>
        <v>39.9</v>
      </c>
    </row>
    <row r="20" spans="1:229" s="7" customFormat="1" ht="24.75" customHeight="1" thickBot="1" x14ac:dyDescent="0.3">
      <c r="A20" s="90"/>
      <c r="B20" s="90"/>
      <c r="C20" s="91" t="s">
        <v>12</v>
      </c>
      <c r="D20" s="113" t="s">
        <v>19</v>
      </c>
      <c r="E20" s="114">
        <f t="shared" ref="E20:L20" si="2">SUM(E9:E19)</f>
        <v>0</v>
      </c>
      <c r="F20" s="115">
        <f t="shared" si="2"/>
        <v>0</v>
      </c>
      <c r="G20" s="115">
        <f t="shared" si="2"/>
        <v>35.1</v>
      </c>
      <c r="H20" s="115">
        <f t="shared" si="2"/>
        <v>19.5</v>
      </c>
      <c r="I20" s="115">
        <f t="shared" si="2"/>
        <v>27</v>
      </c>
      <c r="J20" s="115">
        <f t="shared" si="2"/>
        <v>24</v>
      </c>
      <c r="K20" s="115">
        <f t="shared" si="2"/>
        <v>0</v>
      </c>
      <c r="L20" s="115">
        <f t="shared" si="2"/>
        <v>0</v>
      </c>
      <c r="M20" s="116">
        <f>SUM(M9:M19)</f>
        <v>105.6</v>
      </c>
      <c r="N20" s="136"/>
      <c r="O20" s="115">
        <f t="shared" ref="O20:AP20" si="3">SUM(O9:O19)</f>
        <v>21.1</v>
      </c>
      <c r="P20" s="115">
        <f t="shared" si="3"/>
        <v>35</v>
      </c>
      <c r="Q20" s="115">
        <f t="shared" si="3"/>
        <v>0</v>
      </c>
      <c r="R20" s="115">
        <f t="shared" si="3"/>
        <v>0</v>
      </c>
      <c r="S20" s="115">
        <f t="shared" si="3"/>
        <v>0</v>
      </c>
      <c r="T20" s="115">
        <f t="shared" si="3"/>
        <v>0</v>
      </c>
      <c r="U20" s="115">
        <f t="shared" si="3"/>
        <v>7.6</v>
      </c>
      <c r="V20" s="115">
        <f t="shared" si="3"/>
        <v>0</v>
      </c>
      <c r="W20" s="115">
        <f t="shared" si="3"/>
        <v>17.5</v>
      </c>
      <c r="X20" s="115">
        <f t="shared" si="3"/>
        <v>0</v>
      </c>
      <c r="Y20" s="115">
        <f t="shared" si="3"/>
        <v>0</v>
      </c>
      <c r="Z20" s="115">
        <f t="shared" si="3"/>
        <v>11</v>
      </c>
      <c r="AA20" s="115">
        <f t="shared" si="3"/>
        <v>0</v>
      </c>
      <c r="AB20" s="115">
        <f t="shared" si="3"/>
        <v>0</v>
      </c>
      <c r="AC20" s="115">
        <f t="shared" si="3"/>
        <v>3</v>
      </c>
      <c r="AD20" s="115">
        <f t="shared" si="3"/>
        <v>32.9</v>
      </c>
      <c r="AE20" s="115">
        <f t="shared" si="3"/>
        <v>20.2</v>
      </c>
      <c r="AF20" s="20">
        <f t="shared" si="3"/>
        <v>0</v>
      </c>
      <c r="AG20" s="20">
        <f t="shared" si="3"/>
        <v>35</v>
      </c>
      <c r="AH20" s="20">
        <f t="shared" si="3"/>
        <v>0</v>
      </c>
      <c r="AI20" s="20">
        <f t="shared" si="3"/>
        <v>0</v>
      </c>
      <c r="AJ20" s="20">
        <f t="shared" si="3"/>
        <v>0</v>
      </c>
      <c r="AK20" s="20">
        <f t="shared" si="3"/>
        <v>0</v>
      </c>
      <c r="AL20" s="20">
        <f t="shared" si="3"/>
        <v>7</v>
      </c>
      <c r="AM20" s="20">
        <f t="shared" si="3"/>
        <v>21.5</v>
      </c>
      <c r="AN20" s="20">
        <f t="shared" si="3"/>
        <v>0</v>
      </c>
      <c r="AO20" s="20">
        <f t="shared" si="3"/>
        <v>0</v>
      </c>
      <c r="AP20" s="159">
        <f t="shared" si="3"/>
        <v>0</v>
      </c>
      <c r="AQ20" s="169"/>
      <c r="AR20" s="83">
        <f t="shared" ref="AR20:BF20" si="4">SUM(AR9:AR19)</f>
        <v>0</v>
      </c>
      <c r="AS20" s="20">
        <f t="shared" si="4"/>
        <v>0</v>
      </c>
      <c r="AT20" s="20">
        <f t="shared" si="4"/>
        <v>10.5</v>
      </c>
      <c r="AU20" s="20">
        <f t="shared" si="4"/>
        <v>2.5</v>
      </c>
      <c r="AV20" s="20">
        <f t="shared" si="4"/>
        <v>0</v>
      </c>
      <c r="AW20" s="20">
        <f t="shared" si="4"/>
        <v>0</v>
      </c>
      <c r="AX20" s="20">
        <f t="shared" si="4"/>
        <v>8</v>
      </c>
      <c r="AY20" s="20">
        <f t="shared" si="4"/>
        <v>0</v>
      </c>
      <c r="AZ20" s="20">
        <f t="shared" si="4"/>
        <v>0</v>
      </c>
      <c r="BA20" s="20">
        <f t="shared" si="4"/>
        <v>0</v>
      </c>
      <c r="BB20" s="20">
        <f t="shared" si="4"/>
        <v>0</v>
      </c>
      <c r="BC20" s="20">
        <f t="shared" si="4"/>
        <v>0</v>
      </c>
      <c r="BD20" s="20">
        <f t="shared" si="4"/>
        <v>0</v>
      </c>
      <c r="BE20" s="20">
        <f t="shared" si="4"/>
        <v>25</v>
      </c>
      <c r="BF20" s="20">
        <f t="shared" si="4"/>
        <v>0</v>
      </c>
      <c r="BG20" s="20">
        <f t="shared" ref="BG20:BV20" si="5">SUM(BG9:BG19)</f>
        <v>0</v>
      </c>
      <c r="BH20" s="20">
        <f t="shared" si="5"/>
        <v>24.8</v>
      </c>
      <c r="BI20" s="20">
        <f t="shared" si="5"/>
        <v>0</v>
      </c>
      <c r="BJ20" s="20">
        <f t="shared" si="5"/>
        <v>0</v>
      </c>
      <c r="BK20" s="20">
        <f t="shared" si="5"/>
        <v>0</v>
      </c>
      <c r="BL20" s="20">
        <f t="shared" si="5"/>
        <v>0</v>
      </c>
      <c r="BM20" s="20">
        <f t="shared" si="5"/>
        <v>0</v>
      </c>
      <c r="BN20" s="20">
        <f t="shared" si="5"/>
        <v>0</v>
      </c>
      <c r="BO20" s="20">
        <f t="shared" si="5"/>
        <v>19.5</v>
      </c>
      <c r="BP20" s="20">
        <f t="shared" si="5"/>
        <v>0</v>
      </c>
      <c r="BQ20" s="20">
        <f t="shared" si="5"/>
        <v>0</v>
      </c>
      <c r="BR20" s="20">
        <f t="shared" si="5"/>
        <v>0</v>
      </c>
      <c r="BS20" s="20">
        <f t="shared" si="5"/>
        <v>0</v>
      </c>
      <c r="BT20" s="20">
        <f t="shared" si="5"/>
        <v>27</v>
      </c>
      <c r="BU20" s="20">
        <f t="shared" si="5"/>
        <v>0</v>
      </c>
      <c r="BV20" s="20">
        <f t="shared" si="5"/>
        <v>0</v>
      </c>
      <c r="BW20" s="169"/>
      <c r="BX20" s="83">
        <f t="shared" ref="BX20:CZ20" si="6">SUM(BX9:BX19)</f>
        <v>0</v>
      </c>
      <c r="BY20" s="20">
        <f t="shared" si="6"/>
        <v>0</v>
      </c>
      <c r="BZ20" s="20">
        <f t="shared" si="6"/>
        <v>0</v>
      </c>
      <c r="CA20" s="20">
        <f t="shared" si="6"/>
        <v>0</v>
      </c>
      <c r="CB20" s="20">
        <f t="shared" si="6"/>
        <v>0</v>
      </c>
      <c r="CC20" s="20">
        <f t="shared" si="6"/>
        <v>27</v>
      </c>
      <c r="CD20" s="20">
        <f t="shared" si="6"/>
        <v>0</v>
      </c>
      <c r="CE20" s="20">
        <f t="shared" si="6"/>
        <v>0</v>
      </c>
      <c r="CF20" s="20">
        <f t="shared" si="6"/>
        <v>0</v>
      </c>
      <c r="CG20" s="20">
        <f t="shared" si="6"/>
        <v>0</v>
      </c>
      <c r="CH20" s="20">
        <f t="shared" si="6"/>
        <v>0</v>
      </c>
      <c r="CI20" s="20">
        <f t="shared" si="6"/>
        <v>0</v>
      </c>
      <c r="CJ20" s="20">
        <f t="shared" si="6"/>
        <v>0</v>
      </c>
      <c r="CK20" s="20">
        <f t="shared" si="6"/>
        <v>0</v>
      </c>
      <c r="CL20" s="20">
        <f t="shared" si="6"/>
        <v>0</v>
      </c>
      <c r="CM20" s="20">
        <f t="shared" si="6"/>
        <v>0</v>
      </c>
      <c r="CN20" s="20">
        <v>0</v>
      </c>
      <c r="CO20" s="20">
        <f t="shared" si="6"/>
        <v>0</v>
      </c>
      <c r="CP20" s="20">
        <f t="shared" si="6"/>
        <v>0</v>
      </c>
      <c r="CQ20" s="20">
        <f t="shared" si="6"/>
        <v>0</v>
      </c>
      <c r="CR20" s="20">
        <f t="shared" si="6"/>
        <v>0</v>
      </c>
      <c r="CS20" s="20">
        <f t="shared" si="6"/>
        <v>0</v>
      </c>
      <c r="CT20" s="20">
        <f t="shared" si="6"/>
        <v>0</v>
      </c>
      <c r="CU20" s="20">
        <f t="shared" si="6"/>
        <v>0</v>
      </c>
      <c r="CV20" s="20">
        <f t="shared" si="6"/>
        <v>0</v>
      </c>
      <c r="CW20" s="20">
        <f t="shared" si="6"/>
        <v>0</v>
      </c>
      <c r="CX20" s="20">
        <f t="shared" si="6"/>
        <v>0</v>
      </c>
      <c r="CY20" s="20">
        <f t="shared" si="6"/>
        <v>0</v>
      </c>
      <c r="CZ20" s="20">
        <f t="shared" si="6"/>
        <v>0</v>
      </c>
      <c r="DA20" s="159">
        <f t="shared" ref="DA20:HU20" si="7">SUM(DA9:DA19)</f>
        <v>0</v>
      </c>
      <c r="DB20" s="83">
        <f t="shared" si="7"/>
        <v>0</v>
      </c>
      <c r="DC20" s="20">
        <f t="shared" si="7"/>
        <v>0</v>
      </c>
      <c r="DD20" s="20">
        <f t="shared" si="7"/>
        <v>0</v>
      </c>
      <c r="DE20" s="20">
        <f t="shared" si="7"/>
        <v>0</v>
      </c>
      <c r="DF20" s="20">
        <f t="shared" ref="DF20:DG20" si="8">SUM(DF9:DF19)</f>
        <v>0</v>
      </c>
      <c r="DG20" s="20">
        <f t="shared" si="8"/>
        <v>0</v>
      </c>
      <c r="DH20" s="20">
        <f t="shared" ref="DH20:DI20" si="9">SUM(DH9:DH19)</f>
        <v>0</v>
      </c>
      <c r="DI20" s="20">
        <f t="shared" si="9"/>
        <v>0</v>
      </c>
      <c r="DJ20" s="20">
        <f t="shared" ref="DJ20:DK20" si="10">SUM(DJ9:DJ19)</f>
        <v>0</v>
      </c>
      <c r="DK20" s="20">
        <f t="shared" si="10"/>
        <v>0</v>
      </c>
      <c r="DL20" s="20">
        <f t="shared" ref="DL20:DM20" si="11">SUM(DL9:DL19)</f>
        <v>0</v>
      </c>
      <c r="DM20" s="20">
        <f t="shared" si="11"/>
        <v>0</v>
      </c>
      <c r="DN20" s="20">
        <f t="shared" ref="DN20:DQ20" si="12">SUM(DN9:DN19)</f>
        <v>0</v>
      </c>
      <c r="DO20" s="20">
        <f t="shared" si="12"/>
        <v>0</v>
      </c>
      <c r="DP20" s="20">
        <f t="shared" si="12"/>
        <v>0</v>
      </c>
      <c r="DQ20" s="20">
        <f t="shared" si="12"/>
        <v>0</v>
      </c>
      <c r="DR20" s="20">
        <f t="shared" ref="DR20:DS20" si="13">SUM(DR9:DR19)</f>
        <v>0</v>
      </c>
      <c r="DS20" s="20">
        <f t="shared" si="13"/>
        <v>0</v>
      </c>
      <c r="DT20" s="20">
        <f t="shared" ref="DT20:DU20" si="14">SUM(DT9:DT19)</f>
        <v>0</v>
      </c>
      <c r="DU20" s="20">
        <f t="shared" si="14"/>
        <v>0</v>
      </c>
      <c r="DV20" s="20">
        <f t="shared" ref="DV20:DW20" si="15">SUM(DV9:DV19)</f>
        <v>0</v>
      </c>
      <c r="DW20" s="20">
        <f t="shared" si="15"/>
        <v>0</v>
      </c>
      <c r="DX20" s="20">
        <f t="shared" ref="DX20:DY20" si="16">SUM(DX9:DX19)</f>
        <v>0</v>
      </c>
      <c r="DY20" s="20">
        <f t="shared" si="16"/>
        <v>0</v>
      </c>
      <c r="DZ20" s="20">
        <f t="shared" ref="DZ20:EF20" si="17">SUM(DZ9:DZ19)</f>
        <v>0</v>
      </c>
      <c r="EA20" s="20">
        <f t="shared" si="17"/>
        <v>0</v>
      </c>
      <c r="EB20" s="20">
        <f t="shared" si="17"/>
        <v>0</v>
      </c>
      <c r="EC20" s="20">
        <f t="shared" si="17"/>
        <v>0</v>
      </c>
      <c r="ED20" s="20">
        <f t="shared" si="17"/>
        <v>0</v>
      </c>
      <c r="EE20" s="20">
        <f t="shared" si="17"/>
        <v>0</v>
      </c>
      <c r="EF20" s="159">
        <f t="shared" si="17"/>
        <v>0</v>
      </c>
      <c r="EG20" s="83">
        <f t="shared" ref="EG20:EH20" si="18">SUM(EG9:EG19)</f>
        <v>0</v>
      </c>
      <c r="EH20" s="20">
        <f t="shared" si="18"/>
        <v>0</v>
      </c>
      <c r="EI20" s="20">
        <f t="shared" ref="EI20:EJ20" si="19">SUM(EI9:EI19)</f>
        <v>0</v>
      </c>
      <c r="EJ20" s="20">
        <f t="shared" si="19"/>
        <v>0</v>
      </c>
      <c r="EK20" s="20">
        <f t="shared" ref="EK20:EL20" si="20">SUM(EK9:EK19)</f>
        <v>0</v>
      </c>
      <c r="EL20" s="20">
        <f t="shared" si="20"/>
        <v>0</v>
      </c>
      <c r="EM20" s="20">
        <f t="shared" ref="EM20:EN20" si="21">SUM(EM9:EM19)</f>
        <v>0</v>
      </c>
      <c r="EN20" s="20">
        <f t="shared" si="21"/>
        <v>0</v>
      </c>
      <c r="EO20" s="20">
        <f t="shared" ref="EO20:EP20" si="22">SUM(EO9:EO19)</f>
        <v>0</v>
      </c>
      <c r="EP20" s="20">
        <f t="shared" si="22"/>
        <v>0</v>
      </c>
      <c r="EQ20" s="20">
        <f t="shared" ref="EQ20:ES20" si="23">SUM(EQ9:EQ19)</f>
        <v>0</v>
      </c>
      <c r="ER20" s="20">
        <f t="shared" si="23"/>
        <v>0</v>
      </c>
      <c r="ES20" s="20">
        <f t="shared" si="23"/>
        <v>0</v>
      </c>
      <c r="ET20" s="20">
        <f t="shared" ref="ET20:EU20" si="24">SUM(ET9:ET19)</f>
        <v>0</v>
      </c>
      <c r="EU20" s="20">
        <f t="shared" si="24"/>
        <v>0</v>
      </c>
      <c r="EV20" s="20">
        <f t="shared" ref="EV20:EW20" si="25">SUM(EV9:EV19)</f>
        <v>0</v>
      </c>
      <c r="EW20" s="20">
        <f t="shared" si="25"/>
        <v>0</v>
      </c>
      <c r="EX20" s="20">
        <f t="shared" ref="EX20:EY20" si="26">SUM(EX9:EX19)</f>
        <v>0</v>
      </c>
      <c r="EY20" s="20">
        <f t="shared" si="26"/>
        <v>0</v>
      </c>
      <c r="EZ20" s="20">
        <f t="shared" ref="EZ20:FA20" si="27">SUM(EZ9:EZ19)</f>
        <v>0</v>
      </c>
      <c r="FA20" s="20">
        <f t="shared" si="27"/>
        <v>0</v>
      </c>
      <c r="FB20" s="20">
        <f t="shared" ref="FB20:FC20" si="28">SUM(FB9:FB19)</f>
        <v>0</v>
      </c>
      <c r="FC20" s="20">
        <f t="shared" si="28"/>
        <v>0</v>
      </c>
      <c r="FD20" s="20">
        <f t="shared" ref="FD20:FG20" si="29">SUM(FD9:FD19)</f>
        <v>0</v>
      </c>
      <c r="FE20" s="20">
        <f t="shared" si="29"/>
        <v>0</v>
      </c>
      <c r="FF20" s="20">
        <f t="shared" si="29"/>
        <v>0</v>
      </c>
      <c r="FG20" s="20">
        <f t="shared" si="29"/>
        <v>0</v>
      </c>
      <c r="FH20" s="20">
        <f t="shared" ref="FH20:FI20" si="30">SUM(FH9:FH19)</f>
        <v>0</v>
      </c>
      <c r="FI20" s="20">
        <f t="shared" si="30"/>
        <v>0</v>
      </c>
      <c r="FJ20" s="159">
        <f t="shared" ref="FJ20:FL20" si="31">SUM(FJ9:FJ19)</f>
        <v>0</v>
      </c>
      <c r="FK20" s="83">
        <f t="shared" si="31"/>
        <v>0</v>
      </c>
      <c r="FL20" s="20">
        <f t="shared" si="31"/>
        <v>0</v>
      </c>
      <c r="FM20" s="20">
        <f t="shared" ref="FM20:FN20" si="32">SUM(FM9:FM19)</f>
        <v>0</v>
      </c>
      <c r="FN20" s="20">
        <f t="shared" si="32"/>
        <v>0</v>
      </c>
      <c r="FO20" s="20">
        <f t="shared" ref="FO20:FP20" si="33">SUM(FO9:FO19)</f>
        <v>0</v>
      </c>
      <c r="FP20" s="153">
        <f t="shared" si="33"/>
        <v>21.7</v>
      </c>
      <c r="FQ20" s="20">
        <f t="shared" ref="FQ20:FR20" si="34">SUM(FQ9:FQ19)</f>
        <v>0</v>
      </c>
      <c r="FR20" s="20">
        <f t="shared" si="34"/>
        <v>0</v>
      </c>
      <c r="FS20" s="20">
        <f t="shared" ref="FS20:FU20" si="35">SUM(FS9:FS19)</f>
        <v>0</v>
      </c>
      <c r="FT20" s="20">
        <f t="shared" si="35"/>
        <v>0</v>
      </c>
      <c r="FU20" s="20">
        <f t="shared" si="35"/>
        <v>0</v>
      </c>
      <c r="FV20" s="20">
        <f t="shared" ref="FV20:FW20" si="36">SUM(FV9:FV19)</f>
        <v>0</v>
      </c>
      <c r="FW20" s="20">
        <f t="shared" si="36"/>
        <v>0</v>
      </c>
      <c r="FX20" s="20">
        <f t="shared" ref="FX20:FY20" si="37">SUM(FX9:FX19)</f>
        <v>0</v>
      </c>
      <c r="FY20" s="20">
        <f t="shared" si="37"/>
        <v>0</v>
      </c>
      <c r="FZ20" s="20">
        <f t="shared" ref="FZ20:GA20" si="38">SUM(FZ9:FZ19)</f>
        <v>0</v>
      </c>
      <c r="GA20" s="20">
        <f t="shared" si="38"/>
        <v>0</v>
      </c>
      <c r="GB20" s="20">
        <f t="shared" ref="GB20:GC20" si="39">SUM(GB9:GB19)</f>
        <v>0</v>
      </c>
      <c r="GC20" s="20">
        <f t="shared" si="39"/>
        <v>0</v>
      </c>
      <c r="GD20" s="20">
        <f t="shared" ref="GD20:GE20" si="40">SUM(GD9:GD19)</f>
        <v>0</v>
      </c>
      <c r="GE20" s="20">
        <f t="shared" si="40"/>
        <v>0</v>
      </c>
      <c r="GF20" s="20">
        <f t="shared" ref="GF20:GH20" si="41">SUM(GF9:GF19)</f>
        <v>0</v>
      </c>
      <c r="GG20" s="20">
        <f t="shared" si="41"/>
        <v>0</v>
      </c>
      <c r="GH20" s="20">
        <f t="shared" si="41"/>
        <v>0</v>
      </c>
      <c r="GI20" s="20">
        <f t="shared" ref="GI20:GJ20" si="42">SUM(GI9:GI19)</f>
        <v>0</v>
      </c>
      <c r="GJ20" s="20">
        <f t="shared" si="42"/>
        <v>0</v>
      </c>
      <c r="GK20" s="20">
        <f t="shared" ref="GK20:GL20" si="43">SUM(GK9:GK19)</f>
        <v>0</v>
      </c>
      <c r="GL20" s="20">
        <f t="shared" si="43"/>
        <v>0</v>
      </c>
      <c r="GM20" s="20">
        <f t="shared" ref="GM20:GN20" si="44">SUM(GM9:GM19)</f>
        <v>0</v>
      </c>
      <c r="GN20" s="20">
        <f t="shared" si="44"/>
        <v>0</v>
      </c>
      <c r="GO20" s="159">
        <f t="shared" ref="GO20:GP20" si="45">SUM(GO9:GO19)</f>
        <v>0</v>
      </c>
      <c r="GP20" s="83">
        <f t="shared" si="45"/>
        <v>0</v>
      </c>
      <c r="GQ20" s="20">
        <f t="shared" ref="GQ20:GR20" si="46">SUM(GQ9:GQ19)</f>
        <v>0</v>
      </c>
      <c r="GR20" s="20">
        <f t="shared" si="46"/>
        <v>0</v>
      </c>
      <c r="GS20" s="20">
        <f t="shared" ref="GS20:GT20" si="47">SUM(GS9:GS19)</f>
        <v>0</v>
      </c>
      <c r="GT20" s="20">
        <f t="shared" si="47"/>
        <v>0</v>
      </c>
      <c r="GU20" s="20">
        <f t="shared" ref="GU20:GW20" si="48">SUM(GU9:GU19)</f>
        <v>0</v>
      </c>
      <c r="GV20" s="20">
        <f t="shared" si="48"/>
        <v>0</v>
      </c>
      <c r="GW20" s="20">
        <f t="shared" si="48"/>
        <v>0</v>
      </c>
      <c r="GX20" s="20">
        <f t="shared" ref="GX20:GY20" si="49">SUM(GX9:GX19)</f>
        <v>0</v>
      </c>
      <c r="GY20" s="20">
        <f t="shared" si="49"/>
        <v>0</v>
      </c>
      <c r="GZ20" s="20">
        <f t="shared" ref="GZ20:HA20" si="50">SUM(GZ9:GZ19)</f>
        <v>0</v>
      </c>
      <c r="HA20" s="20">
        <f t="shared" si="50"/>
        <v>0</v>
      </c>
      <c r="HB20" s="20">
        <f t="shared" ref="HB20:HC20" si="51">SUM(HB9:HB19)</f>
        <v>0</v>
      </c>
      <c r="HC20" s="20">
        <f t="shared" si="51"/>
        <v>0</v>
      </c>
      <c r="HD20" s="20">
        <f t="shared" ref="HD20:HE20" si="52">SUM(HD9:HD19)</f>
        <v>0</v>
      </c>
      <c r="HE20" s="20">
        <f t="shared" si="52"/>
        <v>0</v>
      </c>
      <c r="HF20" s="20">
        <f t="shared" ref="HF20:HG20" si="53">SUM(HF9:HF19)</f>
        <v>0</v>
      </c>
      <c r="HG20" s="20">
        <f t="shared" si="53"/>
        <v>0</v>
      </c>
      <c r="HH20" s="20">
        <f t="shared" ref="HH20" si="54">SUM(HH9:HH19)</f>
        <v>0</v>
      </c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369"/>
      <c r="HU20" s="359">
        <f t="shared" si="7"/>
        <v>377.79999999999995</v>
      </c>
    </row>
    <row r="21" spans="1:229" ht="15.75" thickBot="1" x14ac:dyDescent="0.3">
      <c r="A21" s="97"/>
      <c r="B21" s="98"/>
      <c r="C21" s="99"/>
      <c r="D21" s="118"/>
      <c r="E21" s="118"/>
      <c r="F21" s="118"/>
      <c r="G21" s="118"/>
      <c r="H21" s="118"/>
      <c r="I21" s="118"/>
      <c r="J21" s="118"/>
      <c r="K21" s="118"/>
      <c r="L21" s="118"/>
      <c r="M21" s="236"/>
      <c r="N21" s="137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Q21" s="170"/>
      <c r="BW21" s="170"/>
      <c r="CN21" s="257"/>
      <c r="DB21" s="21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5"/>
      <c r="DV21" s="275"/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1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5"/>
      <c r="FB21" s="275"/>
      <c r="FC21" s="275"/>
      <c r="FD21" s="275"/>
      <c r="FE21" s="275"/>
      <c r="FF21" s="275"/>
      <c r="FG21" s="275"/>
      <c r="FH21" s="275"/>
      <c r="FI21" s="275"/>
      <c r="FJ21" s="275"/>
      <c r="FK21" s="21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5"/>
      <c r="GG21" s="275"/>
      <c r="GH21" s="275"/>
      <c r="GI21" s="275"/>
      <c r="GJ21" s="275"/>
      <c r="GK21" s="275"/>
      <c r="GL21" s="275"/>
      <c r="GM21" s="275"/>
      <c r="GN21" s="275"/>
      <c r="GO21" s="275"/>
      <c r="GP21" s="21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5"/>
      <c r="HM21" s="275"/>
      <c r="HN21" s="275"/>
      <c r="HO21" s="275"/>
      <c r="HP21" s="275"/>
      <c r="HQ21" s="275"/>
      <c r="HR21" s="275"/>
      <c r="HS21" s="275"/>
      <c r="HT21" s="357"/>
      <c r="HU21" s="104"/>
    </row>
    <row r="22" spans="1:229" ht="15.75" thickBot="1" x14ac:dyDescent="0.3">
      <c r="A22" s="9">
        <v>1</v>
      </c>
      <c r="B22" s="474" t="s">
        <v>16</v>
      </c>
      <c r="C22" s="22" t="s">
        <v>1</v>
      </c>
      <c r="D22" s="189" t="s">
        <v>19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168">
        <f>SUM(E22:L22)</f>
        <v>0</v>
      </c>
      <c r="N22" s="147"/>
      <c r="O22" s="71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154">
        <v>0</v>
      </c>
      <c r="AQ22" s="165"/>
      <c r="AR22" s="71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165"/>
      <c r="BX22" s="71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37">
        <v>0</v>
      </c>
      <c r="CO22" s="267">
        <v>0</v>
      </c>
      <c r="CP22" s="267">
        <v>0</v>
      </c>
      <c r="CQ22" s="267">
        <v>0</v>
      </c>
      <c r="CR22" s="267">
        <v>0</v>
      </c>
      <c r="CS22" s="267">
        <v>0</v>
      </c>
      <c r="CT22" s="267">
        <v>0</v>
      </c>
      <c r="CU22" s="267">
        <v>0</v>
      </c>
      <c r="CV22" s="267">
        <v>0</v>
      </c>
      <c r="CW22" s="267">
        <v>0</v>
      </c>
      <c r="CX22" s="267">
        <v>0</v>
      </c>
      <c r="CY22" s="267">
        <v>0</v>
      </c>
      <c r="CZ22" s="37">
        <v>0</v>
      </c>
      <c r="DA22" s="157">
        <v>0</v>
      </c>
      <c r="DB22" s="71">
        <v>0</v>
      </c>
      <c r="DC22" s="37">
        <v>0</v>
      </c>
      <c r="DD22" s="37">
        <v>0</v>
      </c>
      <c r="DE22" s="37">
        <v>0</v>
      </c>
      <c r="DF22" s="37">
        <v>0</v>
      </c>
      <c r="DG22" s="37">
        <v>0</v>
      </c>
      <c r="DH22" s="37">
        <v>0</v>
      </c>
      <c r="DI22" s="37">
        <v>0</v>
      </c>
      <c r="DJ22" s="37">
        <v>0</v>
      </c>
      <c r="DK22" s="37">
        <v>0</v>
      </c>
      <c r="DL22" s="37">
        <v>0</v>
      </c>
      <c r="DM22" s="37">
        <v>0</v>
      </c>
      <c r="DN22" s="37">
        <v>0</v>
      </c>
      <c r="DO22" s="37">
        <v>0</v>
      </c>
      <c r="DP22" s="37">
        <v>0</v>
      </c>
      <c r="DQ22" s="37">
        <v>0</v>
      </c>
      <c r="DR22" s="37">
        <v>0</v>
      </c>
      <c r="DS22" s="37">
        <v>0</v>
      </c>
      <c r="DT22" s="37">
        <v>0</v>
      </c>
      <c r="DU22" s="37">
        <v>0</v>
      </c>
      <c r="DV22" s="37">
        <v>0</v>
      </c>
      <c r="DW22" s="37">
        <v>0</v>
      </c>
      <c r="DX22" s="37">
        <v>0</v>
      </c>
      <c r="DY22" s="37">
        <v>0</v>
      </c>
      <c r="DZ22" s="37">
        <v>0</v>
      </c>
      <c r="EA22" s="37">
        <v>0</v>
      </c>
      <c r="EB22" s="37">
        <v>0</v>
      </c>
      <c r="EC22" s="37">
        <v>0</v>
      </c>
      <c r="ED22" s="37">
        <v>0</v>
      </c>
      <c r="EE22" s="37">
        <v>0</v>
      </c>
      <c r="EF22" s="157">
        <v>0</v>
      </c>
      <c r="EG22" s="71">
        <v>0</v>
      </c>
      <c r="EH22" s="37">
        <v>0</v>
      </c>
      <c r="EI22" s="37">
        <v>0</v>
      </c>
      <c r="EJ22" s="37">
        <v>0</v>
      </c>
      <c r="EK22" s="37">
        <v>0</v>
      </c>
      <c r="EL22" s="37">
        <v>0</v>
      </c>
      <c r="EM22" s="37">
        <v>0</v>
      </c>
      <c r="EN22" s="37">
        <v>0</v>
      </c>
      <c r="EO22" s="37">
        <v>0</v>
      </c>
      <c r="EP22" s="37">
        <v>0</v>
      </c>
      <c r="EQ22" s="37">
        <v>0</v>
      </c>
      <c r="ER22" s="37">
        <v>0</v>
      </c>
      <c r="ES22" s="37">
        <v>0</v>
      </c>
      <c r="ET22" s="37">
        <v>0</v>
      </c>
      <c r="EU22" s="37">
        <v>0</v>
      </c>
      <c r="EV22" s="37">
        <v>0</v>
      </c>
      <c r="EW22" s="37">
        <v>0</v>
      </c>
      <c r="EX22" s="37">
        <v>0</v>
      </c>
      <c r="EY22" s="37">
        <v>0</v>
      </c>
      <c r="EZ22" s="37">
        <v>0</v>
      </c>
      <c r="FA22" s="37">
        <v>0</v>
      </c>
      <c r="FB22" s="37">
        <v>0</v>
      </c>
      <c r="FC22" s="37">
        <v>0</v>
      </c>
      <c r="FD22" s="37">
        <v>0</v>
      </c>
      <c r="FE22" s="37">
        <v>0</v>
      </c>
      <c r="FF22" s="37">
        <v>0</v>
      </c>
      <c r="FG22" s="37">
        <v>0</v>
      </c>
      <c r="FH22" s="37">
        <v>0</v>
      </c>
      <c r="FI22" s="37">
        <v>0</v>
      </c>
      <c r="FJ22" s="157">
        <v>0</v>
      </c>
      <c r="FK22" s="71">
        <v>0</v>
      </c>
      <c r="FL22" s="37">
        <v>0</v>
      </c>
      <c r="FM22" s="37">
        <v>0</v>
      </c>
      <c r="FN22" s="37">
        <v>0</v>
      </c>
      <c r="FO22" s="37">
        <v>0</v>
      </c>
      <c r="FP22" s="37">
        <v>0</v>
      </c>
      <c r="FQ22" s="37">
        <v>0</v>
      </c>
      <c r="FR22" s="37">
        <v>0</v>
      </c>
      <c r="FS22" s="37">
        <v>0</v>
      </c>
      <c r="FT22" s="37">
        <v>0</v>
      </c>
      <c r="FU22" s="37">
        <v>0</v>
      </c>
      <c r="FV22" s="37">
        <v>0</v>
      </c>
      <c r="FW22" s="37">
        <v>0</v>
      </c>
      <c r="FX22" s="37">
        <v>0</v>
      </c>
      <c r="FY22" s="37">
        <v>0</v>
      </c>
      <c r="FZ22" s="37">
        <v>0</v>
      </c>
      <c r="GA22" s="37">
        <v>0</v>
      </c>
      <c r="GB22" s="37">
        <v>0</v>
      </c>
      <c r="GC22" s="37">
        <v>0</v>
      </c>
      <c r="GD22" s="37">
        <v>0</v>
      </c>
      <c r="GE22" s="37">
        <v>0</v>
      </c>
      <c r="GF22" s="37">
        <v>0</v>
      </c>
      <c r="GG22" s="37">
        <v>0</v>
      </c>
      <c r="GH22" s="37">
        <v>0</v>
      </c>
      <c r="GI22" s="37">
        <v>0</v>
      </c>
      <c r="GJ22" s="37">
        <v>0</v>
      </c>
      <c r="GK22" s="37">
        <v>0</v>
      </c>
      <c r="GL22" s="37">
        <v>0</v>
      </c>
      <c r="GM22" s="37">
        <v>0</v>
      </c>
      <c r="GN22" s="37">
        <v>0</v>
      </c>
      <c r="GO22" s="157">
        <v>0</v>
      </c>
      <c r="GP22" s="71">
        <v>0</v>
      </c>
      <c r="GQ22" s="37">
        <v>0</v>
      </c>
      <c r="GR22" s="37">
        <v>0</v>
      </c>
      <c r="GS22" s="37">
        <v>0</v>
      </c>
      <c r="GT22" s="37">
        <v>0</v>
      </c>
      <c r="GU22" s="37">
        <v>0</v>
      </c>
      <c r="GV22" s="37">
        <v>0</v>
      </c>
      <c r="GW22" s="37">
        <v>0</v>
      </c>
      <c r="GX22" s="37">
        <v>0</v>
      </c>
      <c r="GY22" s="37">
        <v>0</v>
      </c>
      <c r="GZ22" s="37">
        <v>0</v>
      </c>
      <c r="HA22" s="37">
        <v>0</v>
      </c>
      <c r="HB22" s="37">
        <v>0</v>
      </c>
      <c r="HC22" s="37">
        <v>0</v>
      </c>
      <c r="HD22" s="37">
        <v>0</v>
      </c>
      <c r="HE22" s="37">
        <v>0</v>
      </c>
      <c r="HF22" s="37">
        <v>0</v>
      </c>
      <c r="HG22" s="37">
        <v>0</v>
      </c>
      <c r="HH22" s="37">
        <v>0</v>
      </c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276"/>
      <c r="HU22" s="329">
        <f>SUM(O22:HT22)</f>
        <v>0</v>
      </c>
    </row>
    <row r="23" spans="1:229" ht="15.75" thickBot="1" x14ac:dyDescent="0.3">
      <c r="A23" s="2">
        <v>2</v>
      </c>
      <c r="B23" s="474"/>
      <c r="C23" s="23" t="s">
        <v>2</v>
      </c>
      <c r="D23" s="29" t="s">
        <v>19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102">
        <f t="shared" ref="M23:M32" si="55">SUM(E23:L23)</f>
        <v>0</v>
      </c>
      <c r="N23" s="139"/>
      <c r="O23" s="73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155">
        <v>0</v>
      </c>
      <c r="AQ23" s="162"/>
      <c r="AR23" s="7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62"/>
      <c r="BX23" s="7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265">
        <v>0</v>
      </c>
      <c r="CP23" s="265">
        <v>0</v>
      </c>
      <c r="CQ23" s="265">
        <v>0</v>
      </c>
      <c r="CR23" s="265">
        <v>0</v>
      </c>
      <c r="CS23" s="265">
        <v>0</v>
      </c>
      <c r="CT23" s="265">
        <v>0</v>
      </c>
      <c r="CU23" s="265">
        <v>0</v>
      </c>
      <c r="CV23" s="265">
        <v>0</v>
      </c>
      <c r="CW23" s="265">
        <v>0</v>
      </c>
      <c r="CX23" s="265">
        <v>0</v>
      </c>
      <c r="CY23" s="265">
        <v>0</v>
      </c>
      <c r="CZ23" s="13">
        <v>0</v>
      </c>
      <c r="DA23" s="101">
        <v>0</v>
      </c>
      <c r="DB23" s="7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01">
        <v>0</v>
      </c>
      <c r="EG23" s="7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01">
        <v>0</v>
      </c>
      <c r="FK23" s="7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01">
        <v>0</v>
      </c>
      <c r="GP23" s="7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274"/>
      <c r="HU23" s="329">
        <f t="shared" ref="HU23:HU32" si="56">SUM(O23:HT23)</f>
        <v>0</v>
      </c>
    </row>
    <row r="24" spans="1:229" ht="15.75" thickBot="1" x14ac:dyDescent="0.3">
      <c r="A24" s="2">
        <v>3</v>
      </c>
      <c r="B24" s="474"/>
      <c r="C24" s="23" t="s">
        <v>3</v>
      </c>
      <c r="D24" s="29" t="s">
        <v>19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102">
        <f t="shared" si="55"/>
        <v>0</v>
      </c>
      <c r="N24" s="139"/>
      <c r="O24" s="73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155">
        <v>0</v>
      </c>
      <c r="AQ24" s="162"/>
      <c r="AR24" s="7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62"/>
      <c r="BX24" s="7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265">
        <v>0</v>
      </c>
      <c r="CP24" s="265">
        <v>0</v>
      </c>
      <c r="CQ24" s="265">
        <v>0</v>
      </c>
      <c r="CR24" s="265">
        <v>0</v>
      </c>
      <c r="CS24" s="265">
        <v>0</v>
      </c>
      <c r="CT24" s="265">
        <v>0</v>
      </c>
      <c r="CU24" s="265">
        <v>0</v>
      </c>
      <c r="CV24" s="265">
        <v>0</v>
      </c>
      <c r="CW24" s="265">
        <v>0</v>
      </c>
      <c r="CX24" s="265">
        <v>0</v>
      </c>
      <c r="CY24" s="265">
        <v>0</v>
      </c>
      <c r="CZ24" s="13">
        <v>0</v>
      </c>
      <c r="DA24" s="101">
        <v>0</v>
      </c>
      <c r="DB24" s="7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01">
        <v>0</v>
      </c>
      <c r="EG24" s="7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01">
        <v>0</v>
      </c>
      <c r="FK24" s="7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01">
        <v>0</v>
      </c>
      <c r="GP24" s="7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274"/>
      <c r="HU24" s="329">
        <f t="shared" si="56"/>
        <v>0</v>
      </c>
    </row>
    <row r="25" spans="1:229" ht="15.75" thickBot="1" x14ac:dyDescent="0.3">
      <c r="A25" s="2">
        <v>4</v>
      </c>
      <c r="B25" s="474"/>
      <c r="C25" s="23" t="s">
        <v>4</v>
      </c>
      <c r="D25" s="29" t="s">
        <v>19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102">
        <f t="shared" si="55"/>
        <v>0</v>
      </c>
      <c r="N25" s="139"/>
      <c r="O25" s="73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155">
        <v>0</v>
      </c>
      <c r="AQ25" s="162"/>
      <c r="AR25" s="7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50">
        <v>21.4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8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64">
        <v>8.1</v>
      </c>
      <c r="BP25" s="13">
        <v>0</v>
      </c>
      <c r="BQ25" s="13">
        <v>0</v>
      </c>
      <c r="BR25" s="13">
        <v>0</v>
      </c>
      <c r="BS25" s="64">
        <v>4.9000000000000004</v>
      </c>
      <c r="BT25" s="13">
        <v>0</v>
      </c>
      <c r="BU25" s="13">
        <v>0</v>
      </c>
      <c r="BV25" s="13">
        <v>0</v>
      </c>
      <c r="BW25" s="162"/>
      <c r="BX25" s="7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64">
        <v>6.3</v>
      </c>
      <c r="CN25" s="13">
        <v>0</v>
      </c>
      <c r="CO25" s="265">
        <v>0</v>
      </c>
      <c r="CP25" s="265">
        <v>0</v>
      </c>
      <c r="CQ25" s="265">
        <v>0</v>
      </c>
      <c r="CR25" s="265">
        <v>0</v>
      </c>
      <c r="CS25" s="265">
        <v>0</v>
      </c>
      <c r="CT25" s="265">
        <v>0</v>
      </c>
      <c r="CU25" s="265">
        <v>0</v>
      </c>
      <c r="CV25" s="265">
        <v>0</v>
      </c>
      <c r="CW25" s="265">
        <v>0</v>
      </c>
      <c r="CX25" s="265">
        <v>0</v>
      </c>
      <c r="CY25" s="265">
        <v>0</v>
      </c>
      <c r="CZ25" s="13">
        <v>0</v>
      </c>
      <c r="DA25" s="101">
        <v>0</v>
      </c>
      <c r="DB25" s="7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01">
        <v>0</v>
      </c>
      <c r="EG25" s="7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272">
        <v>1.8</v>
      </c>
      <c r="FF25" s="13">
        <v>0</v>
      </c>
      <c r="FG25" s="64">
        <v>0</v>
      </c>
      <c r="FH25" s="13">
        <v>0</v>
      </c>
      <c r="FI25" s="13">
        <v>0</v>
      </c>
      <c r="FJ25" s="101">
        <v>0</v>
      </c>
      <c r="FK25" s="7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01">
        <v>0</v>
      </c>
      <c r="GP25" s="7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274"/>
      <c r="HU25" s="329">
        <f t="shared" si="56"/>
        <v>50.499999999999993</v>
      </c>
    </row>
    <row r="26" spans="1:229" ht="15.75" thickBot="1" x14ac:dyDescent="0.3">
      <c r="A26" s="2">
        <v>5</v>
      </c>
      <c r="B26" s="474"/>
      <c r="C26" s="23" t="s">
        <v>5</v>
      </c>
      <c r="D26" s="29" t="s">
        <v>19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102">
        <f t="shared" si="55"/>
        <v>0</v>
      </c>
      <c r="N26" s="139"/>
      <c r="O26" s="73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155">
        <v>0</v>
      </c>
      <c r="AQ26" s="162"/>
      <c r="AR26" s="7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62"/>
      <c r="BX26" s="151">
        <v>29.8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21</v>
      </c>
      <c r="CK26" s="13">
        <v>0</v>
      </c>
      <c r="CL26" s="13">
        <v>0</v>
      </c>
      <c r="CM26" s="13">
        <v>0</v>
      </c>
      <c r="CN26" s="13">
        <v>0</v>
      </c>
      <c r="CO26" s="265">
        <v>12</v>
      </c>
      <c r="CP26" s="265">
        <v>0</v>
      </c>
      <c r="CQ26" s="265">
        <v>22</v>
      </c>
      <c r="CR26" s="265">
        <v>0</v>
      </c>
      <c r="CS26" s="265">
        <v>12</v>
      </c>
      <c r="CT26" s="265">
        <v>0</v>
      </c>
      <c r="CU26" s="265">
        <v>0</v>
      </c>
      <c r="CV26" s="265">
        <v>0</v>
      </c>
      <c r="CW26" s="272">
        <v>27.1</v>
      </c>
      <c r="CX26" s="265">
        <v>0</v>
      </c>
      <c r="CY26" s="265">
        <v>0</v>
      </c>
      <c r="CZ26" s="13">
        <v>0</v>
      </c>
      <c r="DA26" s="101">
        <v>0</v>
      </c>
      <c r="DB26" s="7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21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272">
        <v>15.1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01">
        <v>0</v>
      </c>
      <c r="EG26" s="7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01">
        <v>0</v>
      </c>
      <c r="FK26" s="7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01">
        <v>0</v>
      </c>
      <c r="GP26" s="7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272">
        <v>2.5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274"/>
      <c r="HU26" s="329">
        <f t="shared" si="56"/>
        <v>162.5</v>
      </c>
    </row>
    <row r="27" spans="1:229" ht="15.75" thickBot="1" x14ac:dyDescent="0.3">
      <c r="A27" s="2">
        <v>6</v>
      </c>
      <c r="B27" s="474"/>
      <c r="C27" s="23" t="s">
        <v>6</v>
      </c>
      <c r="D27" s="29" t="s">
        <v>19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102">
        <f t="shared" si="55"/>
        <v>0</v>
      </c>
      <c r="N27" s="139"/>
      <c r="O27" s="73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155">
        <v>0</v>
      </c>
      <c r="AQ27" s="162"/>
      <c r="AR27" s="7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62"/>
      <c r="BX27" s="73">
        <v>0</v>
      </c>
      <c r="BY27" s="13">
        <v>0</v>
      </c>
      <c r="BZ27" s="13">
        <v>0</v>
      </c>
      <c r="CA27" s="13">
        <v>19</v>
      </c>
      <c r="CB27" s="13">
        <v>0</v>
      </c>
      <c r="CC27" s="13">
        <v>0</v>
      </c>
      <c r="CD27" s="13">
        <v>0</v>
      </c>
      <c r="CE27" s="13">
        <v>3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265">
        <v>0</v>
      </c>
      <c r="CP27" s="265">
        <v>0</v>
      </c>
      <c r="CQ27" s="265">
        <v>0</v>
      </c>
      <c r="CR27" s="265">
        <v>0</v>
      </c>
      <c r="CS27" s="265">
        <v>0</v>
      </c>
      <c r="CT27" s="265">
        <v>0</v>
      </c>
      <c r="CU27" s="265">
        <v>0</v>
      </c>
      <c r="CV27" s="265">
        <v>0</v>
      </c>
      <c r="CW27" s="265">
        <v>0</v>
      </c>
      <c r="CX27" s="265">
        <v>0</v>
      </c>
      <c r="CY27" s="265">
        <v>0</v>
      </c>
      <c r="CZ27" s="13">
        <v>0</v>
      </c>
      <c r="DA27" s="101">
        <v>0</v>
      </c>
      <c r="DB27" s="7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01">
        <v>0</v>
      </c>
      <c r="EG27" s="7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01">
        <v>0</v>
      </c>
      <c r="FK27" s="7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01">
        <v>0</v>
      </c>
      <c r="GP27" s="7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265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274"/>
      <c r="HU27" s="329">
        <f t="shared" si="56"/>
        <v>22</v>
      </c>
    </row>
    <row r="28" spans="1:229" ht="14.25" customHeight="1" thickBot="1" x14ac:dyDescent="0.3">
      <c r="A28" s="2">
        <v>7</v>
      </c>
      <c r="B28" s="474"/>
      <c r="C28" s="23" t="s">
        <v>7</v>
      </c>
      <c r="D28" s="29" t="s">
        <v>19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102">
        <f t="shared" si="55"/>
        <v>0</v>
      </c>
      <c r="N28" s="139"/>
      <c r="O28" s="73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155">
        <v>0</v>
      </c>
      <c r="AQ28" s="162"/>
      <c r="AR28" s="7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62"/>
      <c r="BX28" s="7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265">
        <v>0</v>
      </c>
      <c r="CP28" s="265">
        <v>0</v>
      </c>
      <c r="CQ28" s="265">
        <v>0</v>
      </c>
      <c r="CR28" s="265">
        <v>0</v>
      </c>
      <c r="CS28" s="265">
        <v>0</v>
      </c>
      <c r="CT28" s="265">
        <v>0</v>
      </c>
      <c r="CU28" s="265">
        <v>0</v>
      </c>
      <c r="CV28" s="265">
        <v>0</v>
      </c>
      <c r="CW28" s="265">
        <v>0</v>
      </c>
      <c r="CX28" s="265">
        <v>22</v>
      </c>
      <c r="CY28" s="265">
        <v>0</v>
      </c>
      <c r="CZ28" s="13">
        <v>0</v>
      </c>
      <c r="DA28" s="101">
        <v>0</v>
      </c>
      <c r="DB28" s="73">
        <v>0</v>
      </c>
      <c r="DC28" s="13">
        <v>27.6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265">
        <v>12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01">
        <v>0</v>
      </c>
      <c r="EG28" s="73">
        <v>0</v>
      </c>
      <c r="EH28" s="13">
        <v>0</v>
      </c>
      <c r="EI28" s="13">
        <v>0</v>
      </c>
      <c r="EJ28" s="265">
        <v>4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01">
        <v>0</v>
      </c>
      <c r="FK28" s="7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01">
        <v>0</v>
      </c>
      <c r="GP28" s="7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274"/>
      <c r="HU28" s="329">
        <f t="shared" si="56"/>
        <v>65.599999999999994</v>
      </c>
    </row>
    <row r="29" spans="1:229" ht="15.75" thickBot="1" x14ac:dyDescent="0.3">
      <c r="A29" s="2">
        <v>8</v>
      </c>
      <c r="B29" s="474"/>
      <c r="C29" s="23" t="s">
        <v>8</v>
      </c>
      <c r="D29" s="29" t="s">
        <v>19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102">
        <f t="shared" si="55"/>
        <v>0</v>
      </c>
      <c r="N29" s="139"/>
      <c r="O29" s="73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155">
        <v>0</v>
      </c>
      <c r="AQ29" s="162"/>
      <c r="AR29" s="7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62"/>
      <c r="BX29" s="151">
        <v>5.0999999999999996</v>
      </c>
      <c r="BY29" s="13">
        <v>0</v>
      </c>
      <c r="BZ29" s="13">
        <v>0</v>
      </c>
      <c r="CA29" s="13">
        <v>0</v>
      </c>
      <c r="CB29" s="64">
        <v>4.7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64">
        <v>24.1</v>
      </c>
      <c r="CK29" s="13">
        <v>0</v>
      </c>
      <c r="CL29" s="13">
        <v>0</v>
      </c>
      <c r="CM29" s="13">
        <v>9</v>
      </c>
      <c r="CN29" s="13">
        <v>0</v>
      </c>
      <c r="CO29" s="265">
        <v>15.5</v>
      </c>
      <c r="CP29" s="265">
        <v>0</v>
      </c>
      <c r="CQ29" s="265">
        <v>0</v>
      </c>
      <c r="CR29" s="265">
        <v>0</v>
      </c>
      <c r="CS29" s="265">
        <v>0</v>
      </c>
      <c r="CT29" s="265">
        <v>0</v>
      </c>
      <c r="CU29" s="265">
        <v>0</v>
      </c>
      <c r="CV29" s="265">
        <v>0</v>
      </c>
      <c r="CW29" s="265">
        <v>0</v>
      </c>
      <c r="CX29" s="265">
        <v>0</v>
      </c>
      <c r="CY29" s="265">
        <v>0</v>
      </c>
      <c r="CZ29" s="13">
        <v>19</v>
      </c>
      <c r="DA29" s="101">
        <v>0</v>
      </c>
      <c r="DB29" s="73">
        <v>0</v>
      </c>
      <c r="DC29" s="13">
        <v>0</v>
      </c>
      <c r="DD29" s="265">
        <v>31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01">
        <v>0</v>
      </c>
      <c r="EG29" s="7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265">
        <v>30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01">
        <v>0</v>
      </c>
      <c r="FK29" s="7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01">
        <v>0</v>
      </c>
      <c r="GP29" s="73">
        <v>0</v>
      </c>
      <c r="GQ29" s="13">
        <v>0</v>
      </c>
      <c r="GR29" s="265">
        <v>3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274"/>
      <c r="HU29" s="329">
        <f t="shared" si="56"/>
        <v>141.4</v>
      </c>
    </row>
    <row r="30" spans="1:229" ht="15.75" thickBot="1" x14ac:dyDescent="0.3">
      <c r="A30" s="2">
        <v>9</v>
      </c>
      <c r="B30" s="474"/>
      <c r="C30" s="23" t="s">
        <v>9</v>
      </c>
      <c r="D30" s="29" t="s">
        <v>19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102">
        <f t="shared" si="55"/>
        <v>0</v>
      </c>
      <c r="N30" s="139"/>
      <c r="O30" s="73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155">
        <v>0</v>
      </c>
      <c r="AQ30" s="162"/>
      <c r="AR30" s="7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62"/>
      <c r="BX30" s="7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265">
        <v>0</v>
      </c>
      <c r="CP30" s="265">
        <v>0</v>
      </c>
      <c r="CQ30" s="265">
        <v>0</v>
      </c>
      <c r="CR30" s="265">
        <v>0</v>
      </c>
      <c r="CS30" s="265">
        <v>0</v>
      </c>
      <c r="CT30" s="265">
        <v>0</v>
      </c>
      <c r="CU30" s="265">
        <v>0</v>
      </c>
      <c r="CV30" s="265">
        <v>0</v>
      </c>
      <c r="CW30" s="265">
        <v>0</v>
      </c>
      <c r="CX30" s="265">
        <v>0</v>
      </c>
      <c r="CY30" s="265">
        <v>0</v>
      </c>
      <c r="CZ30" s="13">
        <v>0</v>
      </c>
      <c r="DA30" s="101">
        <v>0</v>
      </c>
      <c r="DB30" s="7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01">
        <v>0</v>
      </c>
      <c r="EG30" s="7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01">
        <v>0</v>
      </c>
      <c r="FK30" s="7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01">
        <v>0</v>
      </c>
      <c r="GP30" s="7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274"/>
      <c r="HU30" s="329">
        <f t="shared" si="56"/>
        <v>0</v>
      </c>
    </row>
    <row r="31" spans="1:229" ht="15.75" thickBot="1" x14ac:dyDescent="0.3">
      <c r="A31" s="2">
        <v>10</v>
      </c>
      <c r="B31" s="474"/>
      <c r="C31" s="23" t="s">
        <v>10</v>
      </c>
      <c r="D31" s="29" t="s">
        <v>19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102">
        <f t="shared" si="55"/>
        <v>0</v>
      </c>
      <c r="N31" s="139"/>
      <c r="O31" s="73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155">
        <v>0</v>
      </c>
      <c r="AQ31" s="162"/>
      <c r="AR31" s="7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64">
        <v>3.9</v>
      </c>
      <c r="BV31" s="13">
        <v>0</v>
      </c>
      <c r="BW31" s="162"/>
      <c r="BX31" s="7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265">
        <v>0</v>
      </c>
      <c r="CP31" s="265">
        <v>0</v>
      </c>
      <c r="CQ31" s="265">
        <v>0</v>
      </c>
      <c r="CR31" s="265">
        <v>0</v>
      </c>
      <c r="CS31" s="265">
        <v>0</v>
      </c>
      <c r="CT31" s="265">
        <v>0</v>
      </c>
      <c r="CU31" s="265">
        <v>0</v>
      </c>
      <c r="CV31" s="265">
        <v>0</v>
      </c>
      <c r="CW31" s="265">
        <v>0</v>
      </c>
      <c r="CX31" s="265">
        <v>0</v>
      </c>
      <c r="CY31" s="265">
        <v>0</v>
      </c>
      <c r="CZ31" s="13">
        <v>0</v>
      </c>
      <c r="DA31" s="101">
        <v>0</v>
      </c>
      <c r="DB31" s="7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01">
        <v>0</v>
      </c>
      <c r="EG31" s="7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01">
        <v>0</v>
      </c>
      <c r="FK31" s="7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01">
        <v>0</v>
      </c>
      <c r="GP31" s="7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265">
        <v>26</v>
      </c>
      <c r="GY31" s="13">
        <v>0</v>
      </c>
      <c r="GZ31" s="13">
        <v>0</v>
      </c>
      <c r="HA31" s="13">
        <v>0</v>
      </c>
      <c r="HB31" s="265">
        <v>36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274"/>
      <c r="HU31" s="329">
        <f t="shared" si="56"/>
        <v>65.900000000000006</v>
      </c>
    </row>
    <row r="32" spans="1:229" x14ac:dyDescent="0.25">
      <c r="A32" s="2">
        <v>11</v>
      </c>
      <c r="B32" s="496"/>
      <c r="C32" s="23" t="s">
        <v>11</v>
      </c>
      <c r="D32" s="29" t="s">
        <v>19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102">
        <f t="shared" si="55"/>
        <v>0</v>
      </c>
      <c r="N32" s="139"/>
      <c r="O32" s="73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155">
        <v>0</v>
      </c>
      <c r="AQ32" s="162"/>
      <c r="AR32" s="7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62"/>
      <c r="BX32" s="7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01">
        <v>0</v>
      </c>
      <c r="DB32" s="7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01">
        <v>0</v>
      </c>
      <c r="EG32" s="7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01">
        <v>0</v>
      </c>
      <c r="FK32" s="7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01">
        <v>0</v>
      </c>
      <c r="GP32" s="7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274"/>
      <c r="HU32" s="329">
        <f t="shared" si="56"/>
        <v>0</v>
      </c>
    </row>
    <row r="33" spans="1:229" s="7" customFormat="1" ht="24.75" customHeight="1" thickBot="1" x14ac:dyDescent="0.3">
      <c r="A33" s="15"/>
      <c r="B33" s="15"/>
      <c r="C33" s="24" t="s">
        <v>12</v>
      </c>
      <c r="D33" s="79" t="s">
        <v>19</v>
      </c>
      <c r="E33" s="27">
        <f t="shared" ref="E33:L33" si="57">SUM(E22:E32)</f>
        <v>0</v>
      </c>
      <c r="F33" s="20">
        <f t="shared" si="57"/>
        <v>0</v>
      </c>
      <c r="G33" s="20">
        <f t="shared" si="57"/>
        <v>0</v>
      </c>
      <c r="H33" s="20">
        <f t="shared" si="57"/>
        <v>0</v>
      </c>
      <c r="I33" s="20">
        <f t="shared" si="57"/>
        <v>0</v>
      </c>
      <c r="J33" s="20">
        <f t="shared" si="57"/>
        <v>0</v>
      </c>
      <c r="K33" s="20">
        <f t="shared" si="57"/>
        <v>0</v>
      </c>
      <c r="L33" s="20">
        <f t="shared" si="57"/>
        <v>0</v>
      </c>
      <c r="M33" s="103">
        <f>SUM(M22:M32)</f>
        <v>0</v>
      </c>
      <c r="N33" s="132"/>
      <c r="O33" s="83">
        <f t="shared" ref="O33:AP33" si="58">SUM(O22:O32)</f>
        <v>0</v>
      </c>
      <c r="P33" s="20">
        <f t="shared" si="58"/>
        <v>0</v>
      </c>
      <c r="Q33" s="20">
        <f t="shared" si="58"/>
        <v>0</v>
      </c>
      <c r="R33" s="20">
        <f t="shared" si="58"/>
        <v>0</v>
      </c>
      <c r="S33" s="20">
        <f t="shared" si="58"/>
        <v>0</v>
      </c>
      <c r="T33" s="20">
        <f t="shared" si="58"/>
        <v>0</v>
      </c>
      <c r="U33" s="20">
        <f t="shared" si="58"/>
        <v>0</v>
      </c>
      <c r="V33" s="20">
        <f t="shared" si="58"/>
        <v>0</v>
      </c>
      <c r="W33" s="20">
        <f t="shared" si="58"/>
        <v>0</v>
      </c>
      <c r="X33" s="20">
        <f t="shared" si="58"/>
        <v>0</v>
      </c>
      <c r="Y33" s="20">
        <f t="shared" si="58"/>
        <v>0</v>
      </c>
      <c r="Z33" s="20">
        <f t="shared" si="58"/>
        <v>0</v>
      </c>
      <c r="AA33" s="20">
        <f t="shared" si="58"/>
        <v>0</v>
      </c>
      <c r="AB33" s="20">
        <f t="shared" si="58"/>
        <v>0</v>
      </c>
      <c r="AC33" s="20">
        <f t="shared" si="58"/>
        <v>0</v>
      </c>
      <c r="AD33" s="20">
        <f t="shared" si="58"/>
        <v>0</v>
      </c>
      <c r="AE33" s="20">
        <f t="shared" si="58"/>
        <v>0</v>
      </c>
      <c r="AF33" s="20">
        <f t="shared" si="58"/>
        <v>0</v>
      </c>
      <c r="AG33" s="20">
        <f t="shared" si="58"/>
        <v>0</v>
      </c>
      <c r="AH33" s="20">
        <f t="shared" si="58"/>
        <v>0</v>
      </c>
      <c r="AI33" s="20">
        <f t="shared" si="58"/>
        <v>0</v>
      </c>
      <c r="AJ33" s="20">
        <f t="shared" si="58"/>
        <v>0</v>
      </c>
      <c r="AK33" s="20">
        <f t="shared" si="58"/>
        <v>0</v>
      </c>
      <c r="AL33" s="20">
        <f t="shared" si="58"/>
        <v>0</v>
      </c>
      <c r="AM33" s="20">
        <f t="shared" si="58"/>
        <v>0</v>
      </c>
      <c r="AN33" s="20">
        <f t="shared" si="58"/>
        <v>0</v>
      </c>
      <c r="AO33" s="20">
        <f t="shared" si="58"/>
        <v>0</v>
      </c>
      <c r="AP33" s="159">
        <f t="shared" si="58"/>
        <v>0</v>
      </c>
      <c r="AQ33" s="169"/>
      <c r="AR33" s="83">
        <f t="shared" ref="AR33:BF33" si="59">SUM(AR22:AR32)</f>
        <v>0</v>
      </c>
      <c r="AS33" s="20">
        <f t="shared" si="59"/>
        <v>0</v>
      </c>
      <c r="AT33" s="20">
        <f t="shared" si="59"/>
        <v>0</v>
      </c>
      <c r="AU33" s="20">
        <f t="shared" si="59"/>
        <v>0</v>
      </c>
      <c r="AV33" s="20">
        <f t="shared" si="59"/>
        <v>0</v>
      </c>
      <c r="AW33" s="20">
        <f t="shared" si="59"/>
        <v>0</v>
      </c>
      <c r="AX33" s="20">
        <f t="shared" si="59"/>
        <v>0</v>
      </c>
      <c r="AY33" s="20">
        <f t="shared" si="59"/>
        <v>0</v>
      </c>
      <c r="AZ33" s="153">
        <f t="shared" si="59"/>
        <v>21.4</v>
      </c>
      <c r="BA33" s="20">
        <f t="shared" si="59"/>
        <v>0</v>
      </c>
      <c r="BB33" s="20">
        <f t="shared" si="59"/>
        <v>0</v>
      </c>
      <c r="BC33" s="20">
        <f t="shared" si="59"/>
        <v>0</v>
      </c>
      <c r="BD33" s="20">
        <f t="shared" si="59"/>
        <v>0</v>
      </c>
      <c r="BE33" s="20">
        <f t="shared" si="59"/>
        <v>0</v>
      </c>
      <c r="BF33" s="20">
        <f t="shared" si="59"/>
        <v>8</v>
      </c>
      <c r="BG33" s="20">
        <f t="shared" ref="BG33:BV33" si="60">SUM(BG22:BG32)</f>
        <v>0</v>
      </c>
      <c r="BH33" s="20">
        <f t="shared" si="60"/>
        <v>0</v>
      </c>
      <c r="BI33" s="20">
        <f t="shared" si="60"/>
        <v>0</v>
      </c>
      <c r="BJ33" s="20">
        <f t="shared" si="60"/>
        <v>0</v>
      </c>
      <c r="BK33" s="20">
        <f t="shared" si="60"/>
        <v>0</v>
      </c>
      <c r="BL33" s="20">
        <f t="shared" si="60"/>
        <v>0</v>
      </c>
      <c r="BM33" s="20">
        <f t="shared" si="60"/>
        <v>0</v>
      </c>
      <c r="BN33" s="20">
        <f t="shared" si="60"/>
        <v>0</v>
      </c>
      <c r="BO33" s="20">
        <f t="shared" si="60"/>
        <v>8.1</v>
      </c>
      <c r="BP33" s="20">
        <f t="shared" si="60"/>
        <v>0</v>
      </c>
      <c r="BQ33" s="20">
        <f t="shared" si="60"/>
        <v>0</v>
      </c>
      <c r="BR33" s="20">
        <f t="shared" si="60"/>
        <v>0</v>
      </c>
      <c r="BS33" s="20">
        <f t="shared" si="60"/>
        <v>4.9000000000000004</v>
      </c>
      <c r="BT33" s="20">
        <f t="shared" si="60"/>
        <v>0</v>
      </c>
      <c r="BU33" s="20">
        <f t="shared" si="60"/>
        <v>3.9</v>
      </c>
      <c r="BV33" s="20">
        <f t="shared" si="60"/>
        <v>0</v>
      </c>
      <c r="BW33" s="169"/>
      <c r="BX33" s="83">
        <f t="shared" ref="BX33:CE33" si="61">SUM(BX22:BX32)</f>
        <v>34.9</v>
      </c>
      <c r="BY33" s="20">
        <f t="shared" si="61"/>
        <v>0</v>
      </c>
      <c r="BZ33" s="20">
        <f t="shared" si="61"/>
        <v>0</v>
      </c>
      <c r="CA33" s="20">
        <f t="shared" si="61"/>
        <v>19</v>
      </c>
      <c r="CB33" s="20">
        <f t="shared" si="61"/>
        <v>4.7</v>
      </c>
      <c r="CC33" s="20">
        <f t="shared" si="61"/>
        <v>0</v>
      </c>
      <c r="CD33" s="20">
        <f t="shared" si="61"/>
        <v>0</v>
      </c>
      <c r="CE33" s="20">
        <f t="shared" si="61"/>
        <v>3</v>
      </c>
      <c r="CF33" s="153">
        <f>SUM(CF22:CF32)</f>
        <v>0</v>
      </c>
      <c r="CG33" s="20">
        <f t="shared" ref="CG33:CZ33" si="62">SUM(CG22:CG32)</f>
        <v>0</v>
      </c>
      <c r="CH33" s="20">
        <f t="shared" si="62"/>
        <v>0</v>
      </c>
      <c r="CI33" s="20">
        <f t="shared" si="62"/>
        <v>0</v>
      </c>
      <c r="CJ33" s="20">
        <f t="shared" si="62"/>
        <v>45.1</v>
      </c>
      <c r="CK33" s="20">
        <f t="shared" si="62"/>
        <v>0</v>
      </c>
      <c r="CL33" s="20">
        <f t="shared" si="62"/>
        <v>0</v>
      </c>
      <c r="CM33" s="20">
        <f t="shared" si="62"/>
        <v>15.3</v>
      </c>
      <c r="CN33" s="20">
        <f t="shared" si="62"/>
        <v>0</v>
      </c>
      <c r="CO33" s="20">
        <f t="shared" si="62"/>
        <v>27.5</v>
      </c>
      <c r="CP33" s="20">
        <v>0</v>
      </c>
      <c r="CQ33" s="20">
        <f t="shared" si="62"/>
        <v>22</v>
      </c>
      <c r="CR33" s="20">
        <f t="shared" si="62"/>
        <v>0</v>
      </c>
      <c r="CS33" s="20">
        <f t="shared" si="62"/>
        <v>12</v>
      </c>
      <c r="CT33" s="20">
        <f t="shared" si="62"/>
        <v>0</v>
      </c>
      <c r="CU33" s="20">
        <v>0</v>
      </c>
      <c r="CV33" s="20">
        <f t="shared" si="62"/>
        <v>0</v>
      </c>
      <c r="CW33" s="20">
        <f t="shared" si="62"/>
        <v>27.1</v>
      </c>
      <c r="CX33" s="20">
        <f t="shared" si="62"/>
        <v>22</v>
      </c>
      <c r="CY33" s="20">
        <f t="shared" si="62"/>
        <v>0</v>
      </c>
      <c r="CZ33" s="20">
        <f t="shared" si="62"/>
        <v>19</v>
      </c>
      <c r="DA33" s="159">
        <f t="shared" ref="DA33:DE33" si="63">SUM(DA22:DA32)</f>
        <v>0</v>
      </c>
      <c r="DB33" s="83">
        <f t="shared" si="63"/>
        <v>0</v>
      </c>
      <c r="DC33" s="153">
        <f t="shared" si="63"/>
        <v>27.6</v>
      </c>
      <c r="DD33" s="153">
        <f t="shared" si="63"/>
        <v>31</v>
      </c>
      <c r="DE33" s="153">
        <f t="shared" si="63"/>
        <v>0</v>
      </c>
      <c r="DF33" s="153">
        <f t="shared" ref="DF33:DG33" si="64">SUM(DF22:DF32)</f>
        <v>0</v>
      </c>
      <c r="DG33" s="153">
        <f t="shared" si="64"/>
        <v>0</v>
      </c>
      <c r="DH33" s="153">
        <f t="shared" ref="DH33:DI33" si="65">SUM(DH22:DH32)</f>
        <v>0</v>
      </c>
      <c r="DI33" s="153">
        <f t="shared" si="65"/>
        <v>0</v>
      </c>
      <c r="DJ33" s="153">
        <f t="shared" ref="DJ33:DK33" si="66">SUM(DJ22:DJ32)</f>
        <v>12</v>
      </c>
      <c r="DK33" s="153">
        <f t="shared" si="66"/>
        <v>0</v>
      </c>
      <c r="DL33" s="153">
        <f t="shared" ref="DL33:DM33" si="67">SUM(DL22:DL32)</f>
        <v>0</v>
      </c>
      <c r="DM33" s="153">
        <f t="shared" si="67"/>
        <v>21</v>
      </c>
      <c r="DN33" s="153">
        <f t="shared" ref="DN33:DQ33" si="68">SUM(DN22:DN32)</f>
        <v>0</v>
      </c>
      <c r="DO33" s="153">
        <f t="shared" si="68"/>
        <v>0</v>
      </c>
      <c r="DP33" s="153">
        <f t="shared" si="68"/>
        <v>0</v>
      </c>
      <c r="DQ33" s="153">
        <f t="shared" si="68"/>
        <v>0</v>
      </c>
      <c r="DR33" s="153">
        <f t="shared" ref="DR33:DS33" si="69">SUM(DR22:DR32)</f>
        <v>0</v>
      </c>
      <c r="DS33" s="153">
        <f t="shared" si="69"/>
        <v>15.1</v>
      </c>
      <c r="DT33" s="153">
        <f t="shared" ref="DT33:DU33" si="70">SUM(DT22:DT32)</f>
        <v>0</v>
      </c>
      <c r="DU33" s="153">
        <f t="shared" si="70"/>
        <v>0</v>
      </c>
      <c r="DV33" s="153">
        <f t="shared" ref="DV33:DW33" si="71">SUM(DV22:DV32)</f>
        <v>0</v>
      </c>
      <c r="DW33" s="153">
        <f t="shared" si="71"/>
        <v>0</v>
      </c>
      <c r="DX33" s="153">
        <f t="shared" ref="DX33:DY33" si="72">SUM(DX22:DX32)</f>
        <v>0</v>
      </c>
      <c r="DY33" s="153">
        <f t="shared" si="72"/>
        <v>0</v>
      </c>
      <c r="DZ33" s="153">
        <f t="shared" ref="DZ33:EF33" si="73">SUM(DZ22:DZ32)</f>
        <v>0</v>
      </c>
      <c r="EA33" s="153">
        <f t="shared" si="73"/>
        <v>0</v>
      </c>
      <c r="EB33" s="153">
        <f t="shared" si="73"/>
        <v>0</v>
      </c>
      <c r="EC33" s="153">
        <f t="shared" si="73"/>
        <v>0</v>
      </c>
      <c r="ED33" s="153">
        <f t="shared" si="73"/>
        <v>0</v>
      </c>
      <c r="EE33" s="153">
        <f t="shared" si="73"/>
        <v>0</v>
      </c>
      <c r="EF33" s="358">
        <f t="shared" si="73"/>
        <v>0</v>
      </c>
      <c r="EG33" s="336">
        <f t="shared" ref="EG33:EH33" si="74">SUM(EG22:EG32)</f>
        <v>0</v>
      </c>
      <c r="EH33" s="153">
        <f t="shared" si="74"/>
        <v>0</v>
      </c>
      <c r="EI33" s="153">
        <f t="shared" ref="EI33:EJ33" si="75">SUM(EI22:EI32)</f>
        <v>0</v>
      </c>
      <c r="EJ33" s="153">
        <f t="shared" si="75"/>
        <v>4</v>
      </c>
      <c r="EK33" s="153">
        <f t="shared" ref="EK33:EL33" si="76">SUM(EK22:EK32)</f>
        <v>0</v>
      </c>
      <c r="EL33" s="153">
        <f t="shared" si="76"/>
        <v>0</v>
      </c>
      <c r="EM33" s="153">
        <f t="shared" ref="EM33:EN33" si="77">SUM(EM22:EM32)</f>
        <v>0</v>
      </c>
      <c r="EN33" s="153">
        <f t="shared" si="77"/>
        <v>0</v>
      </c>
      <c r="EO33" s="153">
        <f t="shared" ref="EO33:EP33" si="78">SUM(EO22:EO32)</f>
        <v>0</v>
      </c>
      <c r="EP33" s="153">
        <f t="shared" si="78"/>
        <v>0</v>
      </c>
      <c r="EQ33" s="153">
        <f t="shared" ref="EQ33:ES33" si="79">SUM(EQ22:EQ32)</f>
        <v>0</v>
      </c>
      <c r="ER33" s="153">
        <f t="shared" si="79"/>
        <v>0</v>
      </c>
      <c r="ES33" s="153">
        <f t="shared" si="79"/>
        <v>30</v>
      </c>
      <c r="ET33" s="153">
        <f t="shared" ref="ET33:EU33" si="80">SUM(ET22:ET32)</f>
        <v>0</v>
      </c>
      <c r="EU33" s="153">
        <f t="shared" si="80"/>
        <v>0</v>
      </c>
      <c r="EV33" s="153">
        <f t="shared" ref="EV33:EW33" si="81">SUM(EV22:EV32)</f>
        <v>0</v>
      </c>
      <c r="EW33" s="153">
        <f t="shared" si="81"/>
        <v>0</v>
      </c>
      <c r="EX33" s="153">
        <f t="shared" ref="EX33:EY33" si="82">SUM(EX22:EX32)</f>
        <v>0</v>
      </c>
      <c r="EY33" s="153">
        <f t="shared" si="82"/>
        <v>0</v>
      </c>
      <c r="EZ33" s="153">
        <f t="shared" ref="EZ33:FA33" si="83">SUM(EZ22:EZ32)</f>
        <v>0</v>
      </c>
      <c r="FA33" s="153">
        <f t="shared" si="83"/>
        <v>0</v>
      </c>
      <c r="FB33" s="153">
        <f t="shared" ref="FB33:FC33" si="84">SUM(FB22:FB32)</f>
        <v>0</v>
      </c>
      <c r="FC33" s="153">
        <f t="shared" si="84"/>
        <v>0</v>
      </c>
      <c r="FD33" s="153">
        <f t="shared" ref="FD33:FG33" si="85">SUM(FD22:FD32)</f>
        <v>0</v>
      </c>
      <c r="FE33" s="153">
        <f t="shared" si="85"/>
        <v>1.8</v>
      </c>
      <c r="FF33" s="153">
        <f t="shared" si="85"/>
        <v>0</v>
      </c>
      <c r="FG33" s="153">
        <f t="shared" si="85"/>
        <v>0</v>
      </c>
      <c r="FH33" s="153">
        <f t="shared" ref="FH33:FI33" si="86">SUM(FH22:FH32)</f>
        <v>0</v>
      </c>
      <c r="FI33" s="153">
        <f t="shared" si="86"/>
        <v>0</v>
      </c>
      <c r="FJ33" s="358">
        <f t="shared" ref="FJ33:FL33" si="87">SUM(FJ22:FJ32)</f>
        <v>0</v>
      </c>
      <c r="FK33" s="336">
        <f t="shared" si="87"/>
        <v>0</v>
      </c>
      <c r="FL33" s="153">
        <f t="shared" si="87"/>
        <v>0</v>
      </c>
      <c r="FM33" s="153">
        <f t="shared" ref="FM33:FN33" si="88">SUM(FM22:FM32)</f>
        <v>0</v>
      </c>
      <c r="FN33" s="153">
        <f t="shared" si="88"/>
        <v>0</v>
      </c>
      <c r="FO33" s="153">
        <f t="shared" ref="FO33:FP33" si="89">SUM(FO22:FO32)</f>
        <v>0</v>
      </c>
      <c r="FP33" s="153">
        <f t="shared" si="89"/>
        <v>0</v>
      </c>
      <c r="FQ33" s="153">
        <f t="shared" ref="FQ33:FR33" si="90">SUM(FQ22:FQ32)</f>
        <v>0</v>
      </c>
      <c r="FR33" s="153">
        <f t="shared" si="90"/>
        <v>0</v>
      </c>
      <c r="FS33" s="153">
        <f t="shared" ref="FS33:FU33" si="91">SUM(FS22:FS32)</f>
        <v>0</v>
      </c>
      <c r="FT33" s="153">
        <f t="shared" si="91"/>
        <v>0</v>
      </c>
      <c r="FU33" s="153">
        <f t="shared" si="91"/>
        <v>0</v>
      </c>
      <c r="FV33" s="153">
        <f t="shared" ref="FV33:FW33" si="92">SUM(FV22:FV32)</f>
        <v>0</v>
      </c>
      <c r="FW33" s="153">
        <f t="shared" si="92"/>
        <v>0</v>
      </c>
      <c r="FX33" s="153">
        <f t="shared" ref="FX33:FY33" si="93">SUM(FX22:FX32)</f>
        <v>0</v>
      </c>
      <c r="FY33" s="153">
        <f t="shared" si="93"/>
        <v>0</v>
      </c>
      <c r="FZ33" s="153">
        <f t="shared" ref="FZ33:GA33" si="94">SUM(FZ22:FZ32)</f>
        <v>0</v>
      </c>
      <c r="GA33" s="153">
        <f t="shared" si="94"/>
        <v>0</v>
      </c>
      <c r="GB33" s="153">
        <f t="shared" ref="GB33:GC33" si="95">SUM(GB22:GB32)</f>
        <v>0</v>
      </c>
      <c r="GC33" s="153">
        <f t="shared" si="95"/>
        <v>0</v>
      </c>
      <c r="GD33" s="153">
        <f t="shared" ref="GD33:GE33" si="96">SUM(GD22:GD32)</f>
        <v>0</v>
      </c>
      <c r="GE33" s="153">
        <f t="shared" si="96"/>
        <v>0</v>
      </c>
      <c r="GF33" s="153">
        <f t="shared" ref="GF33:GH33" si="97">SUM(GF22:GF32)</f>
        <v>0</v>
      </c>
      <c r="GG33" s="153">
        <f t="shared" si="97"/>
        <v>0</v>
      </c>
      <c r="GH33" s="153">
        <f t="shared" si="97"/>
        <v>0</v>
      </c>
      <c r="GI33" s="153">
        <f t="shared" ref="GI33:GJ33" si="98">SUM(GI22:GI32)</f>
        <v>0</v>
      </c>
      <c r="GJ33" s="153">
        <f t="shared" si="98"/>
        <v>0</v>
      </c>
      <c r="GK33" s="153">
        <f t="shared" ref="GK33:GL33" si="99">SUM(GK22:GK32)</f>
        <v>0</v>
      </c>
      <c r="GL33" s="153">
        <f t="shared" si="99"/>
        <v>0</v>
      </c>
      <c r="GM33" s="153">
        <f t="shared" ref="GM33:GN33" si="100">SUM(GM22:GM32)</f>
        <v>0</v>
      </c>
      <c r="GN33" s="153">
        <f t="shared" si="100"/>
        <v>0</v>
      </c>
      <c r="GO33" s="358">
        <f t="shared" ref="GO33:GP33" si="101">SUM(GO22:GO32)</f>
        <v>0</v>
      </c>
      <c r="GP33" s="336">
        <f t="shared" si="101"/>
        <v>0</v>
      </c>
      <c r="GQ33" s="153">
        <f t="shared" ref="GQ33:GR33" si="102">SUM(GQ22:GQ32)</f>
        <v>0</v>
      </c>
      <c r="GR33" s="153">
        <f t="shared" si="102"/>
        <v>3</v>
      </c>
      <c r="GS33" s="153">
        <f t="shared" ref="GS33:GT33" si="103">SUM(GS22:GS32)</f>
        <v>0</v>
      </c>
      <c r="GT33" s="153">
        <f t="shared" si="103"/>
        <v>0</v>
      </c>
      <c r="GU33" s="153">
        <f t="shared" ref="GU33:GW33" si="104">SUM(GU22:GU32)</f>
        <v>0</v>
      </c>
      <c r="GV33" s="153">
        <f t="shared" si="104"/>
        <v>0</v>
      </c>
      <c r="GW33" s="153">
        <f t="shared" si="104"/>
        <v>2.5</v>
      </c>
      <c r="GX33" s="153">
        <f t="shared" ref="GX33:GY33" si="105">SUM(GX22:GX32)</f>
        <v>26</v>
      </c>
      <c r="GY33" s="153">
        <f t="shared" si="105"/>
        <v>0</v>
      </c>
      <c r="GZ33" s="153">
        <f t="shared" ref="GZ33:HA33" si="106">SUM(GZ22:GZ32)</f>
        <v>0</v>
      </c>
      <c r="HA33" s="153">
        <f t="shared" si="106"/>
        <v>0</v>
      </c>
      <c r="HB33" s="153">
        <f t="shared" ref="HB33:HC33" si="107">SUM(HB22:HB32)</f>
        <v>36</v>
      </c>
      <c r="HC33" s="153">
        <f t="shared" si="107"/>
        <v>0</v>
      </c>
      <c r="HD33" s="153">
        <f t="shared" ref="HD33:HE33" si="108">SUM(HD22:HD32)</f>
        <v>0</v>
      </c>
      <c r="HE33" s="153">
        <f t="shared" si="108"/>
        <v>0</v>
      </c>
      <c r="HF33" s="153">
        <f t="shared" ref="HF33:HG33" si="109">SUM(HF22:HF32)</f>
        <v>0</v>
      </c>
      <c r="HG33" s="153">
        <f t="shared" si="109"/>
        <v>0</v>
      </c>
      <c r="HH33" s="153">
        <f t="shared" ref="HH33" si="110">SUM(HH22:HH32)</f>
        <v>0</v>
      </c>
      <c r="HI33" s="153"/>
      <c r="HJ33" s="153"/>
      <c r="HK33" s="153"/>
      <c r="HL33" s="153"/>
      <c r="HM33" s="153"/>
      <c r="HN33" s="153"/>
      <c r="HO33" s="153"/>
      <c r="HP33" s="153"/>
      <c r="HQ33" s="153"/>
      <c r="HR33" s="153"/>
      <c r="HS33" s="153"/>
      <c r="HT33" s="423"/>
      <c r="HU33" s="359">
        <f>SUM(HU22:HU32)</f>
        <v>507.9</v>
      </c>
    </row>
    <row r="34" spans="1:229" s="7" customFormat="1" ht="21.6" customHeight="1" thickBot="1" x14ac:dyDescent="0.3">
      <c r="A34" s="497" t="s">
        <v>29</v>
      </c>
      <c r="B34" s="498"/>
      <c r="C34" s="498"/>
      <c r="D34" s="81" t="s">
        <v>30</v>
      </c>
      <c r="E34" s="41">
        <v>0</v>
      </c>
      <c r="F34" s="42">
        <v>0</v>
      </c>
      <c r="G34" s="42">
        <v>47</v>
      </c>
      <c r="H34" s="42">
        <v>30</v>
      </c>
      <c r="I34" s="42">
        <v>41</v>
      </c>
      <c r="J34" s="42">
        <v>37</v>
      </c>
      <c r="K34" s="42">
        <v>0</v>
      </c>
      <c r="L34" s="42">
        <v>0</v>
      </c>
      <c r="M34" s="105">
        <f>SUM(E34:L34)</f>
        <v>155</v>
      </c>
      <c r="N34" s="133"/>
      <c r="O34" s="76">
        <v>44</v>
      </c>
      <c r="P34" s="42">
        <v>67</v>
      </c>
      <c r="Q34" s="42">
        <v>0</v>
      </c>
      <c r="R34" s="42">
        <v>0</v>
      </c>
      <c r="S34" s="42">
        <v>0</v>
      </c>
      <c r="T34" s="42">
        <v>0</v>
      </c>
      <c r="U34" s="42">
        <v>10</v>
      </c>
      <c r="V34" s="42">
        <v>0</v>
      </c>
      <c r="W34" s="42">
        <v>59</v>
      </c>
      <c r="X34" s="42">
        <v>0</v>
      </c>
      <c r="Y34" s="42">
        <v>0</v>
      </c>
      <c r="Z34" s="42">
        <v>25</v>
      </c>
      <c r="AA34" s="42">
        <v>0</v>
      </c>
      <c r="AB34" s="42">
        <v>0</v>
      </c>
      <c r="AC34" s="42">
        <v>16</v>
      </c>
      <c r="AD34" s="42">
        <v>43</v>
      </c>
      <c r="AE34" s="42">
        <v>45</v>
      </c>
      <c r="AF34" s="42">
        <v>0</v>
      </c>
      <c r="AG34" s="42">
        <v>65</v>
      </c>
      <c r="AH34" s="42">
        <v>0</v>
      </c>
      <c r="AI34" s="42">
        <v>0</v>
      </c>
      <c r="AJ34" s="42">
        <v>0</v>
      </c>
      <c r="AK34" s="42">
        <v>0</v>
      </c>
      <c r="AL34" s="42">
        <v>11</v>
      </c>
      <c r="AM34" s="42">
        <v>63</v>
      </c>
      <c r="AN34" s="42">
        <v>0</v>
      </c>
      <c r="AO34" s="42">
        <v>0</v>
      </c>
      <c r="AP34" s="158">
        <v>0</v>
      </c>
      <c r="AQ34" s="171"/>
      <c r="AR34" s="175">
        <v>0</v>
      </c>
      <c r="AS34" s="158">
        <v>0</v>
      </c>
      <c r="AT34" s="158">
        <v>65</v>
      </c>
      <c r="AU34" s="158">
        <v>5</v>
      </c>
      <c r="AV34" s="158">
        <v>0</v>
      </c>
      <c r="AW34" s="158">
        <v>0</v>
      </c>
      <c r="AX34" s="158">
        <v>24</v>
      </c>
      <c r="AY34" s="158">
        <v>0</v>
      </c>
      <c r="AZ34" s="158">
        <v>64</v>
      </c>
      <c r="BA34" s="158">
        <v>0</v>
      </c>
      <c r="BB34" s="158">
        <v>0</v>
      </c>
      <c r="BC34" s="158">
        <v>0</v>
      </c>
      <c r="BD34" s="158">
        <v>0</v>
      </c>
      <c r="BE34" s="158">
        <v>34</v>
      </c>
      <c r="BF34" s="158">
        <v>22</v>
      </c>
      <c r="BG34" s="158">
        <v>0</v>
      </c>
      <c r="BH34" s="158">
        <v>32</v>
      </c>
      <c r="BI34" s="158">
        <v>0</v>
      </c>
      <c r="BJ34" s="158">
        <v>0</v>
      </c>
      <c r="BK34" s="158">
        <v>0</v>
      </c>
      <c r="BL34" s="158">
        <v>0</v>
      </c>
      <c r="BM34" s="158">
        <v>0</v>
      </c>
      <c r="BN34" s="158">
        <v>0</v>
      </c>
      <c r="BO34" s="158">
        <v>25</v>
      </c>
      <c r="BP34" s="158">
        <v>0</v>
      </c>
      <c r="BQ34" s="158">
        <v>0</v>
      </c>
      <c r="BR34" s="158">
        <v>0</v>
      </c>
      <c r="BS34" s="158">
        <v>6</v>
      </c>
      <c r="BT34" s="158">
        <v>36</v>
      </c>
      <c r="BU34" s="158">
        <v>7</v>
      </c>
      <c r="BV34" s="158">
        <v>0</v>
      </c>
      <c r="BW34" s="171"/>
      <c r="BX34" s="175">
        <v>60</v>
      </c>
      <c r="BY34" s="158">
        <v>0</v>
      </c>
      <c r="BZ34" s="158">
        <v>0</v>
      </c>
      <c r="CA34" s="158">
        <v>29</v>
      </c>
      <c r="CB34" s="158">
        <v>10</v>
      </c>
      <c r="CC34" s="158">
        <v>53</v>
      </c>
      <c r="CD34" s="158">
        <v>0</v>
      </c>
      <c r="CE34" s="158">
        <v>14</v>
      </c>
      <c r="CF34" s="158">
        <v>0</v>
      </c>
      <c r="CG34" s="158">
        <v>0</v>
      </c>
      <c r="CH34" s="158">
        <v>0</v>
      </c>
      <c r="CI34" s="158">
        <v>0</v>
      </c>
      <c r="CJ34" s="158">
        <v>50</v>
      </c>
      <c r="CK34" s="158">
        <v>0</v>
      </c>
      <c r="CL34" s="158">
        <v>0</v>
      </c>
      <c r="CM34" s="158">
        <v>27</v>
      </c>
      <c r="CN34" s="158">
        <v>0</v>
      </c>
      <c r="CO34" s="158">
        <v>28</v>
      </c>
      <c r="CP34" s="158">
        <v>0</v>
      </c>
      <c r="CQ34" s="158">
        <v>29</v>
      </c>
      <c r="CR34" s="158">
        <v>0</v>
      </c>
      <c r="CS34" s="158">
        <v>20</v>
      </c>
      <c r="CT34" s="158">
        <v>0</v>
      </c>
      <c r="CU34" s="158">
        <v>0</v>
      </c>
      <c r="CV34" s="158">
        <v>0</v>
      </c>
      <c r="CW34" s="158">
        <v>33</v>
      </c>
      <c r="CX34" s="158">
        <v>26</v>
      </c>
      <c r="CY34" s="158">
        <v>0</v>
      </c>
      <c r="CZ34" s="158">
        <v>28</v>
      </c>
      <c r="DA34" s="158">
        <v>0</v>
      </c>
      <c r="DB34" s="175">
        <v>0</v>
      </c>
      <c r="DC34" s="175">
        <v>57</v>
      </c>
      <c r="DD34" s="175">
        <v>42</v>
      </c>
      <c r="DE34" s="175">
        <v>0</v>
      </c>
      <c r="DF34" s="175">
        <v>0</v>
      </c>
      <c r="DG34" s="175">
        <v>0</v>
      </c>
      <c r="DH34" s="175">
        <v>0</v>
      </c>
      <c r="DI34" s="175">
        <v>0</v>
      </c>
      <c r="DJ34" s="175">
        <v>36</v>
      </c>
      <c r="DK34" s="175">
        <v>0</v>
      </c>
      <c r="DL34" s="175">
        <v>0</v>
      </c>
      <c r="DM34" s="175">
        <v>34</v>
      </c>
      <c r="DN34" s="175">
        <v>0</v>
      </c>
      <c r="DO34" s="175">
        <v>0</v>
      </c>
      <c r="DP34" s="175">
        <v>0</v>
      </c>
      <c r="DQ34" s="175">
        <v>0</v>
      </c>
      <c r="DR34" s="175">
        <v>0</v>
      </c>
      <c r="DS34" s="175">
        <v>30</v>
      </c>
      <c r="DT34" s="175">
        <v>0</v>
      </c>
      <c r="DU34" s="175">
        <v>0</v>
      </c>
      <c r="DV34" s="175">
        <v>0</v>
      </c>
      <c r="DW34" s="175">
        <v>0</v>
      </c>
      <c r="DX34" s="175">
        <v>0</v>
      </c>
      <c r="DY34" s="175">
        <v>0</v>
      </c>
      <c r="DZ34" s="175">
        <v>0</v>
      </c>
      <c r="EA34" s="175">
        <v>0</v>
      </c>
      <c r="EB34" s="175">
        <v>0</v>
      </c>
      <c r="EC34" s="175">
        <v>0</v>
      </c>
      <c r="ED34" s="175">
        <v>0</v>
      </c>
      <c r="EE34" s="175">
        <v>0</v>
      </c>
      <c r="EF34" s="175">
        <v>0</v>
      </c>
      <c r="EG34" s="244">
        <v>0</v>
      </c>
      <c r="EH34" s="244">
        <v>0</v>
      </c>
      <c r="EI34" s="244">
        <v>0</v>
      </c>
      <c r="EJ34" s="244">
        <v>18</v>
      </c>
      <c r="EK34" s="244">
        <v>0</v>
      </c>
      <c r="EL34" s="244">
        <v>0</v>
      </c>
      <c r="EM34" s="244">
        <v>0</v>
      </c>
      <c r="EN34" s="244">
        <v>0</v>
      </c>
      <c r="EO34" s="244">
        <v>0</v>
      </c>
      <c r="EP34" s="244">
        <v>0</v>
      </c>
      <c r="EQ34" s="244">
        <v>0</v>
      </c>
      <c r="ER34" s="244">
        <v>0</v>
      </c>
      <c r="ES34" s="244">
        <v>16</v>
      </c>
      <c r="ET34" s="244">
        <v>0</v>
      </c>
      <c r="EU34" s="244">
        <v>0</v>
      </c>
      <c r="EV34" s="244">
        <v>0</v>
      </c>
      <c r="EW34" s="244">
        <v>0</v>
      </c>
      <c r="EX34" s="244">
        <v>0</v>
      </c>
      <c r="EY34" s="244">
        <v>0</v>
      </c>
      <c r="EZ34" s="244">
        <v>0</v>
      </c>
      <c r="FA34" s="244">
        <v>0</v>
      </c>
      <c r="FB34" s="244">
        <v>0</v>
      </c>
      <c r="FC34" s="244">
        <v>0</v>
      </c>
      <c r="FD34" s="244">
        <v>0</v>
      </c>
      <c r="FE34" s="244">
        <v>12</v>
      </c>
      <c r="FF34" s="244">
        <v>0</v>
      </c>
      <c r="FG34" s="244">
        <v>0</v>
      </c>
      <c r="FH34" s="244">
        <v>0</v>
      </c>
      <c r="FI34" s="244">
        <v>0</v>
      </c>
      <c r="FJ34" s="244">
        <v>0</v>
      </c>
      <c r="FK34" s="244">
        <v>0</v>
      </c>
      <c r="FL34" s="244">
        <v>0</v>
      </c>
      <c r="FM34" s="244">
        <v>0</v>
      </c>
      <c r="FN34" s="244">
        <v>0</v>
      </c>
      <c r="FO34" s="244">
        <v>0</v>
      </c>
      <c r="FP34" s="244">
        <v>41</v>
      </c>
      <c r="FQ34" s="244">
        <v>0</v>
      </c>
      <c r="FR34" s="244">
        <v>0</v>
      </c>
      <c r="FS34" s="244">
        <v>0</v>
      </c>
      <c r="FT34" s="244">
        <v>0</v>
      </c>
      <c r="FU34" s="244">
        <v>0</v>
      </c>
      <c r="FV34" s="244">
        <v>0</v>
      </c>
      <c r="FW34" s="244">
        <v>0</v>
      </c>
      <c r="FX34" s="244">
        <v>0</v>
      </c>
      <c r="FY34" s="244">
        <v>0</v>
      </c>
      <c r="FZ34" s="244">
        <v>0</v>
      </c>
      <c r="GA34" s="244">
        <v>0</v>
      </c>
      <c r="GB34" s="244">
        <v>0</v>
      </c>
      <c r="GC34" s="244">
        <v>0</v>
      </c>
      <c r="GD34" s="244">
        <v>0</v>
      </c>
      <c r="GE34" s="244">
        <v>0</v>
      </c>
      <c r="GF34" s="244">
        <v>0</v>
      </c>
      <c r="GG34" s="244">
        <v>0</v>
      </c>
      <c r="GH34" s="244">
        <v>0</v>
      </c>
      <c r="GI34" s="244">
        <v>0</v>
      </c>
      <c r="GJ34" s="244">
        <v>0</v>
      </c>
      <c r="GK34" s="244">
        <v>0</v>
      </c>
      <c r="GL34" s="244">
        <v>0</v>
      </c>
      <c r="GM34" s="244">
        <v>0</v>
      </c>
      <c r="GN34" s="244">
        <v>0</v>
      </c>
      <c r="GO34" s="244">
        <v>0</v>
      </c>
      <c r="GP34" s="240">
        <v>0</v>
      </c>
      <c r="GQ34" s="240">
        <v>0</v>
      </c>
      <c r="GR34" s="244">
        <v>10</v>
      </c>
      <c r="GS34" s="240">
        <v>0</v>
      </c>
      <c r="GT34" s="240">
        <v>0</v>
      </c>
      <c r="GU34" s="240">
        <v>0</v>
      </c>
      <c r="GV34" s="240">
        <v>0</v>
      </c>
      <c r="GW34" s="240">
        <v>2</v>
      </c>
      <c r="GX34" s="240">
        <v>35</v>
      </c>
      <c r="GY34" s="240">
        <v>0</v>
      </c>
      <c r="GZ34" s="240">
        <v>0</v>
      </c>
      <c r="HA34" s="240">
        <v>0</v>
      </c>
      <c r="HB34" s="240">
        <v>74</v>
      </c>
      <c r="HC34" s="240">
        <v>0</v>
      </c>
      <c r="HD34" s="240">
        <v>0</v>
      </c>
      <c r="HE34" s="240">
        <v>0</v>
      </c>
      <c r="HF34" s="240">
        <v>0</v>
      </c>
      <c r="HG34" s="240">
        <v>0</v>
      </c>
      <c r="HH34" s="240">
        <v>0</v>
      </c>
      <c r="HI34" s="411"/>
      <c r="HJ34" s="411"/>
      <c r="HK34" s="411"/>
      <c r="HL34" s="411"/>
      <c r="HM34" s="411"/>
      <c r="HN34" s="411"/>
      <c r="HO34" s="411"/>
      <c r="HP34" s="411"/>
      <c r="HQ34" s="411"/>
      <c r="HR34" s="411"/>
      <c r="HS34" s="411"/>
      <c r="HT34" s="414"/>
      <c r="HU34" s="111">
        <f>SUM(O34:HT34)</f>
        <v>1582</v>
      </c>
    </row>
    <row r="38" spans="1:229" x14ac:dyDescent="0.25">
      <c r="B38" s="495" t="s">
        <v>23</v>
      </c>
      <c r="C38" s="8" t="s">
        <v>79</v>
      </c>
      <c r="E38" s="194">
        <f>E10+E11+E13+E14+E15</f>
        <v>0</v>
      </c>
      <c r="F38" s="194">
        <f t="shared" ref="F38:BQ38" si="111">F10+F11+F13+F14+F15</f>
        <v>0</v>
      </c>
      <c r="G38" s="194">
        <f t="shared" si="111"/>
        <v>0</v>
      </c>
      <c r="H38" s="194">
        <f t="shared" si="111"/>
        <v>19.5</v>
      </c>
      <c r="I38" s="194">
        <f t="shared" si="111"/>
        <v>0</v>
      </c>
      <c r="J38" s="194">
        <f t="shared" si="111"/>
        <v>24</v>
      </c>
      <c r="K38" s="194">
        <f t="shared" si="111"/>
        <v>0</v>
      </c>
      <c r="L38" s="194">
        <f t="shared" si="111"/>
        <v>0</v>
      </c>
      <c r="M38" s="194">
        <f t="shared" si="111"/>
        <v>43.5</v>
      </c>
      <c r="N38" s="194">
        <f t="shared" si="111"/>
        <v>0</v>
      </c>
      <c r="O38" s="292">
        <f t="shared" si="111"/>
        <v>16</v>
      </c>
      <c r="P38" s="194">
        <f t="shared" si="111"/>
        <v>26</v>
      </c>
      <c r="Q38" s="194">
        <f t="shared" si="111"/>
        <v>0</v>
      </c>
      <c r="R38" s="194">
        <f t="shared" si="111"/>
        <v>0</v>
      </c>
      <c r="S38" s="194">
        <f t="shared" si="111"/>
        <v>0</v>
      </c>
      <c r="T38" s="194">
        <f t="shared" si="111"/>
        <v>0</v>
      </c>
      <c r="U38" s="194">
        <f t="shared" si="111"/>
        <v>7.6</v>
      </c>
      <c r="V38" s="194">
        <f t="shared" si="111"/>
        <v>0</v>
      </c>
      <c r="W38" s="194">
        <f t="shared" si="111"/>
        <v>17.5</v>
      </c>
      <c r="X38" s="194">
        <f t="shared" si="111"/>
        <v>0</v>
      </c>
      <c r="Y38" s="194">
        <f t="shared" si="111"/>
        <v>0</v>
      </c>
      <c r="Z38" s="194">
        <f t="shared" si="111"/>
        <v>11</v>
      </c>
      <c r="AA38" s="194">
        <f t="shared" si="111"/>
        <v>0</v>
      </c>
      <c r="AB38" s="194">
        <f t="shared" si="111"/>
        <v>0</v>
      </c>
      <c r="AC38" s="194">
        <f t="shared" si="111"/>
        <v>3</v>
      </c>
      <c r="AD38" s="194">
        <f t="shared" si="111"/>
        <v>0</v>
      </c>
      <c r="AE38" s="194">
        <f t="shared" si="111"/>
        <v>10.5</v>
      </c>
      <c r="AF38" s="194">
        <f t="shared" si="111"/>
        <v>0</v>
      </c>
      <c r="AG38" s="194">
        <f t="shared" si="111"/>
        <v>0</v>
      </c>
      <c r="AH38" s="194">
        <f t="shared" si="111"/>
        <v>0</v>
      </c>
      <c r="AI38" s="194">
        <f t="shared" si="111"/>
        <v>0</v>
      </c>
      <c r="AJ38" s="194">
        <f t="shared" si="111"/>
        <v>0</v>
      </c>
      <c r="AK38" s="194">
        <f t="shared" si="111"/>
        <v>0</v>
      </c>
      <c r="AL38" s="194">
        <f t="shared" si="111"/>
        <v>0</v>
      </c>
      <c r="AM38" s="194">
        <f t="shared" si="111"/>
        <v>21.5</v>
      </c>
      <c r="AN38" s="194">
        <f t="shared" si="111"/>
        <v>0</v>
      </c>
      <c r="AO38" s="194">
        <f t="shared" si="111"/>
        <v>0</v>
      </c>
      <c r="AP38" s="194">
        <f t="shared" si="111"/>
        <v>0</v>
      </c>
      <c r="AQ38" s="194">
        <f t="shared" si="111"/>
        <v>0</v>
      </c>
      <c r="AR38" s="194">
        <f t="shared" si="111"/>
        <v>0</v>
      </c>
      <c r="AS38" s="194">
        <f t="shared" si="111"/>
        <v>0</v>
      </c>
      <c r="AT38" s="194">
        <f t="shared" si="111"/>
        <v>10.5</v>
      </c>
      <c r="AU38" s="194">
        <f t="shared" si="111"/>
        <v>2.5</v>
      </c>
      <c r="AV38" s="194">
        <f t="shared" si="111"/>
        <v>0</v>
      </c>
      <c r="AW38" s="194">
        <f t="shared" si="111"/>
        <v>0</v>
      </c>
      <c r="AX38" s="194">
        <f t="shared" si="111"/>
        <v>8</v>
      </c>
      <c r="AY38" s="194">
        <f t="shared" si="111"/>
        <v>0</v>
      </c>
      <c r="AZ38" s="194">
        <f t="shared" si="111"/>
        <v>0</v>
      </c>
      <c r="BA38" s="194">
        <f t="shared" si="111"/>
        <v>0</v>
      </c>
      <c r="BB38" s="194">
        <f t="shared" si="111"/>
        <v>0</v>
      </c>
      <c r="BC38" s="194">
        <f t="shared" si="111"/>
        <v>0</v>
      </c>
      <c r="BD38" s="194">
        <f t="shared" si="111"/>
        <v>0</v>
      </c>
      <c r="BE38" s="194">
        <f t="shared" si="111"/>
        <v>25</v>
      </c>
      <c r="BF38" s="194">
        <f t="shared" si="111"/>
        <v>0</v>
      </c>
      <c r="BG38" s="194">
        <f t="shared" si="111"/>
        <v>0</v>
      </c>
      <c r="BH38" s="194">
        <f t="shared" si="111"/>
        <v>21.8</v>
      </c>
      <c r="BI38" s="194">
        <f t="shared" si="111"/>
        <v>0</v>
      </c>
      <c r="BJ38" s="194">
        <f t="shared" si="111"/>
        <v>0</v>
      </c>
      <c r="BK38" s="194">
        <f t="shared" si="111"/>
        <v>0</v>
      </c>
      <c r="BL38" s="194">
        <f t="shared" si="111"/>
        <v>0</v>
      </c>
      <c r="BM38" s="194">
        <f t="shared" si="111"/>
        <v>0</v>
      </c>
      <c r="BN38" s="194">
        <f t="shared" si="111"/>
        <v>0</v>
      </c>
      <c r="BO38" s="194">
        <f t="shared" si="111"/>
        <v>19.5</v>
      </c>
      <c r="BP38" s="194">
        <f t="shared" si="111"/>
        <v>0</v>
      </c>
      <c r="BQ38" s="194">
        <f t="shared" si="111"/>
        <v>0</v>
      </c>
      <c r="BR38" s="194">
        <f t="shared" ref="BR38:CW38" si="112">BR10+BR11+BR13+BR14+BR15</f>
        <v>0</v>
      </c>
      <c r="BS38" s="194">
        <f t="shared" si="112"/>
        <v>0</v>
      </c>
      <c r="BT38" s="194">
        <f t="shared" si="112"/>
        <v>27</v>
      </c>
      <c r="BU38" s="194">
        <f t="shared" si="112"/>
        <v>0</v>
      </c>
      <c r="BV38" s="194">
        <f t="shared" si="112"/>
        <v>0</v>
      </c>
      <c r="BW38" s="194">
        <f t="shared" si="112"/>
        <v>0</v>
      </c>
      <c r="BX38" s="194">
        <f t="shared" si="112"/>
        <v>0</v>
      </c>
      <c r="BY38" s="194">
        <f t="shared" si="112"/>
        <v>0</v>
      </c>
      <c r="BZ38" s="194">
        <f t="shared" si="112"/>
        <v>0</v>
      </c>
      <c r="CA38" s="194">
        <f t="shared" si="112"/>
        <v>0</v>
      </c>
      <c r="CB38" s="194">
        <f t="shared" si="112"/>
        <v>0</v>
      </c>
      <c r="CC38" s="194">
        <f t="shared" si="112"/>
        <v>27</v>
      </c>
      <c r="CD38" s="194">
        <f t="shared" si="112"/>
        <v>0</v>
      </c>
      <c r="CE38" s="194">
        <f t="shared" si="112"/>
        <v>0</v>
      </c>
      <c r="CF38" s="194">
        <f t="shared" si="112"/>
        <v>0</v>
      </c>
      <c r="CG38" s="194">
        <f t="shared" si="112"/>
        <v>0</v>
      </c>
      <c r="CH38" s="194">
        <f t="shared" si="112"/>
        <v>0</v>
      </c>
      <c r="CI38" s="194">
        <f t="shared" si="112"/>
        <v>0</v>
      </c>
      <c r="CJ38" s="194">
        <f t="shared" si="112"/>
        <v>0</v>
      </c>
      <c r="CK38" s="194">
        <f t="shared" si="112"/>
        <v>0</v>
      </c>
      <c r="CL38" s="194">
        <f t="shared" si="112"/>
        <v>0</v>
      </c>
      <c r="CM38" s="194">
        <f t="shared" si="112"/>
        <v>0</v>
      </c>
      <c r="CN38" s="194">
        <f t="shared" si="112"/>
        <v>0</v>
      </c>
      <c r="CO38" s="194">
        <f t="shared" si="112"/>
        <v>0</v>
      </c>
      <c r="CP38" s="194">
        <f t="shared" si="112"/>
        <v>0</v>
      </c>
      <c r="CQ38" s="194">
        <f t="shared" si="112"/>
        <v>0</v>
      </c>
      <c r="CR38" s="194">
        <f t="shared" si="112"/>
        <v>0</v>
      </c>
      <c r="CS38" s="194">
        <f t="shared" si="112"/>
        <v>0</v>
      </c>
      <c r="CT38" s="194">
        <f t="shared" si="112"/>
        <v>0</v>
      </c>
      <c r="CU38" s="194">
        <f t="shared" si="112"/>
        <v>0</v>
      </c>
      <c r="CV38" s="194">
        <f t="shared" si="112"/>
        <v>0</v>
      </c>
      <c r="CW38" s="194">
        <f t="shared" si="112"/>
        <v>0</v>
      </c>
      <c r="CX38" s="194">
        <f t="shared" ref="CX38:DE38" si="113">CX10+CX11+CX13+CX14+CX15</f>
        <v>0</v>
      </c>
      <c r="CY38" s="194">
        <f t="shared" si="113"/>
        <v>0</v>
      </c>
      <c r="CZ38" s="194">
        <f t="shared" si="113"/>
        <v>0</v>
      </c>
      <c r="DA38" s="194">
        <f t="shared" si="113"/>
        <v>0</v>
      </c>
      <c r="DB38" s="194">
        <f t="shared" si="113"/>
        <v>0</v>
      </c>
      <c r="DC38" s="194">
        <f t="shared" si="113"/>
        <v>0</v>
      </c>
      <c r="DD38" s="194">
        <f t="shared" si="113"/>
        <v>0</v>
      </c>
      <c r="DE38" s="194">
        <f t="shared" si="113"/>
        <v>0</v>
      </c>
      <c r="DF38" s="194">
        <f t="shared" ref="DF38:DK38" si="114">DF10+DF11+DF13+DF14+DF15</f>
        <v>0</v>
      </c>
      <c r="DG38" s="194">
        <f t="shared" si="114"/>
        <v>0</v>
      </c>
      <c r="DH38" s="194">
        <f t="shared" si="114"/>
        <v>0</v>
      </c>
      <c r="DI38" s="194">
        <f t="shared" si="114"/>
        <v>0</v>
      </c>
      <c r="DJ38" s="194">
        <f t="shared" si="114"/>
        <v>0</v>
      </c>
      <c r="DK38" s="194">
        <f t="shared" si="114"/>
        <v>0</v>
      </c>
      <c r="DL38" s="194">
        <f t="shared" ref="DL38:DR38" si="115">DL10+DL11+DL13+DL14+DL15</f>
        <v>0</v>
      </c>
      <c r="DM38" s="194">
        <f t="shared" si="115"/>
        <v>0</v>
      </c>
      <c r="DN38" s="194">
        <f t="shared" si="115"/>
        <v>0</v>
      </c>
      <c r="DO38" s="194">
        <f t="shared" si="115"/>
        <v>0</v>
      </c>
      <c r="DP38" s="194">
        <f t="shared" si="115"/>
        <v>0</v>
      </c>
      <c r="DQ38" s="194">
        <f t="shared" si="115"/>
        <v>0</v>
      </c>
      <c r="DR38" s="194">
        <f t="shared" si="115"/>
        <v>0</v>
      </c>
      <c r="DS38" s="194">
        <f t="shared" ref="DS38:EF38" si="116">DS10+DS11+DS13+DS14+DS15</f>
        <v>0</v>
      </c>
      <c r="DT38" s="194">
        <f t="shared" si="116"/>
        <v>0</v>
      </c>
      <c r="DU38" s="194">
        <f t="shared" si="116"/>
        <v>0</v>
      </c>
      <c r="DV38" s="194">
        <f t="shared" si="116"/>
        <v>0</v>
      </c>
      <c r="DW38" s="194">
        <f t="shared" si="116"/>
        <v>0</v>
      </c>
      <c r="DX38" s="194">
        <f t="shared" si="116"/>
        <v>0</v>
      </c>
      <c r="DY38" s="194">
        <f t="shared" si="116"/>
        <v>0</v>
      </c>
      <c r="DZ38" s="194">
        <f t="shared" si="116"/>
        <v>0</v>
      </c>
      <c r="EA38" s="194">
        <f t="shared" si="116"/>
        <v>0</v>
      </c>
      <c r="EB38" s="194">
        <f t="shared" si="116"/>
        <v>0</v>
      </c>
      <c r="EC38" s="194">
        <f t="shared" si="116"/>
        <v>0</v>
      </c>
      <c r="ED38" s="194">
        <f t="shared" si="116"/>
        <v>0</v>
      </c>
      <c r="EE38" s="194">
        <f t="shared" si="116"/>
        <v>0</v>
      </c>
      <c r="EF38" s="194">
        <f t="shared" si="116"/>
        <v>0</v>
      </c>
      <c r="EG38" s="194">
        <f t="shared" ref="EG38:EZ38" si="117">EG10+EG11+EG13+EG14+EG15</f>
        <v>0</v>
      </c>
      <c r="EH38" s="194">
        <f t="shared" si="117"/>
        <v>0</v>
      </c>
      <c r="EI38" s="194">
        <f t="shared" si="117"/>
        <v>0</v>
      </c>
      <c r="EJ38" s="194">
        <f t="shared" si="117"/>
        <v>0</v>
      </c>
      <c r="EK38" s="194">
        <f t="shared" si="117"/>
        <v>0</v>
      </c>
      <c r="EL38" s="194">
        <f t="shared" si="117"/>
        <v>0</v>
      </c>
      <c r="EM38" s="194">
        <f t="shared" si="117"/>
        <v>0</v>
      </c>
      <c r="EN38" s="194">
        <f t="shared" si="117"/>
        <v>0</v>
      </c>
      <c r="EO38" s="194">
        <f t="shared" si="117"/>
        <v>0</v>
      </c>
      <c r="EP38" s="194">
        <f t="shared" si="117"/>
        <v>0</v>
      </c>
      <c r="EQ38" s="194">
        <f t="shared" si="117"/>
        <v>0</v>
      </c>
      <c r="ER38" s="194">
        <f t="shared" si="117"/>
        <v>0</v>
      </c>
      <c r="ES38" s="194">
        <f t="shared" si="117"/>
        <v>0</v>
      </c>
      <c r="ET38" s="194">
        <f t="shared" si="117"/>
        <v>0</v>
      </c>
      <c r="EU38" s="194">
        <f t="shared" si="117"/>
        <v>0</v>
      </c>
      <c r="EV38" s="194">
        <f t="shared" si="117"/>
        <v>0</v>
      </c>
      <c r="EW38" s="194">
        <f t="shared" si="117"/>
        <v>0</v>
      </c>
      <c r="EX38" s="194">
        <f t="shared" si="117"/>
        <v>0</v>
      </c>
      <c r="EY38" s="194">
        <f t="shared" si="117"/>
        <v>0</v>
      </c>
      <c r="EZ38" s="194">
        <f t="shared" si="117"/>
        <v>0</v>
      </c>
      <c r="FA38" s="194">
        <f t="shared" ref="FA38:FJ38" si="118">FA10+FA11+FA13+FA14+FA15</f>
        <v>0</v>
      </c>
      <c r="FB38" s="194">
        <f t="shared" si="118"/>
        <v>0</v>
      </c>
      <c r="FC38" s="194">
        <f t="shared" si="118"/>
        <v>0</v>
      </c>
      <c r="FD38" s="194">
        <f t="shared" si="118"/>
        <v>0</v>
      </c>
      <c r="FE38" s="194">
        <f t="shared" si="118"/>
        <v>0</v>
      </c>
      <c r="FF38" s="194">
        <f t="shared" si="118"/>
        <v>0</v>
      </c>
      <c r="FG38" s="194">
        <f t="shared" si="118"/>
        <v>0</v>
      </c>
      <c r="FH38" s="194">
        <f t="shared" si="118"/>
        <v>0</v>
      </c>
      <c r="FI38" s="194">
        <f t="shared" si="118"/>
        <v>0</v>
      </c>
      <c r="FJ38" s="194">
        <f t="shared" si="118"/>
        <v>0</v>
      </c>
      <c r="FK38" s="194">
        <f t="shared" ref="FK38:FY38" si="119">FK10+FK11+FK13+FK14+FK15</f>
        <v>0</v>
      </c>
      <c r="FL38" s="194">
        <f t="shared" si="119"/>
        <v>0</v>
      </c>
      <c r="FM38" s="194">
        <f t="shared" si="119"/>
        <v>0</v>
      </c>
      <c r="FN38" s="194">
        <f t="shared" si="119"/>
        <v>0</v>
      </c>
      <c r="FO38" s="194">
        <f t="shared" si="119"/>
        <v>0</v>
      </c>
      <c r="FP38" s="194">
        <f t="shared" si="119"/>
        <v>0</v>
      </c>
      <c r="FQ38" s="194">
        <f t="shared" si="119"/>
        <v>0</v>
      </c>
      <c r="FR38" s="194">
        <f t="shared" si="119"/>
        <v>0</v>
      </c>
      <c r="FS38" s="194">
        <f t="shared" si="119"/>
        <v>0</v>
      </c>
      <c r="FT38" s="194">
        <f t="shared" si="119"/>
        <v>0</v>
      </c>
      <c r="FU38" s="194">
        <f t="shared" si="119"/>
        <v>0</v>
      </c>
      <c r="FV38" s="194">
        <f t="shared" si="119"/>
        <v>0</v>
      </c>
      <c r="FW38" s="194">
        <f t="shared" si="119"/>
        <v>0</v>
      </c>
      <c r="FX38" s="194">
        <f t="shared" si="119"/>
        <v>0</v>
      </c>
      <c r="FY38" s="194">
        <f t="shared" si="119"/>
        <v>0</v>
      </c>
      <c r="FZ38" s="194">
        <f t="shared" ref="FZ38:GO38" si="120">FZ10+FZ11+FZ13+FZ14+FZ15</f>
        <v>0</v>
      </c>
      <c r="GA38" s="194">
        <f t="shared" si="120"/>
        <v>0</v>
      </c>
      <c r="GB38" s="194">
        <f t="shared" si="120"/>
        <v>0</v>
      </c>
      <c r="GC38" s="194">
        <f t="shared" si="120"/>
        <v>0</v>
      </c>
      <c r="GD38" s="194">
        <f t="shared" si="120"/>
        <v>0</v>
      </c>
      <c r="GE38" s="194">
        <f t="shared" si="120"/>
        <v>0</v>
      </c>
      <c r="GF38" s="194">
        <f t="shared" si="120"/>
        <v>0</v>
      </c>
      <c r="GG38" s="194">
        <f t="shared" si="120"/>
        <v>0</v>
      </c>
      <c r="GH38" s="194">
        <f t="shared" si="120"/>
        <v>0</v>
      </c>
      <c r="GI38" s="194">
        <f t="shared" si="120"/>
        <v>0</v>
      </c>
      <c r="GJ38" s="194">
        <f t="shared" si="120"/>
        <v>0</v>
      </c>
      <c r="GK38" s="194">
        <f t="shared" si="120"/>
        <v>0</v>
      </c>
      <c r="GL38" s="194">
        <f t="shared" si="120"/>
        <v>0</v>
      </c>
      <c r="GM38" s="194">
        <f t="shared" si="120"/>
        <v>0</v>
      </c>
      <c r="GN38" s="194">
        <f t="shared" si="120"/>
        <v>0</v>
      </c>
      <c r="GO38" s="194">
        <f t="shared" si="120"/>
        <v>0</v>
      </c>
      <c r="GP38" s="194">
        <f t="shared" ref="GP38:HT38" si="121">GP10+GP11+GP13+GP14+GP15</f>
        <v>0</v>
      </c>
      <c r="GQ38" s="194">
        <f t="shared" si="121"/>
        <v>0</v>
      </c>
      <c r="GR38" s="194">
        <f t="shared" si="121"/>
        <v>0</v>
      </c>
      <c r="GS38" s="194">
        <f t="shared" si="121"/>
        <v>0</v>
      </c>
      <c r="GT38" s="194">
        <f t="shared" si="121"/>
        <v>0</v>
      </c>
      <c r="GU38" s="194">
        <f t="shared" si="121"/>
        <v>0</v>
      </c>
      <c r="GV38" s="194">
        <f t="shared" si="121"/>
        <v>0</v>
      </c>
      <c r="GW38" s="194">
        <f t="shared" si="121"/>
        <v>0</v>
      </c>
      <c r="GX38" s="194">
        <f t="shared" si="121"/>
        <v>0</v>
      </c>
      <c r="GY38" s="194">
        <f t="shared" si="121"/>
        <v>0</v>
      </c>
      <c r="GZ38" s="194">
        <f t="shared" si="121"/>
        <v>0</v>
      </c>
      <c r="HA38" s="194">
        <f t="shared" si="121"/>
        <v>0</v>
      </c>
      <c r="HB38" s="194">
        <f t="shared" si="121"/>
        <v>0</v>
      </c>
      <c r="HC38" s="194">
        <f t="shared" si="121"/>
        <v>0</v>
      </c>
      <c r="HD38" s="194">
        <f t="shared" si="121"/>
        <v>0</v>
      </c>
      <c r="HE38" s="194">
        <f t="shared" si="121"/>
        <v>0</v>
      </c>
      <c r="HF38" s="194">
        <f t="shared" si="121"/>
        <v>0</v>
      </c>
      <c r="HG38" s="194">
        <f t="shared" si="121"/>
        <v>0</v>
      </c>
      <c r="HH38" s="194">
        <f t="shared" si="121"/>
        <v>0</v>
      </c>
      <c r="HI38" s="194">
        <f t="shared" si="121"/>
        <v>0</v>
      </c>
      <c r="HJ38" s="194">
        <f t="shared" si="121"/>
        <v>0</v>
      </c>
      <c r="HK38" s="194">
        <f t="shared" si="121"/>
        <v>0</v>
      </c>
      <c r="HL38" s="194">
        <f t="shared" si="121"/>
        <v>0</v>
      </c>
      <c r="HM38" s="194">
        <f t="shared" si="121"/>
        <v>0</v>
      </c>
      <c r="HN38" s="194">
        <f t="shared" si="121"/>
        <v>0</v>
      </c>
      <c r="HO38" s="194">
        <f t="shared" si="121"/>
        <v>0</v>
      </c>
      <c r="HP38" s="194">
        <f t="shared" si="121"/>
        <v>0</v>
      </c>
      <c r="HQ38" s="194">
        <f t="shared" si="121"/>
        <v>0</v>
      </c>
      <c r="HR38" s="194">
        <f t="shared" si="121"/>
        <v>0</v>
      </c>
      <c r="HS38" s="194">
        <f t="shared" si="121"/>
        <v>0</v>
      </c>
      <c r="HT38" s="194">
        <f t="shared" si="121"/>
        <v>0</v>
      </c>
      <c r="HU38" s="194"/>
    </row>
    <row r="39" spans="1:229" x14ac:dyDescent="0.25">
      <c r="B39" s="495"/>
      <c r="C39" s="8" t="s">
        <v>80</v>
      </c>
      <c r="E39" s="194">
        <f>E9/2+E12+E17+E18</f>
        <v>0</v>
      </c>
      <c r="F39" s="194">
        <f t="shared" ref="F39:BQ39" si="122">F9/2+F12+F17+F18</f>
        <v>0</v>
      </c>
      <c r="G39" s="194">
        <f t="shared" si="122"/>
        <v>35.1</v>
      </c>
      <c r="H39" s="194">
        <f t="shared" si="122"/>
        <v>0</v>
      </c>
      <c r="I39" s="194">
        <f t="shared" si="122"/>
        <v>27</v>
      </c>
      <c r="J39" s="194">
        <f t="shared" si="122"/>
        <v>0</v>
      </c>
      <c r="K39" s="194">
        <f t="shared" si="122"/>
        <v>0</v>
      </c>
      <c r="L39" s="194">
        <f t="shared" si="122"/>
        <v>0</v>
      </c>
      <c r="M39" s="194">
        <f t="shared" si="122"/>
        <v>62.1</v>
      </c>
      <c r="N39" s="194">
        <f t="shared" si="122"/>
        <v>0</v>
      </c>
      <c r="O39" s="292">
        <f t="shared" si="122"/>
        <v>5.0999999999999996</v>
      </c>
      <c r="P39" s="194">
        <f t="shared" si="122"/>
        <v>9</v>
      </c>
      <c r="Q39" s="194">
        <f t="shared" si="122"/>
        <v>0</v>
      </c>
      <c r="R39" s="194">
        <f t="shared" si="122"/>
        <v>0</v>
      </c>
      <c r="S39" s="194">
        <f t="shared" si="122"/>
        <v>0</v>
      </c>
      <c r="T39" s="194">
        <f t="shared" si="122"/>
        <v>0</v>
      </c>
      <c r="U39" s="194">
        <f t="shared" si="122"/>
        <v>0</v>
      </c>
      <c r="V39" s="194">
        <f t="shared" si="122"/>
        <v>0</v>
      </c>
      <c r="W39" s="194">
        <f t="shared" si="122"/>
        <v>0</v>
      </c>
      <c r="X39" s="194">
        <f t="shared" si="122"/>
        <v>0</v>
      </c>
      <c r="Y39" s="194">
        <f t="shared" si="122"/>
        <v>0</v>
      </c>
      <c r="Z39" s="194">
        <f t="shared" si="122"/>
        <v>0</v>
      </c>
      <c r="AA39" s="194">
        <f t="shared" si="122"/>
        <v>0</v>
      </c>
      <c r="AB39" s="194">
        <f t="shared" si="122"/>
        <v>0</v>
      </c>
      <c r="AC39" s="194">
        <f t="shared" si="122"/>
        <v>0</v>
      </c>
      <c r="AD39" s="194">
        <f t="shared" si="122"/>
        <v>0</v>
      </c>
      <c r="AE39" s="194">
        <f t="shared" si="122"/>
        <v>9.6999999999999993</v>
      </c>
      <c r="AF39" s="194">
        <f t="shared" si="122"/>
        <v>0</v>
      </c>
      <c r="AG39" s="194">
        <f t="shared" si="122"/>
        <v>0</v>
      </c>
      <c r="AH39" s="194">
        <f t="shared" si="122"/>
        <v>0</v>
      </c>
      <c r="AI39" s="194">
        <f t="shared" si="122"/>
        <v>0</v>
      </c>
      <c r="AJ39" s="194">
        <f t="shared" si="122"/>
        <v>0</v>
      </c>
      <c r="AK39" s="194">
        <f t="shared" si="122"/>
        <v>0</v>
      </c>
      <c r="AL39" s="194">
        <f t="shared" si="122"/>
        <v>0</v>
      </c>
      <c r="AM39" s="194">
        <f t="shared" si="122"/>
        <v>0</v>
      </c>
      <c r="AN39" s="194">
        <f t="shared" si="122"/>
        <v>0</v>
      </c>
      <c r="AO39" s="194">
        <f t="shared" si="122"/>
        <v>0</v>
      </c>
      <c r="AP39" s="194">
        <f t="shared" si="122"/>
        <v>0</v>
      </c>
      <c r="AQ39" s="194">
        <f t="shared" si="122"/>
        <v>0</v>
      </c>
      <c r="AR39" s="194">
        <f t="shared" si="122"/>
        <v>0</v>
      </c>
      <c r="AS39" s="194">
        <f t="shared" si="122"/>
        <v>0</v>
      </c>
      <c r="AT39" s="194">
        <f t="shared" si="122"/>
        <v>0</v>
      </c>
      <c r="AU39" s="194">
        <f t="shared" si="122"/>
        <v>0</v>
      </c>
      <c r="AV39" s="194">
        <f t="shared" si="122"/>
        <v>0</v>
      </c>
      <c r="AW39" s="194">
        <f t="shared" si="122"/>
        <v>0</v>
      </c>
      <c r="AX39" s="194">
        <f t="shared" si="122"/>
        <v>0</v>
      </c>
      <c r="AY39" s="194">
        <f t="shared" si="122"/>
        <v>0</v>
      </c>
      <c r="AZ39" s="194">
        <f t="shared" si="122"/>
        <v>0</v>
      </c>
      <c r="BA39" s="194">
        <f t="shared" si="122"/>
        <v>0</v>
      </c>
      <c r="BB39" s="194">
        <f t="shared" si="122"/>
        <v>0</v>
      </c>
      <c r="BC39" s="194">
        <f t="shared" si="122"/>
        <v>0</v>
      </c>
      <c r="BD39" s="194">
        <f t="shared" si="122"/>
        <v>0</v>
      </c>
      <c r="BE39" s="194">
        <f t="shared" si="122"/>
        <v>0</v>
      </c>
      <c r="BF39" s="194">
        <f t="shared" si="122"/>
        <v>0</v>
      </c>
      <c r="BG39" s="194">
        <f t="shared" si="122"/>
        <v>0</v>
      </c>
      <c r="BH39" s="194">
        <f t="shared" si="122"/>
        <v>0</v>
      </c>
      <c r="BI39" s="194">
        <f t="shared" si="122"/>
        <v>0</v>
      </c>
      <c r="BJ39" s="194">
        <f t="shared" si="122"/>
        <v>0</v>
      </c>
      <c r="BK39" s="194">
        <f t="shared" si="122"/>
        <v>0</v>
      </c>
      <c r="BL39" s="194">
        <f t="shared" si="122"/>
        <v>0</v>
      </c>
      <c r="BM39" s="194">
        <f t="shared" si="122"/>
        <v>0</v>
      </c>
      <c r="BN39" s="194">
        <f t="shared" si="122"/>
        <v>0</v>
      </c>
      <c r="BO39" s="194">
        <f t="shared" si="122"/>
        <v>0</v>
      </c>
      <c r="BP39" s="194">
        <f t="shared" si="122"/>
        <v>0</v>
      </c>
      <c r="BQ39" s="194">
        <f t="shared" si="122"/>
        <v>0</v>
      </c>
      <c r="BR39" s="194">
        <f t="shared" ref="BR39:CW39" si="123">BR9/2+BR12+BR17+BR18</f>
        <v>0</v>
      </c>
      <c r="BS39" s="194">
        <f t="shared" si="123"/>
        <v>0</v>
      </c>
      <c r="BT39" s="194">
        <f t="shared" si="123"/>
        <v>0</v>
      </c>
      <c r="BU39" s="194">
        <f t="shared" si="123"/>
        <v>0</v>
      </c>
      <c r="BV39" s="194">
        <f t="shared" si="123"/>
        <v>0</v>
      </c>
      <c r="BW39" s="194">
        <f t="shared" si="123"/>
        <v>0</v>
      </c>
      <c r="BX39" s="194">
        <f t="shared" si="123"/>
        <v>0</v>
      </c>
      <c r="BY39" s="194">
        <f t="shared" si="123"/>
        <v>0</v>
      </c>
      <c r="BZ39" s="194">
        <f t="shared" si="123"/>
        <v>0</v>
      </c>
      <c r="CA39" s="194">
        <f t="shared" si="123"/>
        <v>0</v>
      </c>
      <c r="CB39" s="194">
        <f t="shared" si="123"/>
        <v>0</v>
      </c>
      <c r="CC39" s="194">
        <f t="shared" si="123"/>
        <v>0</v>
      </c>
      <c r="CD39" s="194">
        <f t="shared" si="123"/>
        <v>0</v>
      </c>
      <c r="CE39" s="194">
        <f t="shared" si="123"/>
        <v>0</v>
      </c>
      <c r="CF39" s="194">
        <f t="shared" si="123"/>
        <v>0</v>
      </c>
      <c r="CG39" s="194">
        <f t="shared" si="123"/>
        <v>0</v>
      </c>
      <c r="CH39" s="194">
        <f t="shared" si="123"/>
        <v>0</v>
      </c>
      <c r="CI39" s="194">
        <f t="shared" si="123"/>
        <v>0</v>
      </c>
      <c r="CJ39" s="194">
        <f t="shared" si="123"/>
        <v>0</v>
      </c>
      <c r="CK39" s="194">
        <f t="shared" si="123"/>
        <v>0</v>
      </c>
      <c r="CL39" s="194">
        <f t="shared" si="123"/>
        <v>0</v>
      </c>
      <c r="CM39" s="194">
        <f t="shared" si="123"/>
        <v>0</v>
      </c>
      <c r="CN39" s="194">
        <f t="shared" si="123"/>
        <v>0</v>
      </c>
      <c r="CO39" s="194">
        <f t="shared" si="123"/>
        <v>0</v>
      </c>
      <c r="CP39" s="194">
        <f t="shared" si="123"/>
        <v>0</v>
      </c>
      <c r="CQ39" s="194">
        <f t="shared" si="123"/>
        <v>0</v>
      </c>
      <c r="CR39" s="194">
        <f t="shared" si="123"/>
        <v>0</v>
      </c>
      <c r="CS39" s="194">
        <f t="shared" si="123"/>
        <v>0</v>
      </c>
      <c r="CT39" s="194">
        <f t="shared" si="123"/>
        <v>0</v>
      </c>
      <c r="CU39" s="194">
        <f t="shared" si="123"/>
        <v>0</v>
      </c>
      <c r="CV39" s="194">
        <f t="shared" si="123"/>
        <v>0</v>
      </c>
      <c r="CW39" s="194">
        <f t="shared" si="123"/>
        <v>0</v>
      </c>
      <c r="CX39" s="194">
        <f t="shared" ref="CX39:DE39" si="124">CX9/2+CX12+CX17+CX18</f>
        <v>0</v>
      </c>
      <c r="CY39" s="194">
        <f t="shared" si="124"/>
        <v>0</v>
      </c>
      <c r="CZ39" s="194">
        <f t="shared" si="124"/>
        <v>0</v>
      </c>
      <c r="DA39" s="194">
        <f t="shared" si="124"/>
        <v>0</v>
      </c>
      <c r="DB39" s="194">
        <f t="shared" si="124"/>
        <v>0</v>
      </c>
      <c r="DC39" s="194">
        <f t="shared" si="124"/>
        <v>0</v>
      </c>
      <c r="DD39" s="194">
        <f t="shared" si="124"/>
        <v>0</v>
      </c>
      <c r="DE39" s="194">
        <f t="shared" si="124"/>
        <v>0</v>
      </c>
      <c r="DF39" s="194">
        <f t="shared" ref="DF39:DK39" si="125">DF9/2+DF12+DF17+DF18</f>
        <v>0</v>
      </c>
      <c r="DG39" s="194">
        <f t="shared" si="125"/>
        <v>0</v>
      </c>
      <c r="DH39" s="194">
        <f t="shared" si="125"/>
        <v>0</v>
      </c>
      <c r="DI39" s="194">
        <f t="shared" si="125"/>
        <v>0</v>
      </c>
      <c r="DJ39" s="194">
        <f t="shared" si="125"/>
        <v>0</v>
      </c>
      <c r="DK39" s="194">
        <f t="shared" si="125"/>
        <v>0</v>
      </c>
      <c r="DL39" s="194">
        <f t="shared" ref="DL39:DR39" si="126">DL9/2+DL12+DL17+DL18</f>
        <v>0</v>
      </c>
      <c r="DM39" s="194">
        <f t="shared" si="126"/>
        <v>0</v>
      </c>
      <c r="DN39" s="194">
        <f t="shared" si="126"/>
        <v>0</v>
      </c>
      <c r="DO39" s="194">
        <f t="shared" si="126"/>
        <v>0</v>
      </c>
      <c r="DP39" s="194">
        <f t="shared" si="126"/>
        <v>0</v>
      </c>
      <c r="DQ39" s="194">
        <f t="shared" si="126"/>
        <v>0</v>
      </c>
      <c r="DR39" s="194">
        <f t="shared" si="126"/>
        <v>0</v>
      </c>
      <c r="DS39" s="194">
        <f t="shared" ref="DS39:EF39" si="127">DS9/2+DS12+DS17+DS18</f>
        <v>0</v>
      </c>
      <c r="DT39" s="194">
        <f t="shared" si="127"/>
        <v>0</v>
      </c>
      <c r="DU39" s="194">
        <f t="shared" si="127"/>
        <v>0</v>
      </c>
      <c r="DV39" s="194">
        <f t="shared" si="127"/>
        <v>0</v>
      </c>
      <c r="DW39" s="194">
        <f t="shared" si="127"/>
        <v>0</v>
      </c>
      <c r="DX39" s="194">
        <f t="shared" si="127"/>
        <v>0</v>
      </c>
      <c r="DY39" s="194">
        <f t="shared" si="127"/>
        <v>0</v>
      </c>
      <c r="DZ39" s="194">
        <f t="shared" si="127"/>
        <v>0</v>
      </c>
      <c r="EA39" s="194">
        <f t="shared" si="127"/>
        <v>0</v>
      </c>
      <c r="EB39" s="194">
        <f t="shared" si="127"/>
        <v>0</v>
      </c>
      <c r="EC39" s="194">
        <f t="shared" si="127"/>
        <v>0</v>
      </c>
      <c r="ED39" s="194">
        <f t="shared" si="127"/>
        <v>0</v>
      </c>
      <c r="EE39" s="194">
        <f t="shared" si="127"/>
        <v>0</v>
      </c>
      <c r="EF39" s="194">
        <f t="shared" si="127"/>
        <v>0</v>
      </c>
      <c r="EG39" s="194">
        <f t="shared" ref="EG39:EZ39" si="128">EG9/2+EG12+EG17+EG18</f>
        <v>0</v>
      </c>
      <c r="EH39" s="194">
        <f t="shared" si="128"/>
        <v>0</v>
      </c>
      <c r="EI39" s="194">
        <f t="shared" si="128"/>
        <v>0</v>
      </c>
      <c r="EJ39" s="194">
        <f t="shared" si="128"/>
        <v>0</v>
      </c>
      <c r="EK39" s="194">
        <f t="shared" si="128"/>
        <v>0</v>
      </c>
      <c r="EL39" s="194">
        <f t="shared" si="128"/>
        <v>0</v>
      </c>
      <c r="EM39" s="194">
        <f t="shared" si="128"/>
        <v>0</v>
      </c>
      <c r="EN39" s="194">
        <f t="shared" si="128"/>
        <v>0</v>
      </c>
      <c r="EO39" s="194">
        <f t="shared" si="128"/>
        <v>0</v>
      </c>
      <c r="EP39" s="194">
        <f t="shared" si="128"/>
        <v>0</v>
      </c>
      <c r="EQ39" s="194">
        <f t="shared" si="128"/>
        <v>0</v>
      </c>
      <c r="ER39" s="194">
        <f t="shared" si="128"/>
        <v>0</v>
      </c>
      <c r="ES39" s="194">
        <f t="shared" si="128"/>
        <v>0</v>
      </c>
      <c r="ET39" s="194">
        <f t="shared" si="128"/>
        <v>0</v>
      </c>
      <c r="EU39" s="194">
        <f t="shared" si="128"/>
        <v>0</v>
      </c>
      <c r="EV39" s="194">
        <f t="shared" si="128"/>
        <v>0</v>
      </c>
      <c r="EW39" s="194">
        <f t="shared" si="128"/>
        <v>0</v>
      </c>
      <c r="EX39" s="194">
        <f t="shared" si="128"/>
        <v>0</v>
      </c>
      <c r="EY39" s="194">
        <f t="shared" si="128"/>
        <v>0</v>
      </c>
      <c r="EZ39" s="194">
        <f t="shared" si="128"/>
        <v>0</v>
      </c>
      <c r="FA39" s="194">
        <f t="shared" ref="FA39:FJ39" si="129">FA9/2+FA12+FA17+FA18</f>
        <v>0</v>
      </c>
      <c r="FB39" s="194">
        <f t="shared" si="129"/>
        <v>0</v>
      </c>
      <c r="FC39" s="194">
        <f t="shared" si="129"/>
        <v>0</v>
      </c>
      <c r="FD39" s="194">
        <f t="shared" si="129"/>
        <v>0</v>
      </c>
      <c r="FE39" s="194">
        <f t="shared" si="129"/>
        <v>0</v>
      </c>
      <c r="FF39" s="194">
        <f t="shared" si="129"/>
        <v>0</v>
      </c>
      <c r="FG39" s="194">
        <f t="shared" si="129"/>
        <v>0</v>
      </c>
      <c r="FH39" s="194">
        <f t="shared" si="129"/>
        <v>0</v>
      </c>
      <c r="FI39" s="194">
        <f t="shared" si="129"/>
        <v>0</v>
      </c>
      <c r="FJ39" s="194">
        <f t="shared" si="129"/>
        <v>0</v>
      </c>
      <c r="FK39" s="194">
        <f t="shared" ref="FK39:FY39" si="130">FK9/2+FK12+FK17+FK18</f>
        <v>0</v>
      </c>
      <c r="FL39" s="194">
        <f t="shared" si="130"/>
        <v>0</v>
      </c>
      <c r="FM39" s="194">
        <f t="shared" si="130"/>
        <v>0</v>
      </c>
      <c r="FN39" s="194">
        <f t="shared" si="130"/>
        <v>0</v>
      </c>
      <c r="FO39" s="194">
        <f t="shared" si="130"/>
        <v>0</v>
      </c>
      <c r="FP39" s="194">
        <f t="shared" si="130"/>
        <v>21.7</v>
      </c>
      <c r="FQ39" s="194">
        <f t="shared" si="130"/>
        <v>0</v>
      </c>
      <c r="FR39" s="194">
        <f t="shared" si="130"/>
        <v>0</v>
      </c>
      <c r="FS39" s="194">
        <f t="shared" si="130"/>
        <v>0</v>
      </c>
      <c r="FT39" s="194">
        <f t="shared" si="130"/>
        <v>0</v>
      </c>
      <c r="FU39" s="194">
        <f t="shared" si="130"/>
        <v>0</v>
      </c>
      <c r="FV39" s="194">
        <f t="shared" si="130"/>
        <v>0</v>
      </c>
      <c r="FW39" s="194">
        <f t="shared" si="130"/>
        <v>0</v>
      </c>
      <c r="FX39" s="194">
        <f t="shared" si="130"/>
        <v>0</v>
      </c>
      <c r="FY39" s="194">
        <f t="shared" si="130"/>
        <v>0</v>
      </c>
      <c r="FZ39" s="194">
        <f t="shared" ref="FZ39:GO39" si="131">FZ9/2+FZ12+FZ17+FZ18</f>
        <v>0</v>
      </c>
      <c r="GA39" s="194">
        <f t="shared" si="131"/>
        <v>0</v>
      </c>
      <c r="GB39" s="194">
        <f t="shared" si="131"/>
        <v>0</v>
      </c>
      <c r="GC39" s="194">
        <f t="shared" si="131"/>
        <v>0</v>
      </c>
      <c r="GD39" s="194">
        <f t="shared" si="131"/>
        <v>0</v>
      </c>
      <c r="GE39" s="194">
        <f t="shared" si="131"/>
        <v>0</v>
      </c>
      <c r="GF39" s="194">
        <f t="shared" si="131"/>
        <v>0</v>
      </c>
      <c r="GG39" s="194">
        <f t="shared" si="131"/>
        <v>0</v>
      </c>
      <c r="GH39" s="194">
        <f t="shared" si="131"/>
        <v>0</v>
      </c>
      <c r="GI39" s="194">
        <f t="shared" si="131"/>
        <v>0</v>
      </c>
      <c r="GJ39" s="194">
        <f t="shared" si="131"/>
        <v>0</v>
      </c>
      <c r="GK39" s="194">
        <f t="shared" si="131"/>
        <v>0</v>
      </c>
      <c r="GL39" s="194">
        <f t="shared" si="131"/>
        <v>0</v>
      </c>
      <c r="GM39" s="194">
        <f t="shared" si="131"/>
        <v>0</v>
      </c>
      <c r="GN39" s="194">
        <f t="shared" si="131"/>
        <v>0</v>
      </c>
      <c r="GO39" s="194">
        <f t="shared" si="131"/>
        <v>0</v>
      </c>
      <c r="GP39" s="194">
        <f t="shared" ref="GP39:HT39" si="132">GP9/2+GP12+GP17+GP18</f>
        <v>0</v>
      </c>
      <c r="GQ39" s="194">
        <f t="shared" si="132"/>
        <v>0</v>
      </c>
      <c r="GR39" s="194">
        <f t="shared" si="132"/>
        <v>0</v>
      </c>
      <c r="GS39" s="194">
        <f t="shared" si="132"/>
        <v>0</v>
      </c>
      <c r="GT39" s="194">
        <f t="shared" si="132"/>
        <v>0</v>
      </c>
      <c r="GU39" s="194">
        <f t="shared" si="132"/>
        <v>0</v>
      </c>
      <c r="GV39" s="194">
        <f t="shared" si="132"/>
        <v>0</v>
      </c>
      <c r="GW39" s="194">
        <f t="shared" si="132"/>
        <v>0</v>
      </c>
      <c r="GX39" s="194">
        <f t="shared" si="132"/>
        <v>0</v>
      </c>
      <c r="GY39" s="194">
        <f t="shared" si="132"/>
        <v>0</v>
      </c>
      <c r="GZ39" s="194">
        <f t="shared" si="132"/>
        <v>0</v>
      </c>
      <c r="HA39" s="194">
        <f t="shared" si="132"/>
        <v>0</v>
      </c>
      <c r="HB39" s="194">
        <f t="shared" si="132"/>
        <v>0</v>
      </c>
      <c r="HC39" s="194">
        <f t="shared" si="132"/>
        <v>0</v>
      </c>
      <c r="HD39" s="194">
        <f t="shared" si="132"/>
        <v>0</v>
      </c>
      <c r="HE39" s="194">
        <f t="shared" si="132"/>
        <v>0</v>
      </c>
      <c r="HF39" s="194">
        <f t="shared" si="132"/>
        <v>0</v>
      </c>
      <c r="HG39" s="194">
        <f t="shared" si="132"/>
        <v>0</v>
      </c>
      <c r="HH39" s="194">
        <f t="shared" si="132"/>
        <v>0</v>
      </c>
      <c r="HI39" s="194">
        <f t="shared" si="132"/>
        <v>0</v>
      </c>
      <c r="HJ39" s="194">
        <f t="shared" si="132"/>
        <v>0</v>
      </c>
      <c r="HK39" s="194">
        <f t="shared" si="132"/>
        <v>0</v>
      </c>
      <c r="HL39" s="194">
        <f t="shared" si="132"/>
        <v>0</v>
      </c>
      <c r="HM39" s="194">
        <f t="shared" si="132"/>
        <v>0</v>
      </c>
      <c r="HN39" s="194">
        <f t="shared" si="132"/>
        <v>0</v>
      </c>
      <c r="HO39" s="194">
        <f t="shared" si="132"/>
        <v>0</v>
      </c>
      <c r="HP39" s="194">
        <f t="shared" si="132"/>
        <v>0</v>
      </c>
      <c r="HQ39" s="194">
        <f t="shared" si="132"/>
        <v>0</v>
      </c>
      <c r="HR39" s="194">
        <f t="shared" si="132"/>
        <v>0</v>
      </c>
      <c r="HS39" s="194">
        <f t="shared" si="132"/>
        <v>0</v>
      </c>
      <c r="HT39" s="194">
        <f t="shared" si="132"/>
        <v>0</v>
      </c>
      <c r="HU39" s="194"/>
    </row>
    <row r="40" spans="1:229" x14ac:dyDescent="0.25">
      <c r="B40" s="495"/>
      <c r="C40" s="8" t="s">
        <v>89</v>
      </c>
      <c r="E40" s="194">
        <f>E9/2+E16+E19</f>
        <v>0</v>
      </c>
      <c r="F40" s="194">
        <f t="shared" ref="F40:BQ40" si="133">F9/2+F16+F19</f>
        <v>0</v>
      </c>
      <c r="G40" s="194">
        <f t="shared" si="133"/>
        <v>0</v>
      </c>
      <c r="H40" s="194">
        <f t="shared" si="133"/>
        <v>0</v>
      </c>
      <c r="I40" s="194">
        <f t="shared" si="133"/>
        <v>0</v>
      </c>
      <c r="J40" s="194">
        <f t="shared" si="133"/>
        <v>0</v>
      </c>
      <c r="K40" s="194">
        <f t="shared" si="133"/>
        <v>0</v>
      </c>
      <c r="L40" s="194">
        <f t="shared" si="133"/>
        <v>0</v>
      </c>
      <c r="M40" s="194">
        <f t="shared" si="133"/>
        <v>0</v>
      </c>
      <c r="N40" s="194">
        <f t="shared" si="133"/>
        <v>0</v>
      </c>
      <c r="O40" s="292">
        <f t="shared" si="133"/>
        <v>0</v>
      </c>
      <c r="P40" s="194">
        <f t="shared" si="133"/>
        <v>0</v>
      </c>
      <c r="Q40" s="194">
        <f t="shared" si="133"/>
        <v>0</v>
      </c>
      <c r="R40" s="194">
        <f t="shared" si="133"/>
        <v>0</v>
      </c>
      <c r="S40" s="194">
        <f t="shared" si="133"/>
        <v>0</v>
      </c>
      <c r="T40" s="194">
        <f t="shared" si="133"/>
        <v>0</v>
      </c>
      <c r="U40" s="194">
        <f t="shared" si="133"/>
        <v>0</v>
      </c>
      <c r="V40" s="194">
        <f t="shared" si="133"/>
        <v>0</v>
      </c>
      <c r="W40" s="194">
        <f t="shared" si="133"/>
        <v>0</v>
      </c>
      <c r="X40" s="194">
        <f t="shared" si="133"/>
        <v>0</v>
      </c>
      <c r="Y40" s="194">
        <f t="shared" si="133"/>
        <v>0</v>
      </c>
      <c r="Z40" s="194">
        <f t="shared" si="133"/>
        <v>0</v>
      </c>
      <c r="AA40" s="194">
        <f t="shared" si="133"/>
        <v>0</v>
      </c>
      <c r="AB40" s="194">
        <f t="shared" si="133"/>
        <v>0</v>
      </c>
      <c r="AC40" s="194">
        <f t="shared" si="133"/>
        <v>0</v>
      </c>
      <c r="AD40" s="194">
        <f t="shared" si="133"/>
        <v>32.9</v>
      </c>
      <c r="AE40" s="194">
        <f t="shared" si="133"/>
        <v>0</v>
      </c>
      <c r="AF40" s="194">
        <f t="shared" si="133"/>
        <v>0</v>
      </c>
      <c r="AG40" s="194">
        <f t="shared" si="133"/>
        <v>35</v>
      </c>
      <c r="AH40" s="194">
        <f t="shared" si="133"/>
        <v>0</v>
      </c>
      <c r="AI40" s="194">
        <f t="shared" si="133"/>
        <v>0</v>
      </c>
      <c r="AJ40" s="194">
        <f t="shared" si="133"/>
        <v>0</v>
      </c>
      <c r="AK40" s="194">
        <f t="shared" si="133"/>
        <v>0</v>
      </c>
      <c r="AL40" s="194">
        <f t="shared" si="133"/>
        <v>7</v>
      </c>
      <c r="AM40" s="194">
        <f t="shared" si="133"/>
        <v>0</v>
      </c>
      <c r="AN40" s="194">
        <f t="shared" si="133"/>
        <v>0</v>
      </c>
      <c r="AO40" s="194">
        <f t="shared" si="133"/>
        <v>0</v>
      </c>
      <c r="AP40" s="194">
        <f t="shared" si="133"/>
        <v>0</v>
      </c>
      <c r="AQ40" s="194">
        <f t="shared" si="133"/>
        <v>0</v>
      </c>
      <c r="AR40" s="194">
        <f t="shared" si="133"/>
        <v>0</v>
      </c>
      <c r="AS40" s="194">
        <f t="shared" si="133"/>
        <v>0</v>
      </c>
      <c r="AT40" s="194">
        <f t="shared" si="133"/>
        <v>0</v>
      </c>
      <c r="AU40" s="194">
        <f t="shared" si="133"/>
        <v>0</v>
      </c>
      <c r="AV40" s="194">
        <f t="shared" si="133"/>
        <v>0</v>
      </c>
      <c r="AW40" s="194">
        <f t="shared" si="133"/>
        <v>0</v>
      </c>
      <c r="AX40" s="194">
        <f t="shared" si="133"/>
        <v>0</v>
      </c>
      <c r="AY40" s="194">
        <f t="shared" si="133"/>
        <v>0</v>
      </c>
      <c r="AZ40" s="194">
        <f t="shared" si="133"/>
        <v>0</v>
      </c>
      <c r="BA40" s="194">
        <f t="shared" si="133"/>
        <v>0</v>
      </c>
      <c r="BB40" s="194">
        <f t="shared" si="133"/>
        <v>0</v>
      </c>
      <c r="BC40" s="194">
        <f t="shared" si="133"/>
        <v>0</v>
      </c>
      <c r="BD40" s="194">
        <f t="shared" si="133"/>
        <v>0</v>
      </c>
      <c r="BE40" s="194">
        <f t="shared" si="133"/>
        <v>0</v>
      </c>
      <c r="BF40" s="194">
        <f t="shared" si="133"/>
        <v>0</v>
      </c>
      <c r="BG40" s="194">
        <f t="shared" si="133"/>
        <v>0</v>
      </c>
      <c r="BH40" s="194">
        <f t="shared" si="133"/>
        <v>3</v>
      </c>
      <c r="BI40" s="194">
        <f t="shared" si="133"/>
        <v>0</v>
      </c>
      <c r="BJ40" s="194">
        <f t="shared" si="133"/>
        <v>0</v>
      </c>
      <c r="BK40" s="194">
        <f t="shared" si="133"/>
        <v>0</v>
      </c>
      <c r="BL40" s="194">
        <f t="shared" si="133"/>
        <v>0</v>
      </c>
      <c r="BM40" s="194">
        <f t="shared" si="133"/>
        <v>0</v>
      </c>
      <c r="BN40" s="194">
        <f t="shared" si="133"/>
        <v>0</v>
      </c>
      <c r="BO40" s="194">
        <f t="shared" si="133"/>
        <v>0</v>
      </c>
      <c r="BP40" s="194">
        <f t="shared" si="133"/>
        <v>0</v>
      </c>
      <c r="BQ40" s="194">
        <f t="shared" si="133"/>
        <v>0</v>
      </c>
      <c r="BR40" s="194">
        <f t="shared" ref="BR40:CW40" si="134">BR9/2+BR16+BR19</f>
        <v>0</v>
      </c>
      <c r="BS40" s="194">
        <f t="shared" si="134"/>
        <v>0</v>
      </c>
      <c r="BT40" s="194">
        <f t="shared" si="134"/>
        <v>0</v>
      </c>
      <c r="BU40" s="194">
        <f t="shared" si="134"/>
        <v>0</v>
      </c>
      <c r="BV40" s="194">
        <f t="shared" si="134"/>
        <v>0</v>
      </c>
      <c r="BW40" s="194">
        <f t="shared" si="134"/>
        <v>0</v>
      </c>
      <c r="BX40" s="194">
        <f t="shared" si="134"/>
        <v>0</v>
      </c>
      <c r="BY40" s="194">
        <f t="shared" si="134"/>
        <v>0</v>
      </c>
      <c r="BZ40" s="194">
        <f t="shared" si="134"/>
        <v>0</v>
      </c>
      <c r="CA40" s="194">
        <f t="shared" si="134"/>
        <v>0</v>
      </c>
      <c r="CB40" s="194">
        <f t="shared" si="134"/>
        <v>0</v>
      </c>
      <c r="CC40" s="194">
        <f t="shared" si="134"/>
        <v>0</v>
      </c>
      <c r="CD40" s="194">
        <f t="shared" si="134"/>
        <v>0</v>
      </c>
      <c r="CE40" s="194">
        <f t="shared" si="134"/>
        <v>0</v>
      </c>
      <c r="CF40" s="194">
        <f t="shared" si="134"/>
        <v>0</v>
      </c>
      <c r="CG40" s="194">
        <f t="shared" si="134"/>
        <v>0</v>
      </c>
      <c r="CH40" s="194">
        <f t="shared" si="134"/>
        <v>0</v>
      </c>
      <c r="CI40" s="194">
        <f t="shared" si="134"/>
        <v>0</v>
      </c>
      <c r="CJ40" s="194">
        <f t="shared" si="134"/>
        <v>0</v>
      </c>
      <c r="CK40" s="194">
        <f t="shared" si="134"/>
        <v>0</v>
      </c>
      <c r="CL40" s="194">
        <f t="shared" si="134"/>
        <v>0</v>
      </c>
      <c r="CM40" s="194">
        <f t="shared" si="134"/>
        <v>0</v>
      </c>
      <c r="CN40" s="194">
        <f t="shared" si="134"/>
        <v>0</v>
      </c>
      <c r="CO40" s="194">
        <f t="shared" si="134"/>
        <v>0</v>
      </c>
      <c r="CP40" s="194">
        <f t="shared" si="134"/>
        <v>0</v>
      </c>
      <c r="CQ40" s="194">
        <f t="shared" si="134"/>
        <v>0</v>
      </c>
      <c r="CR40" s="194">
        <f t="shared" si="134"/>
        <v>0</v>
      </c>
      <c r="CS40" s="194">
        <f t="shared" si="134"/>
        <v>0</v>
      </c>
      <c r="CT40" s="194">
        <f t="shared" si="134"/>
        <v>0</v>
      </c>
      <c r="CU40" s="194">
        <f t="shared" si="134"/>
        <v>0</v>
      </c>
      <c r="CV40" s="194">
        <f t="shared" si="134"/>
        <v>0</v>
      </c>
      <c r="CW40" s="194">
        <f t="shared" si="134"/>
        <v>0</v>
      </c>
      <c r="CX40" s="194">
        <f t="shared" ref="CX40:DE40" si="135">CX9/2+CX16+CX19</f>
        <v>0</v>
      </c>
      <c r="CY40" s="194">
        <f t="shared" si="135"/>
        <v>0</v>
      </c>
      <c r="CZ40" s="194">
        <f t="shared" si="135"/>
        <v>0</v>
      </c>
      <c r="DA40" s="194">
        <f t="shared" si="135"/>
        <v>0</v>
      </c>
      <c r="DB40" s="194">
        <f t="shared" si="135"/>
        <v>0</v>
      </c>
      <c r="DC40" s="194">
        <f t="shared" si="135"/>
        <v>0</v>
      </c>
      <c r="DD40" s="194">
        <f t="shared" si="135"/>
        <v>0</v>
      </c>
      <c r="DE40" s="194">
        <f t="shared" si="135"/>
        <v>0</v>
      </c>
      <c r="DF40" s="194">
        <f t="shared" ref="DF40:DK40" si="136">DF9/2+DF16+DF19</f>
        <v>0</v>
      </c>
      <c r="DG40" s="194">
        <f t="shared" si="136"/>
        <v>0</v>
      </c>
      <c r="DH40" s="194">
        <f t="shared" si="136"/>
        <v>0</v>
      </c>
      <c r="DI40" s="194">
        <f t="shared" si="136"/>
        <v>0</v>
      </c>
      <c r="DJ40" s="194">
        <f t="shared" si="136"/>
        <v>0</v>
      </c>
      <c r="DK40" s="194">
        <f t="shared" si="136"/>
        <v>0</v>
      </c>
      <c r="DL40" s="194">
        <f t="shared" ref="DL40:DR40" si="137">DL9/2+DL16+DL19</f>
        <v>0</v>
      </c>
      <c r="DM40" s="194">
        <f t="shared" si="137"/>
        <v>0</v>
      </c>
      <c r="DN40" s="194">
        <f t="shared" si="137"/>
        <v>0</v>
      </c>
      <c r="DO40" s="194">
        <f t="shared" si="137"/>
        <v>0</v>
      </c>
      <c r="DP40" s="194">
        <f t="shared" si="137"/>
        <v>0</v>
      </c>
      <c r="DQ40" s="194">
        <f t="shared" si="137"/>
        <v>0</v>
      </c>
      <c r="DR40" s="194">
        <f t="shared" si="137"/>
        <v>0</v>
      </c>
      <c r="DS40" s="194">
        <f t="shared" ref="DS40:EF40" si="138">DS9/2+DS16+DS19</f>
        <v>0</v>
      </c>
      <c r="DT40" s="194">
        <f t="shared" si="138"/>
        <v>0</v>
      </c>
      <c r="DU40" s="194">
        <f t="shared" si="138"/>
        <v>0</v>
      </c>
      <c r="DV40" s="194">
        <f t="shared" si="138"/>
        <v>0</v>
      </c>
      <c r="DW40" s="194">
        <f t="shared" si="138"/>
        <v>0</v>
      </c>
      <c r="DX40" s="194">
        <f t="shared" si="138"/>
        <v>0</v>
      </c>
      <c r="DY40" s="194">
        <f t="shared" si="138"/>
        <v>0</v>
      </c>
      <c r="DZ40" s="194">
        <f t="shared" si="138"/>
        <v>0</v>
      </c>
      <c r="EA40" s="194">
        <f t="shared" si="138"/>
        <v>0</v>
      </c>
      <c r="EB40" s="194">
        <f t="shared" si="138"/>
        <v>0</v>
      </c>
      <c r="EC40" s="194">
        <f t="shared" si="138"/>
        <v>0</v>
      </c>
      <c r="ED40" s="194">
        <f t="shared" si="138"/>
        <v>0</v>
      </c>
      <c r="EE40" s="194">
        <f t="shared" si="138"/>
        <v>0</v>
      </c>
      <c r="EF40" s="194">
        <f t="shared" si="138"/>
        <v>0</v>
      </c>
      <c r="EG40" s="194">
        <f t="shared" ref="EG40:EZ40" si="139">EG9/2+EG16+EG19</f>
        <v>0</v>
      </c>
      <c r="EH40" s="194">
        <f t="shared" si="139"/>
        <v>0</v>
      </c>
      <c r="EI40" s="194">
        <f t="shared" si="139"/>
        <v>0</v>
      </c>
      <c r="EJ40" s="194">
        <f t="shared" si="139"/>
        <v>0</v>
      </c>
      <c r="EK40" s="194">
        <f t="shared" si="139"/>
        <v>0</v>
      </c>
      <c r="EL40" s="194">
        <f t="shared" si="139"/>
        <v>0</v>
      </c>
      <c r="EM40" s="194">
        <f t="shared" si="139"/>
        <v>0</v>
      </c>
      <c r="EN40" s="194">
        <f t="shared" si="139"/>
        <v>0</v>
      </c>
      <c r="EO40" s="194">
        <f t="shared" si="139"/>
        <v>0</v>
      </c>
      <c r="EP40" s="194">
        <f t="shared" si="139"/>
        <v>0</v>
      </c>
      <c r="EQ40" s="194">
        <f t="shared" si="139"/>
        <v>0</v>
      </c>
      <c r="ER40" s="194">
        <f t="shared" si="139"/>
        <v>0</v>
      </c>
      <c r="ES40" s="194">
        <f t="shared" si="139"/>
        <v>0</v>
      </c>
      <c r="ET40" s="194">
        <f t="shared" si="139"/>
        <v>0</v>
      </c>
      <c r="EU40" s="194">
        <f t="shared" si="139"/>
        <v>0</v>
      </c>
      <c r="EV40" s="194">
        <f t="shared" si="139"/>
        <v>0</v>
      </c>
      <c r="EW40" s="194">
        <f t="shared" si="139"/>
        <v>0</v>
      </c>
      <c r="EX40" s="194">
        <f t="shared" si="139"/>
        <v>0</v>
      </c>
      <c r="EY40" s="194">
        <f t="shared" si="139"/>
        <v>0</v>
      </c>
      <c r="EZ40" s="194">
        <f t="shared" si="139"/>
        <v>0</v>
      </c>
      <c r="FA40" s="194">
        <f t="shared" ref="FA40:FJ40" si="140">FA9/2+FA16+FA19</f>
        <v>0</v>
      </c>
      <c r="FB40" s="194">
        <f t="shared" si="140"/>
        <v>0</v>
      </c>
      <c r="FC40" s="194">
        <f t="shared" si="140"/>
        <v>0</v>
      </c>
      <c r="FD40" s="194">
        <f t="shared" si="140"/>
        <v>0</v>
      </c>
      <c r="FE40" s="194">
        <f t="shared" si="140"/>
        <v>0</v>
      </c>
      <c r="FF40" s="194">
        <f t="shared" si="140"/>
        <v>0</v>
      </c>
      <c r="FG40" s="194">
        <f t="shared" si="140"/>
        <v>0</v>
      </c>
      <c r="FH40" s="194">
        <f t="shared" si="140"/>
        <v>0</v>
      </c>
      <c r="FI40" s="194">
        <f t="shared" si="140"/>
        <v>0</v>
      </c>
      <c r="FJ40" s="194">
        <f t="shared" si="140"/>
        <v>0</v>
      </c>
      <c r="FK40" s="194">
        <f t="shared" ref="FK40:FY40" si="141">FK9/2+FK16+FK19</f>
        <v>0</v>
      </c>
      <c r="FL40" s="194">
        <f t="shared" si="141"/>
        <v>0</v>
      </c>
      <c r="FM40" s="194">
        <f t="shared" si="141"/>
        <v>0</v>
      </c>
      <c r="FN40" s="194">
        <f t="shared" si="141"/>
        <v>0</v>
      </c>
      <c r="FO40" s="194">
        <f t="shared" si="141"/>
        <v>0</v>
      </c>
      <c r="FP40" s="194">
        <f t="shared" si="141"/>
        <v>0</v>
      </c>
      <c r="FQ40" s="194">
        <f t="shared" si="141"/>
        <v>0</v>
      </c>
      <c r="FR40" s="194">
        <f t="shared" si="141"/>
        <v>0</v>
      </c>
      <c r="FS40" s="194">
        <f t="shared" si="141"/>
        <v>0</v>
      </c>
      <c r="FT40" s="194">
        <f t="shared" si="141"/>
        <v>0</v>
      </c>
      <c r="FU40" s="194">
        <f t="shared" si="141"/>
        <v>0</v>
      </c>
      <c r="FV40" s="194">
        <f t="shared" si="141"/>
        <v>0</v>
      </c>
      <c r="FW40" s="194">
        <f t="shared" si="141"/>
        <v>0</v>
      </c>
      <c r="FX40" s="194">
        <f t="shared" si="141"/>
        <v>0</v>
      </c>
      <c r="FY40" s="194">
        <f t="shared" si="141"/>
        <v>0</v>
      </c>
      <c r="FZ40" s="194">
        <f t="shared" ref="FZ40:GO40" si="142">FZ9/2+FZ16+FZ19</f>
        <v>0</v>
      </c>
      <c r="GA40" s="194">
        <f t="shared" si="142"/>
        <v>0</v>
      </c>
      <c r="GB40" s="194">
        <f t="shared" si="142"/>
        <v>0</v>
      </c>
      <c r="GC40" s="194">
        <f t="shared" si="142"/>
        <v>0</v>
      </c>
      <c r="GD40" s="194">
        <f t="shared" si="142"/>
        <v>0</v>
      </c>
      <c r="GE40" s="194">
        <f t="shared" si="142"/>
        <v>0</v>
      </c>
      <c r="GF40" s="194">
        <f t="shared" si="142"/>
        <v>0</v>
      </c>
      <c r="GG40" s="194">
        <f t="shared" si="142"/>
        <v>0</v>
      </c>
      <c r="GH40" s="194">
        <f t="shared" si="142"/>
        <v>0</v>
      </c>
      <c r="GI40" s="194">
        <f t="shared" si="142"/>
        <v>0</v>
      </c>
      <c r="GJ40" s="194">
        <f t="shared" si="142"/>
        <v>0</v>
      </c>
      <c r="GK40" s="194">
        <f t="shared" si="142"/>
        <v>0</v>
      </c>
      <c r="GL40" s="194">
        <f t="shared" si="142"/>
        <v>0</v>
      </c>
      <c r="GM40" s="194">
        <f t="shared" si="142"/>
        <v>0</v>
      </c>
      <c r="GN40" s="194">
        <f t="shared" si="142"/>
        <v>0</v>
      </c>
      <c r="GO40" s="194">
        <f t="shared" si="142"/>
        <v>0</v>
      </c>
      <c r="GP40" s="194">
        <f t="shared" ref="GP40:HT40" si="143">GP9/2+GP16+GP19</f>
        <v>0</v>
      </c>
      <c r="GQ40" s="194">
        <f t="shared" si="143"/>
        <v>0</v>
      </c>
      <c r="GR40" s="194">
        <f t="shared" si="143"/>
        <v>0</v>
      </c>
      <c r="GS40" s="194">
        <f t="shared" si="143"/>
        <v>0</v>
      </c>
      <c r="GT40" s="194">
        <f t="shared" si="143"/>
        <v>0</v>
      </c>
      <c r="GU40" s="194">
        <f t="shared" si="143"/>
        <v>0</v>
      </c>
      <c r="GV40" s="194">
        <f t="shared" si="143"/>
        <v>0</v>
      </c>
      <c r="GW40" s="194">
        <f t="shared" si="143"/>
        <v>0</v>
      </c>
      <c r="GX40" s="194">
        <f t="shared" si="143"/>
        <v>0</v>
      </c>
      <c r="GY40" s="194">
        <f t="shared" si="143"/>
        <v>0</v>
      </c>
      <c r="GZ40" s="194">
        <f t="shared" si="143"/>
        <v>0</v>
      </c>
      <c r="HA40" s="194">
        <f t="shared" si="143"/>
        <v>0</v>
      </c>
      <c r="HB40" s="194">
        <f t="shared" si="143"/>
        <v>0</v>
      </c>
      <c r="HC40" s="194">
        <f t="shared" si="143"/>
        <v>0</v>
      </c>
      <c r="HD40" s="194">
        <f t="shared" si="143"/>
        <v>0</v>
      </c>
      <c r="HE40" s="194">
        <f t="shared" si="143"/>
        <v>0</v>
      </c>
      <c r="HF40" s="194">
        <f t="shared" si="143"/>
        <v>0</v>
      </c>
      <c r="HG40" s="194">
        <f t="shared" si="143"/>
        <v>0</v>
      </c>
      <c r="HH40" s="194">
        <f t="shared" si="143"/>
        <v>0</v>
      </c>
      <c r="HI40" s="194">
        <f t="shared" si="143"/>
        <v>0</v>
      </c>
      <c r="HJ40" s="194">
        <f t="shared" si="143"/>
        <v>0</v>
      </c>
      <c r="HK40" s="194">
        <f t="shared" si="143"/>
        <v>0</v>
      </c>
      <c r="HL40" s="194">
        <f t="shared" si="143"/>
        <v>0</v>
      </c>
      <c r="HM40" s="194">
        <f t="shared" si="143"/>
        <v>0</v>
      </c>
      <c r="HN40" s="194">
        <f t="shared" si="143"/>
        <v>0</v>
      </c>
      <c r="HO40" s="194">
        <f t="shared" si="143"/>
        <v>0</v>
      </c>
      <c r="HP40" s="194">
        <f t="shared" si="143"/>
        <v>0</v>
      </c>
      <c r="HQ40" s="194">
        <f t="shared" si="143"/>
        <v>0</v>
      </c>
      <c r="HR40" s="194">
        <f t="shared" si="143"/>
        <v>0</v>
      </c>
      <c r="HS40" s="194">
        <f t="shared" si="143"/>
        <v>0</v>
      </c>
      <c r="HT40" s="194">
        <f t="shared" si="143"/>
        <v>0</v>
      </c>
      <c r="HU40" s="194"/>
    </row>
    <row r="41" spans="1:229" x14ac:dyDescent="0.25">
      <c r="M41"/>
      <c r="N41"/>
      <c r="O41" s="293"/>
      <c r="HU41"/>
    </row>
    <row r="42" spans="1:229" x14ac:dyDescent="0.25">
      <c r="B42" s="495" t="s">
        <v>16</v>
      </c>
      <c r="C42" s="8" t="s">
        <v>79</v>
      </c>
      <c r="E42" s="194">
        <f>E23+E24+E26+E27+E28</f>
        <v>0</v>
      </c>
      <c r="F42" s="194">
        <f t="shared" ref="F42:BQ42" si="144">F23+F24+F26+F27+F28</f>
        <v>0</v>
      </c>
      <c r="G42" s="194">
        <f t="shared" si="144"/>
        <v>0</v>
      </c>
      <c r="H42" s="194">
        <f t="shared" si="144"/>
        <v>0</v>
      </c>
      <c r="I42" s="194">
        <f t="shared" si="144"/>
        <v>0</v>
      </c>
      <c r="J42" s="194">
        <f t="shared" si="144"/>
        <v>0</v>
      </c>
      <c r="K42" s="194">
        <f t="shared" si="144"/>
        <v>0</v>
      </c>
      <c r="L42" s="194">
        <f t="shared" si="144"/>
        <v>0</v>
      </c>
      <c r="M42" s="194">
        <f t="shared" si="144"/>
        <v>0</v>
      </c>
      <c r="N42" s="194">
        <f t="shared" si="144"/>
        <v>0</v>
      </c>
      <c r="O42" s="292">
        <f t="shared" si="144"/>
        <v>0</v>
      </c>
      <c r="P42" s="194">
        <f t="shared" si="144"/>
        <v>0</v>
      </c>
      <c r="Q42" s="194">
        <f t="shared" si="144"/>
        <v>0</v>
      </c>
      <c r="R42" s="194">
        <f t="shared" si="144"/>
        <v>0</v>
      </c>
      <c r="S42" s="194">
        <f t="shared" si="144"/>
        <v>0</v>
      </c>
      <c r="T42" s="194">
        <f t="shared" si="144"/>
        <v>0</v>
      </c>
      <c r="U42" s="194">
        <f t="shared" si="144"/>
        <v>0</v>
      </c>
      <c r="V42" s="194">
        <f t="shared" si="144"/>
        <v>0</v>
      </c>
      <c r="W42" s="194">
        <f t="shared" si="144"/>
        <v>0</v>
      </c>
      <c r="X42" s="194">
        <f t="shared" si="144"/>
        <v>0</v>
      </c>
      <c r="Y42" s="194">
        <f t="shared" si="144"/>
        <v>0</v>
      </c>
      <c r="Z42" s="194">
        <f t="shared" si="144"/>
        <v>0</v>
      </c>
      <c r="AA42" s="194">
        <f t="shared" si="144"/>
        <v>0</v>
      </c>
      <c r="AB42" s="194">
        <f t="shared" si="144"/>
        <v>0</v>
      </c>
      <c r="AC42" s="194">
        <f t="shared" si="144"/>
        <v>0</v>
      </c>
      <c r="AD42" s="194">
        <f t="shared" si="144"/>
        <v>0</v>
      </c>
      <c r="AE42" s="194">
        <f t="shared" si="144"/>
        <v>0</v>
      </c>
      <c r="AF42" s="194">
        <f t="shared" si="144"/>
        <v>0</v>
      </c>
      <c r="AG42" s="194">
        <f t="shared" si="144"/>
        <v>0</v>
      </c>
      <c r="AH42" s="194">
        <f t="shared" si="144"/>
        <v>0</v>
      </c>
      <c r="AI42" s="194">
        <f t="shared" si="144"/>
        <v>0</v>
      </c>
      <c r="AJ42" s="194">
        <f t="shared" si="144"/>
        <v>0</v>
      </c>
      <c r="AK42" s="194">
        <f t="shared" si="144"/>
        <v>0</v>
      </c>
      <c r="AL42" s="194">
        <f t="shared" si="144"/>
        <v>0</v>
      </c>
      <c r="AM42" s="194">
        <f t="shared" si="144"/>
        <v>0</v>
      </c>
      <c r="AN42" s="194">
        <f t="shared" si="144"/>
        <v>0</v>
      </c>
      <c r="AO42" s="194">
        <f t="shared" si="144"/>
        <v>0</v>
      </c>
      <c r="AP42" s="194">
        <f t="shared" si="144"/>
        <v>0</v>
      </c>
      <c r="AQ42" s="194">
        <f t="shared" si="144"/>
        <v>0</v>
      </c>
      <c r="AR42" s="194">
        <f t="shared" si="144"/>
        <v>0</v>
      </c>
      <c r="AS42" s="194">
        <f t="shared" si="144"/>
        <v>0</v>
      </c>
      <c r="AT42" s="194">
        <f t="shared" si="144"/>
        <v>0</v>
      </c>
      <c r="AU42" s="194">
        <f t="shared" si="144"/>
        <v>0</v>
      </c>
      <c r="AV42" s="194">
        <f t="shared" si="144"/>
        <v>0</v>
      </c>
      <c r="AW42" s="194">
        <f t="shared" si="144"/>
        <v>0</v>
      </c>
      <c r="AX42" s="194">
        <f t="shared" si="144"/>
        <v>0</v>
      </c>
      <c r="AY42" s="194">
        <f t="shared" si="144"/>
        <v>0</v>
      </c>
      <c r="AZ42" s="194">
        <f t="shared" si="144"/>
        <v>0</v>
      </c>
      <c r="BA42" s="194">
        <f t="shared" si="144"/>
        <v>0</v>
      </c>
      <c r="BB42" s="194">
        <f t="shared" si="144"/>
        <v>0</v>
      </c>
      <c r="BC42" s="194">
        <f t="shared" si="144"/>
        <v>0</v>
      </c>
      <c r="BD42" s="194">
        <f t="shared" si="144"/>
        <v>0</v>
      </c>
      <c r="BE42" s="194">
        <f t="shared" si="144"/>
        <v>0</v>
      </c>
      <c r="BF42" s="194">
        <f t="shared" si="144"/>
        <v>0</v>
      </c>
      <c r="BG42" s="194">
        <f t="shared" si="144"/>
        <v>0</v>
      </c>
      <c r="BH42" s="194">
        <f t="shared" si="144"/>
        <v>0</v>
      </c>
      <c r="BI42" s="194">
        <f t="shared" si="144"/>
        <v>0</v>
      </c>
      <c r="BJ42" s="194">
        <f t="shared" si="144"/>
        <v>0</v>
      </c>
      <c r="BK42" s="194">
        <f t="shared" si="144"/>
        <v>0</v>
      </c>
      <c r="BL42" s="194">
        <f t="shared" si="144"/>
        <v>0</v>
      </c>
      <c r="BM42" s="194">
        <f t="shared" si="144"/>
        <v>0</v>
      </c>
      <c r="BN42" s="194">
        <f t="shared" si="144"/>
        <v>0</v>
      </c>
      <c r="BO42" s="194">
        <f t="shared" si="144"/>
        <v>0</v>
      </c>
      <c r="BP42" s="194">
        <f t="shared" si="144"/>
        <v>0</v>
      </c>
      <c r="BQ42" s="194">
        <f t="shared" si="144"/>
        <v>0</v>
      </c>
      <c r="BR42" s="194">
        <f t="shared" ref="BR42:CW42" si="145">BR23+BR24+BR26+BR27+BR28</f>
        <v>0</v>
      </c>
      <c r="BS42" s="194">
        <f t="shared" si="145"/>
        <v>0</v>
      </c>
      <c r="BT42" s="194">
        <f t="shared" si="145"/>
        <v>0</v>
      </c>
      <c r="BU42" s="194">
        <f t="shared" si="145"/>
        <v>0</v>
      </c>
      <c r="BV42" s="194">
        <f t="shared" si="145"/>
        <v>0</v>
      </c>
      <c r="BW42" s="194">
        <f t="shared" si="145"/>
        <v>0</v>
      </c>
      <c r="BX42" s="194">
        <f t="shared" si="145"/>
        <v>29.8</v>
      </c>
      <c r="BY42" s="194">
        <f t="shared" si="145"/>
        <v>0</v>
      </c>
      <c r="BZ42" s="194">
        <f t="shared" si="145"/>
        <v>0</v>
      </c>
      <c r="CA42" s="194">
        <f t="shared" si="145"/>
        <v>19</v>
      </c>
      <c r="CB42" s="194">
        <f t="shared" si="145"/>
        <v>0</v>
      </c>
      <c r="CC42" s="194">
        <f t="shared" si="145"/>
        <v>0</v>
      </c>
      <c r="CD42" s="194">
        <f t="shared" si="145"/>
        <v>0</v>
      </c>
      <c r="CE42" s="194">
        <f t="shared" si="145"/>
        <v>3</v>
      </c>
      <c r="CF42" s="194">
        <f t="shared" si="145"/>
        <v>0</v>
      </c>
      <c r="CG42" s="194">
        <f t="shared" si="145"/>
        <v>0</v>
      </c>
      <c r="CH42" s="194">
        <f t="shared" si="145"/>
        <v>0</v>
      </c>
      <c r="CI42" s="194">
        <f t="shared" si="145"/>
        <v>0</v>
      </c>
      <c r="CJ42" s="194">
        <f t="shared" si="145"/>
        <v>21</v>
      </c>
      <c r="CK42" s="194">
        <f t="shared" si="145"/>
        <v>0</v>
      </c>
      <c r="CL42" s="194">
        <f t="shared" si="145"/>
        <v>0</v>
      </c>
      <c r="CM42" s="194">
        <f t="shared" si="145"/>
        <v>0</v>
      </c>
      <c r="CN42" s="194">
        <f t="shared" si="145"/>
        <v>0</v>
      </c>
      <c r="CO42" s="194">
        <f t="shared" si="145"/>
        <v>12</v>
      </c>
      <c r="CP42" s="194">
        <f t="shared" si="145"/>
        <v>0</v>
      </c>
      <c r="CQ42" s="194">
        <f t="shared" si="145"/>
        <v>22</v>
      </c>
      <c r="CR42" s="194">
        <f t="shared" si="145"/>
        <v>0</v>
      </c>
      <c r="CS42" s="194">
        <f t="shared" si="145"/>
        <v>12</v>
      </c>
      <c r="CT42" s="194">
        <f t="shared" si="145"/>
        <v>0</v>
      </c>
      <c r="CU42" s="194">
        <f t="shared" si="145"/>
        <v>0</v>
      </c>
      <c r="CV42" s="194">
        <f t="shared" si="145"/>
        <v>0</v>
      </c>
      <c r="CW42" s="194">
        <f t="shared" si="145"/>
        <v>27.1</v>
      </c>
      <c r="CX42" s="194">
        <f t="shared" ref="CX42:DE42" si="146">CX23+CX24+CX26+CX27+CX28</f>
        <v>22</v>
      </c>
      <c r="CY42" s="194">
        <f t="shared" si="146"/>
        <v>0</v>
      </c>
      <c r="CZ42" s="194">
        <f t="shared" si="146"/>
        <v>0</v>
      </c>
      <c r="DA42" s="194">
        <f t="shared" si="146"/>
        <v>0</v>
      </c>
      <c r="DB42" s="194">
        <f t="shared" si="146"/>
        <v>0</v>
      </c>
      <c r="DC42" s="194">
        <f t="shared" si="146"/>
        <v>27.6</v>
      </c>
      <c r="DD42" s="194">
        <f t="shared" si="146"/>
        <v>0</v>
      </c>
      <c r="DE42" s="194">
        <f t="shared" si="146"/>
        <v>0</v>
      </c>
      <c r="DF42" s="194">
        <f t="shared" ref="DF42:DK42" si="147">DF23+DF24+DF26+DF27+DF28</f>
        <v>0</v>
      </c>
      <c r="DG42" s="194">
        <f t="shared" si="147"/>
        <v>0</v>
      </c>
      <c r="DH42" s="194">
        <f t="shared" si="147"/>
        <v>0</v>
      </c>
      <c r="DI42" s="194">
        <f t="shared" si="147"/>
        <v>0</v>
      </c>
      <c r="DJ42" s="194">
        <f t="shared" si="147"/>
        <v>12</v>
      </c>
      <c r="DK42" s="194">
        <f t="shared" si="147"/>
        <v>0</v>
      </c>
      <c r="DL42" s="194">
        <f t="shared" ref="DL42:DR42" si="148">DL23+DL24+DL26+DL27+DL28</f>
        <v>0</v>
      </c>
      <c r="DM42" s="194">
        <f t="shared" si="148"/>
        <v>21</v>
      </c>
      <c r="DN42" s="194">
        <f t="shared" si="148"/>
        <v>0</v>
      </c>
      <c r="DO42" s="194">
        <f t="shared" si="148"/>
        <v>0</v>
      </c>
      <c r="DP42" s="194">
        <f t="shared" si="148"/>
        <v>0</v>
      </c>
      <c r="DQ42" s="194">
        <f t="shared" si="148"/>
        <v>0</v>
      </c>
      <c r="DR42" s="194">
        <f t="shared" si="148"/>
        <v>0</v>
      </c>
      <c r="DS42" s="194">
        <f t="shared" ref="DS42:EF42" si="149">DS23+DS24+DS26+DS27+DS28</f>
        <v>15.1</v>
      </c>
      <c r="DT42" s="194">
        <f t="shared" si="149"/>
        <v>0</v>
      </c>
      <c r="DU42" s="194">
        <f t="shared" si="149"/>
        <v>0</v>
      </c>
      <c r="DV42" s="194">
        <f t="shared" si="149"/>
        <v>0</v>
      </c>
      <c r="DW42" s="194">
        <f t="shared" si="149"/>
        <v>0</v>
      </c>
      <c r="DX42" s="194">
        <f t="shared" si="149"/>
        <v>0</v>
      </c>
      <c r="DY42" s="194">
        <f t="shared" si="149"/>
        <v>0</v>
      </c>
      <c r="DZ42" s="194">
        <f t="shared" si="149"/>
        <v>0</v>
      </c>
      <c r="EA42" s="194">
        <f t="shared" si="149"/>
        <v>0</v>
      </c>
      <c r="EB42" s="194">
        <f t="shared" si="149"/>
        <v>0</v>
      </c>
      <c r="EC42" s="194">
        <f t="shared" si="149"/>
        <v>0</v>
      </c>
      <c r="ED42" s="194">
        <f t="shared" si="149"/>
        <v>0</v>
      </c>
      <c r="EE42" s="194">
        <f t="shared" si="149"/>
        <v>0</v>
      </c>
      <c r="EF42" s="194">
        <f t="shared" si="149"/>
        <v>0</v>
      </c>
      <c r="EG42" s="194">
        <f t="shared" ref="EG42:EZ42" si="150">EG23+EG24+EG26+EG27+EG28</f>
        <v>0</v>
      </c>
      <c r="EH42" s="194">
        <f t="shared" si="150"/>
        <v>0</v>
      </c>
      <c r="EI42" s="194">
        <f t="shared" si="150"/>
        <v>0</v>
      </c>
      <c r="EJ42" s="194">
        <f t="shared" si="150"/>
        <v>4</v>
      </c>
      <c r="EK42" s="194">
        <f t="shared" si="150"/>
        <v>0</v>
      </c>
      <c r="EL42" s="194">
        <f t="shared" si="150"/>
        <v>0</v>
      </c>
      <c r="EM42" s="194">
        <f t="shared" si="150"/>
        <v>0</v>
      </c>
      <c r="EN42" s="194">
        <f t="shared" si="150"/>
        <v>0</v>
      </c>
      <c r="EO42" s="194">
        <f t="shared" si="150"/>
        <v>0</v>
      </c>
      <c r="EP42" s="194">
        <f t="shared" si="150"/>
        <v>0</v>
      </c>
      <c r="EQ42" s="194">
        <f t="shared" si="150"/>
        <v>0</v>
      </c>
      <c r="ER42" s="194">
        <f t="shared" si="150"/>
        <v>0</v>
      </c>
      <c r="ES42" s="194">
        <f t="shared" si="150"/>
        <v>0</v>
      </c>
      <c r="ET42" s="194">
        <f t="shared" si="150"/>
        <v>0</v>
      </c>
      <c r="EU42" s="194">
        <f t="shared" si="150"/>
        <v>0</v>
      </c>
      <c r="EV42" s="194">
        <f t="shared" si="150"/>
        <v>0</v>
      </c>
      <c r="EW42" s="194">
        <f t="shared" si="150"/>
        <v>0</v>
      </c>
      <c r="EX42" s="194">
        <f t="shared" si="150"/>
        <v>0</v>
      </c>
      <c r="EY42" s="194">
        <f t="shared" si="150"/>
        <v>0</v>
      </c>
      <c r="EZ42" s="194">
        <f t="shared" si="150"/>
        <v>0</v>
      </c>
      <c r="FA42" s="194">
        <f t="shared" ref="FA42:FJ42" si="151">FA23+FA24+FA26+FA27+FA28</f>
        <v>0</v>
      </c>
      <c r="FB42" s="194">
        <f t="shared" si="151"/>
        <v>0</v>
      </c>
      <c r="FC42" s="194">
        <f t="shared" si="151"/>
        <v>0</v>
      </c>
      <c r="FD42" s="194">
        <f t="shared" si="151"/>
        <v>0</v>
      </c>
      <c r="FE42" s="194">
        <f t="shared" si="151"/>
        <v>0</v>
      </c>
      <c r="FF42" s="194">
        <f t="shared" si="151"/>
        <v>0</v>
      </c>
      <c r="FG42" s="194">
        <f t="shared" si="151"/>
        <v>0</v>
      </c>
      <c r="FH42" s="194">
        <f t="shared" si="151"/>
        <v>0</v>
      </c>
      <c r="FI42" s="194">
        <f t="shared" si="151"/>
        <v>0</v>
      </c>
      <c r="FJ42" s="194">
        <f t="shared" si="151"/>
        <v>0</v>
      </c>
      <c r="FK42" s="194">
        <f t="shared" ref="FK42:FY42" si="152">FK23+FK24+FK26+FK27+FK28</f>
        <v>0</v>
      </c>
      <c r="FL42" s="194">
        <f t="shared" si="152"/>
        <v>0</v>
      </c>
      <c r="FM42" s="194">
        <f t="shared" si="152"/>
        <v>0</v>
      </c>
      <c r="FN42" s="194">
        <f t="shared" si="152"/>
        <v>0</v>
      </c>
      <c r="FO42" s="194">
        <f t="shared" si="152"/>
        <v>0</v>
      </c>
      <c r="FP42" s="194">
        <f t="shared" si="152"/>
        <v>0</v>
      </c>
      <c r="FQ42" s="194">
        <f t="shared" si="152"/>
        <v>0</v>
      </c>
      <c r="FR42" s="194">
        <f t="shared" si="152"/>
        <v>0</v>
      </c>
      <c r="FS42" s="194">
        <f t="shared" si="152"/>
        <v>0</v>
      </c>
      <c r="FT42" s="194">
        <f t="shared" si="152"/>
        <v>0</v>
      </c>
      <c r="FU42" s="194">
        <f t="shared" si="152"/>
        <v>0</v>
      </c>
      <c r="FV42" s="194">
        <f t="shared" si="152"/>
        <v>0</v>
      </c>
      <c r="FW42" s="194">
        <f t="shared" si="152"/>
        <v>0</v>
      </c>
      <c r="FX42" s="194">
        <f t="shared" si="152"/>
        <v>0</v>
      </c>
      <c r="FY42" s="194">
        <f t="shared" si="152"/>
        <v>0</v>
      </c>
      <c r="FZ42" s="194">
        <f t="shared" ref="FZ42:GO42" si="153">FZ23+FZ24+FZ26+FZ27+FZ28</f>
        <v>0</v>
      </c>
      <c r="GA42" s="194">
        <f t="shared" si="153"/>
        <v>0</v>
      </c>
      <c r="GB42" s="194">
        <f t="shared" si="153"/>
        <v>0</v>
      </c>
      <c r="GC42" s="194">
        <f t="shared" si="153"/>
        <v>0</v>
      </c>
      <c r="GD42" s="194">
        <f t="shared" si="153"/>
        <v>0</v>
      </c>
      <c r="GE42" s="194">
        <f t="shared" si="153"/>
        <v>0</v>
      </c>
      <c r="GF42" s="194">
        <f t="shared" si="153"/>
        <v>0</v>
      </c>
      <c r="GG42" s="194">
        <f t="shared" si="153"/>
        <v>0</v>
      </c>
      <c r="GH42" s="194">
        <f t="shared" si="153"/>
        <v>0</v>
      </c>
      <c r="GI42" s="194">
        <f t="shared" si="153"/>
        <v>0</v>
      </c>
      <c r="GJ42" s="194">
        <f t="shared" si="153"/>
        <v>0</v>
      </c>
      <c r="GK42" s="194">
        <f t="shared" si="153"/>
        <v>0</v>
      </c>
      <c r="GL42" s="194">
        <f t="shared" si="153"/>
        <v>0</v>
      </c>
      <c r="GM42" s="194">
        <f t="shared" si="153"/>
        <v>0</v>
      </c>
      <c r="GN42" s="194">
        <f t="shared" si="153"/>
        <v>0</v>
      </c>
      <c r="GO42" s="194">
        <f t="shared" si="153"/>
        <v>0</v>
      </c>
      <c r="GP42" s="194">
        <f t="shared" ref="GP42:HT42" si="154">GP23+GP24+GP26+GP27+GP28</f>
        <v>0</v>
      </c>
      <c r="GQ42" s="194">
        <f t="shared" si="154"/>
        <v>0</v>
      </c>
      <c r="GR42" s="194">
        <f t="shared" si="154"/>
        <v>0</v>
      </c>
      <c r="GS42" s="194">
        <f t="shared" si="154"/>
        <v>0</v>
      </c>
      <c r="GT42" s="194">
        <f t="shared" si="154"/>
        <v>0</v>
      </c>
      <c r="GU42" s="194">
        <f t="shared" si="154"/>
        <v>0</v>
      </c>
      <c r="GV42" s="194">
        <f t="shared" si="154"/>
        <v>0</v>
      </c>
      <c r="GW42" s="194">
        <f t="shared" si="154"/>
        <v>2.5</v>
      </c>
      <c r="GX42" s="194">
        <f t="shared" si="154"/>
        <v>0</v>
      </c>
      <c r="GY42" s="194">
        <f t="shared" si="154"/>
        <v>0</v>
      </c>
      <c r="GZ42" s="194">
        <f t="shared" si="154"/>
        <v>0</v>
      </c>
      <c r="HA42" s="194">
        <f t="shared" si="154"/>
        <v>0</v>
      </c>
      <c r="HB42" s="194">
        <f t="shared" si="154"/>
        <v>0</v>
      </c>
      <c r="HC42" s="194">
        <f t="shared" si="154"/>
        <v>0</v>
      </c>
      <c r="HD42" s="194">
        <f t="shared" si="154"/>
        <v>0</v>
      </c>
      <c r="HE42" s="194">
        <f t="shared" si="154"/>
        <v>0</v>
      </c>
      <c r="HF42" s="194">
        <f t="shared" si="154"/>
        <v>0</v>
      </c>
      <c r="HG42" s="194">
        <f t="shared" si="154"/>
        <v>0</v>
      </c>
      <c r="HH42" s="194">
        <f t="shared" si="154"/>
        <v>0</v>
      </c>
      <c r="HI42" s="194">
        <f t="shared" si="154"/>
        <v>0</v>
      </c>
      <c r="HJ42" s="194">
        <f t="shared" si="154"/>
        <v>0</v>
      </c>
      <c r="HK42" s="194">
        <f t="shared" si="154"/>
        <v>0</v>
      </c>
      <c r="HL42" s="194">
        <f t="shared" si="154"/>
        <v>0</v>
      </c>
      <c r="HM42" s="194">
        <f t="shared" si="154"/>
        <v>0</v>
      </c>
      <c r="HN42" s="194">
        <f t="shared" si="154"/>
        <v>0</v>
      </c>
      <c r="HO42" s="194">
        <f t="shared" si="154"/>
        <v>0</v>
      </c>
      <c r="HP42" s="194">
        <f t="shared" si="154"/>
        <v>0</v>
      </c>
      <c r="HQ42" s="194">
        <f t="shared" si="154"/>
        <v>0</v>
      </c>
      <c r="HR42" s="194">
        <f t="shared" si="154"/>
        <v>0</v>
      </c>
      <c r="HS42" s="194">
        <f t="shared" si="154"/>
        <v>0</v>
      </c>
      <c r="HT42" s="194">
        <f t="shared" si="154"/>
        <v>0</v>
      </c>
      <c r="HU42" s="194"/>
    </row>
    <row r="43" spans="1:229" x14ac:dyDescent="0.25">
      <c r="B43" s="495"/>
      <c r="C43" s="8" t="s">
        <v>80</v>
      </c>
      <c r="E43" s="194">
        <f>E22/2+E25+E30+E31</f>
        <v>0</v>
      </c>
      <c r="F43" s="194">
        <f t="shared" ref="F43:BQ43" si="155">F22/2+F25+F30+F31</f>
        <v>0</v>
      </c>
      <c r="G43" s="194">
        <f t="shared" si="155"/>
        <v>0</v>
      </c>
      <c r="H43" s="194">
        <f t="shared" si="155"/>
        <v>0</v>
      </c>
      <c r="I43" s="194">
        <f t="shared" si="155"/>
        <v>0</v>
      </c>
      <c r="J43" s="194">
        <f t="shared" si="155"/>
        <v>0</v>
      </c>
      <c r="K43" s="194">
        <f t="shared" si="155"/>
        <v>0</v>
      </c>
      <c r="L43" s="194">
        <f t="shared" si="155"/>
        <v>0</v>
      </c>
      <c r="M43" s="194">
        <f t="shared" si="155"/>
        <v>0</v>
      </c>
      <c r="N43" s="194">
        <f t="shared" si="155"/>
        <v>0</v>
      </c>
      <c r="O43" s="292">
        <f t="shared" si="155"/>
        <v>0</v>
      </c>
      <c r="P43" s="194">
        <f t="shared" si="155"/>
        <v>0</v>
      </c>
      <c r="Q43" s="194">
        <f t="shared" si="155"/>
        <v>0</v>
      </c>
      <c r="R43" s="194">
        <f t="shared" si="155"/>
        <v>0</v>
      </c>
      <c r="S43" s="194">
        <f t="shared" si="155"/>
        <v>0</v>
      </c>
      <c r="T43" s="194">
        <f t="shared" si="155"/>
        <v>0</v>
      </c>
      <c r="U43" s="194">
        <f t="shared" si="155"/>
        <v>0</v>
      </c>
      <c r="V43" s="194">
        <f t="shared" si="155"/>
        <v>0</v>
      </c>
      <c r="W43" s="194">
        <f t="shared" si="155"/>
        <v>0</v>
      </c>
      <c r="X43" s="194">
        <f t="shared" si="155"/>
        <v>0</v>
      </c>
      <c r="Y43" s="194">
        <f t="shared" si="155"/>
        <v>0</v>
      </c>
      <c r="Z43" s="194">
        <f t="shared" si="155"/>
        <v>0</v>
      </c>
      <c r="AA43" s="194">
        <f t="shared" si="155"/>
        <v>0</v>
      </c>
      <c r="AB43" s="194">
        <f t="shared" si="155"/>
        <v>0</v>
      </c>
      <c r="AC43" s="194">
        <f t="shared" si="155"/>
        <v>0</v>
      </c>
      <c r="AD43" s="194">
        <f t="shared" si="155"/>
        <v>0</v>
      </c>
      <c r="AE43" s="194">
        <f t="shared" si="155"/>
        <v>0</v>
      </c>
      <c r="AF43" s="194">
        <f t="shared" si="155"/>
        <v>0</v>
      </c>
      <c r="AG43" s="194">
        <f t="shared" si="155"/>
        <v>0</v>
      </c>
      <c r="AH43" s="194">
        <f t="shared" si="155"/>
        <v>0</v>
      </c>
      <c r="AI43" s="194">
        <f t="shared" si="155"/>
        <v>0</v>
      </c>
      <c r="AJ43" s="194">
        <f t="shared" si="155"/>
        <v>0</v>
      </c>
      <c r="AK43" s="194">
        <f t="shared" si="155"/>
        <v>0</v>
      </c>
      <c r="AL43" s="194">
        <f t="shared" si="155"/>
        <v>0</v>
      </c>
      <c r="AM43" s="194">
        <f t="shared" si="155"/>
        <v>0</v>
      </c>
      <c r="AN43" s="194">
        <f t="shared" si="155"/>
        <v>0</v>
      </c>
      <c r="AO43" s="194">
        <f t="shared" si="155"/>
        <v>0</v>
      </c>
      <c r="AP43" s="194">
        <f t="shared" si="155"/>
        <v>0</v>
      </c>
      <c r="AQ43" s="194">
        <f t="shared" si="155"/>
        <v>0</v>
      </c>
      <c r="AR43" s="194">
        <f t="shared" si="155"/>
        <v>0</v>
      </c>
      <c r="AS43" s="194">
        <f t="shared" si="155"/>
        <v>0</v>
      </c>
      <c r="AT43" s="194">
        <f t="shared" si="155"/>
        <v>0</v>
      </c>
      <c r="AU43" s="194">
        <f t="shared" si="155"/>
        <v>0</v>
      </c>
      <c r="AV43" s="194">
        <f t="shared" si="155"/>
        <v>0</v>
      </c>
      <c r="AW43" s="194">
        <f t="shared" si="155"/>
        <v>0</v>
      </c>
      <c r="AX43" s="194">
        <f t="shared" si="155"/>
        <v>0</v>
      </c>
      <c r="AY43" s="194">
        <f t="shared" si="155"/>
        <v>0</v>
      </c>
      <c r="AZ43" s="194">
        <f t="shared" si="155"/>
        <v>21.4</v>
      </c>
      <c r="BA43" s="194">
        <f t="shared" si="155"/>
        <v>0</v>
      </c>
      <c r="BB43" s="194">
        <f t="shared" si="155"/>
        <v>0</v>
      </c>
      <c r="BC43" s="194">
        <f t="shared" si="155"/>
        <v>0</v>
      </c>
      <c r="BD43" s="194">
        <f t="shared" si="155"/>
        <v>0</v>
      </c>
      <c r="BE43" s="194">
        <f t="shared" si="155"/>
        <v>0</v>
      </c>
      <c r="BF43" s="194">
        <f t="shared" si="155"/>
        <v>8</v>
      </c>
      <c r="BG43" s="194">
        <f t="shared" si="155"/>
        <v>0</v>
      </c>
      <c r="BH43" s="194">
        <f t="shared" si="155"/>
        <v>0</v>
      </c>
      <c r="BI43" s="194">
        <f t="shared" si="155"/>
        <v>0</v>
      </c>
      <c r="BJ43" s="194">
        <f t="shared" si="155"/>
        <v>0</v>
      </c>
      <c r="BK43" s="194">
        <f t="shared" si="155"/>
        <v>0</v>
      </c>
      <c r="BL43" s="194">
        <f t="shared" si="155"/>
        <v>0</v>
      </c>
      <c r="BM43" s="194">
        <f t="shared" si="155"/>
        <v>0</v>
      </c>
      <c r="BN43" s="194">
        <f t="shared" si="155"/>
        <v>0</v>
      </c>
      <c r="BO43" s="194">
        <f t="shared" si="155"/>
        <v>8.1</v>
      </c>
      <c r="BP43" s="194">
        <f t="shared" si="155"/>
        <v>0</v>
      </c>
      <c r="BQ43" s="194">
        <f t="shared" si="155"/>
        <v>0</v>
      </c>
      <c r="BR43" s="194">
        <f t="shared" ref="BR43:CW43" si="156">BR22/2+BR25+BR30+BR31</f>
        <v>0</v>
      </c>
      <c r="BS43" s="194">
        <f t="shared" si="156"/>
        <v>4.9000000000000004</v>
      </c>
      <c r="BT43" s="194">
        <f t="shared" si="156"/>
        <v>0</v>
      </c>
      <c r="BU43" s="194">
        <f t="shared" si="156"/>
        <v>3.9</v>
      </c>
      <c r="BV43" s="194">
        <f t="shared" si="156"/>
        <v>0</v>
      </c>
      <c r="BW43" s="194">
        <f t="shared" si="156"/>
        <v>0</v>
      </c>
      <c r="BX43" s="194">
        <f t="shared" si="156"/>
        <v>0</v>
      </c>
      <c r="BY43" s="194">
        <f t="shared" si="156"/>
        <v>0</v>
      </c>
      <c r="BZ43" s="194">
        <f t="shared" si="156"/>
        <v>0</v>
      </c>
      <c r="CA43" s="194">
        <f t="shared" si="156"/>
        <v>0</v>
      </c>
      <c r="CB43" s="194">
        <f t="shared" si="156"/>
        <v>0</v>
      </c>
      <c r="CC43" s="194">
        <f t="shared" si="156"/>
        <v>0</v>
      </c>
      <c r="CD43" s="194">
        <f t="shared" si="156"/>
        <v>0</v>
      </c>
      <c r="CE43" s="194">
        <f t="shared" si="156"/>
        <v>0</v>
      </c>
      <c r="CF43" s="194">
        <f t="shared" si="156"/>
        <v>0</v>
      </c>
      <c r="CG43" s="194">
        <f t="shared" si="156"/>
        <v>0</v>
      </c>
      <c r="CH43" s="194">
        <f t="shared" si="156"/>
        <v>0</v>
      </c>
      <c r="CI43" s="194">
        <f t="shared" si="156"/>
        <v>0</v>
      </c>
      <c r="CJ43" s="194">
        <f t="shared" si="156"/>
        <v>0</v>
      </c>
      <c r="CK43" s="194">
        <f t="shared" si="156"/>
        <v>0</v>
      </c>
      <c r="CL43" s="194">
        <f t="shared" si="156"/>
        <v>0</v>
      </c>
      <c r="CM43" s="194">
        <f t="shared" si="156"/>
        <v>6.3</v>
      </c>
      <c r="CN43" s="194">
        <f t="shared" si="156"/>
        <v>0</v>
      </c>
      <c r="CO43" s="194">
        <f t="shared" si="156"/>
        <v>0</v>
      </c>
      <c r="CP43" s="194">
        <f t="shared" si="156"/>
        <v>0</v>
      </c>
      <c r="CQ43" s="194">
        <f t="shared" si="156"/>
        <v>0</v>
      </c>
      <c r="CR43" s="194">
        <f t="shared" si="156"/>
        <v>0</v>
      </c>
      <c r="CS43" s="194">
        <f t="shared" si="156"/>
        <v>0</v>
      </c>
      <c r="CT43" s="194">
        <f t="shared" si="156"/>
        <v>0</v>
      </c>
      <c r="CU43" s="194">
        <f t="shared" si="156"/>
        <v>0</v>
      </c>
      <c r="CV43" s="194">
        <f t="shared" si="156"/>
        <v>0</v>
      </c>
      <c r="CW43" s="194">
        <f t="shared" si="156"/>
        <v>0</v>
      </c>
      <c r="CX43" s="194">
        <f t="shared" ref="CX43:DE43" si="157">CX22/2+CX25+CX30+CX31</f>
        <v>0</v>
      </c>
      <c r="CY43" s="194">
        <f t="shared" si="157"/>
        <v>0</v>
      </c>
      <c r="CZ43" s="194">
        <f t="shared" si="157"/>
        <v>0</v>
      </c>
      <c r="DA43" s="194">
        <f t="shared" si="157"/>
        <v>0</v>
      </c>
      <c r="DB43" s="194">
        <f t="shared" si="157"/>
        <v>0</v>
      </c>
      <c r="DC43" s="194">
        <f t="shared" si="157"/>
        <v>0</v>
      </c>
      <c r="DD43" s="194">
        <f t="shared" si="157"/>
        <v>0</v>
      </c>
      <c r="DE43" s="194">
        <f t="shared" si="157"/>
        <v>0</v>
      </c>
      <c r="DF43" s="194">
        <f t="shared" ref="DF43:DK43" si="158">DF22/2+DF25+DF30+DF31</f>
        <v>0</v>
      </c>
      <c r="DG43" s="194">
        <f t="shared" si="158"/>
        <v>0</v>
      </c>
      <c r="DH43" s="194">
        <f t="shared" si="158"/>
        <v>0</v>
      </c>
      <c r="DI43" s="194">
        <f t="shared" si="158"/>
        <v>0</v>
      </c>
      <c r="DJ43" s="194">
        <f t="shared" si="158"/>
        <v>0</v>
      </c>
      <c r="DK43" s="194">
        <f t="shared" si="158"/>
        <v>0</v>
      </c>
      <c r="DL43" s="194">
        <f t="shared" ref="DL43:DR43" si="159">DL22/2+DL25+DL30+DL31</f>
        <v>0</v>
      </c>
      <c r="DM43" s="194">
        <f t="shared" si="159"/>
        <v>0</v>
      </c>
      <c r="DN43" s="194">
        <f t="shared" si="159"/>
        <v>0</v>
      </c>
      <c r="DO43" s="194">
        <f t="shared" si="159"/>
        <v>0</v>
      </c>
      <c r="DP43" s="194">
        <f t="shared" si="159"/>
        <v>0</v>
      </c>
      <c r="DQ43" s="194">
        <f t="shared" si="159"/>
        <v>0</v>
      </c>
      <c r="DR43" s="194">
        <f t="shared" si="159"/>
        <v>0</v>
      </c>
      <c r="DS43" s="194">
        <f t="shared" ref="DS43:EF43" si="160">DS22/2+DS25+DS30+DS31</f>
        <v>0</v>
      </c>
      <c r="DT43" s="194">
        <f t="shared" si="160"/>
        <v>0</v>
      </c>
      <c r="DU43" s="194">
        <f t="shared" si="160"/>
        <v>0</v>
      </c>
      <c r="DV43" s="194">
        <f t="shared" si="160"/>
        <v>0</v>
      </c>
      <c r="DW43" s="194">
        <f t="shared" si="160"/>
        <v>0</v>
      </c>
      <c r="DX43" s="194">
        <f t="shared" si="160"/>
        <v>0</v>
      </c>
      <c r="DY43" s="194">
        <f t="shared" si="160"/>
        <v>0</v>
      </c>
      <c r="DZ43" s="194">
        <f t="shared" si="160"/>
        <v>0</v>
      </c>
      <c r="EA43" s="194">
        <f t="shared" si="160"/>
        <v>0</v>
      </c>
      <c r="EB43" s="194">
        <f t="shared" si="160"/>
        <v>0</v>
      </c>
      <c r="EC43" s="194">
        <f t="shared" si="160"/>
        <v>0</v>
      </c>
      <c r="ED43" s="194">
        <f t="shared" si="160"/>
        <v>0</v>
      </c>
      <c r="EE43" s="194">
        <f t="shared" si="160"/>
        <v>0</v>
      </c>
      <c r="EF43" s="194">
        <f t="shared" si="160"/>
        <v>0</v>
      </c>
      <c r="EG43" s="194">
        <f t="shared" ref="EG43:EZ43" si="161">EG22/2+EG25+EG30+EG31</f>
        <v>0</v>
      </c>
      <c r="EH43" s="194">
        <f t="shared" si="161"/>
        <v>0</v>
      </c>
      <c r="EI43" s="194">
        <f t="shared" si="161"/>
        <v>0</v>
      </c>
      <c r="EJ43" s="194">
        <f t="shared" si="161"/>
        <v>0</v>
      </c>
      <c r="EK43" s="194">
        <f t="shared" si="161"/>
        <v>0</v>
      </c>
      <c r="EL43" s="194">
        <f t="shared" si="161"/>
        <v>0</v>
      </c>
      <c r="EM43" s="194">
        <f t="shared" si="161"/>
        <v>0</v>
      </c>
      <c r="EN43" s="194">
        <f t="shared" si="161"/>
        <v>0</v>
      </c>
      <c r="EO43" s="194">
        <f t="shared" si="161"/>
        <v>0</v>
      </c>
      <c r="EP43" s="194">
        <f t="shared" si="161"/>
        <v>0</v>
      </c>
      <c r="EQ43" s="194">
        <f t="shared" si="161"/>
        <v>0</v>
      </c>
      <c r="ER43" s="194">
        <f t="shared" si="161"/>
        <v>0</v>
      </c>
      <c r="ES43" s="194">
        <f t="shared" si="161"/>
        <v>0</v>
      </c>
      <c r="ET43" s="194">
        <f t="shared" si="161"/>
        <v>0</v>
      </c>
      <c r="EU43" s="194">
        <f t="shared" si="161"/>
        <v>0</v>
      </c>
      <c r="EV43" s="194">
        <f t="shared" si="161"/>
        <v>0</v>
      </c>
      <c r="EW43" s="194">
        <f t="shared" si="161"/>
        <v>0</v>
      </c>
      <c r="EX43" s="194">
        <f t="shared" si="161"/>
        <v>0</v>
      </c>
      <c r="EY43" s="194">
        <f t="shared" si="161"/>
        <v>0</v>
      </c>
      <c r="EZ43" s="194">
        <f t="shared" si="161"/>
        <v>0</v>
      </c>
      <c r="FA43" s="194">
        <f t="shared" ref="FA43:FJ43" si="162">FA22/2+FA25+FA30+FA31</f>
        <v>0</v>
      </c>
      <c r="FB43" s="194">
        <f t="shared" si="162"/>
        <v>0</v>
      </c>
      <c r="FC43" s="194">
        <f t="shared" si="162"/>
        <v>0</v>
      </c>
      <c r="FD43" s="194">
        <f t="shared" si="162"/>
        <v>0</v>
      </c>
      <c r="FE43" s="194">
        <f t="shared" si="162"/>
        <v>1.8</v>
      </c>
      <c r="FF43" s="194">
        <f t="shared" si="162"/>
        <v>0</v>
      </c>
      <c r="FG43" s="194">
        <f t="shared" si="162"/>
        <v>0</v>
      </c>
      <c r="FH43" s="194">
        <f t="shared" si="162"/>
        <v>0</v>
      </c>
      <c r="FI43" s="194">
        <f t="shared" si="162"/>
        <v>0</v>
      </c>
      <c r="FJ43" s="194">
        <f t="shared" si="162"/>
        <v>0</v>
      </c>
      <c r="FK43" s="194">
        <f t="shared" ref="FK43:FY43" si="163">FK22/2+FK25+FK30+FK31</f>
        <v>0</v>
      </c>
      <c r="FL43" s="194">
        <f t="shared" si="163"/>
        <v>0</v>
      </c>
      <c r="FM43" s="194">
        <f t="shared" si="163"/>
        <v>0</v>
      </c>
      <c r="FN43" s="194">
        <f t="shared" si="163"/>
        <v>0</v>
      </c>
      <c r="FO43" s="194">
        <f t="shared" si="163"/>
        <v>0</v>
      </c>
      <c r="FP43" s="194">
        <f t="shared" si="163"/>
        <v>0</v>
      </c>
      <c r="FQ43" s="194">
        <f t="shared" si="163"/>
        <v>0</v>
      </c>
      <c r="FR43" s="194">
        <f t="shared" si="163"/>
        <v>0</v>
      </c>
      <c r="FS43" s="194">
        <f t="shared" si="163"/>
        <v>0</v>
      </c>
      <c r="FT43" s="194">
        <f t="shared" si="163"/>
        <v>0</v>
      </c>
      <c r="FU43" s="194">
        <f t="shared" si="163"/>
        <v>0</v>
      </c>
      <c r="FV43" s="194">
        <f t="shared" si="163"/>
        <v>0</v>
      </c>
      <c r="FW43" s="194">
        <f t="shared" si="163"/>
        <v>0</v>
      </c>
      <c r="FX43" s="194">
        <f t="shared" si="163"/>
        <v>0</v>
      </c>
      <c r="FY43" s="194">
        <f t="shared" si="163"/>
        <v>0</v>
      </c>
      <c r="FZ43" s="194">
        <f t="shared" ref="FZ43:GO43" si="164">FZ22/2+FZ25+FZ30+FZ31</f>
        <v>0</v>
      </c>
      <c r="GA43" s="194">
        <f t="shared" si="164"/>
        <v>0</v>
      </c>
      <c r="GB43" s="194">
        <f t="shared" si="164"/>
        <v>0</v>
      </c>
      <c r="GC43" s="194">
        <f t="shared" si="164"/>
        <v>0</v>
      </c>
      <c r="GD43" s="194">
        <f t="shared" si="164"/>
        <v>0</v>
      </c>
      <c r="GE43" s="194">
        <f t="shared" si="164"/>
        <v>0</v>
      </c>
      <c r="GF43" s="194">
        <f t="shared" si="164"/>
        <v>0</v>
      </c>
      <c r="GG43" s="194">
        <f t="shared" si="164"/>
        <v>0</v>
      </c>
      <c r="GH43" s="194">
        <f t="shared" si="164"/>
        <v>0</v>
      </c>
      <c r="GI43" s="194">
        <f t="shared" si="164"/>
        <v>0</v>
      </c>
      <c r="GJ43" s="194">
        <f t="shared" si="164"/>
        <v>0</v>
      </c>
      <c r="GK43" s="194">
        <f t="shared" si="164"/>
        <v>0</v>
      </c>
      <c r="GL43" s="194">
        <f t="shared" si="164"/>
        <v>0</v>
      </c>
      <c r="GM43" s="194">
        <f t="shared" si="164"/>
        <v>0</v>
      </c>
      <c r="GN43" s="194">
        <f t="shared" si="164"/>
        <v>0</v>
      </c>
      <c r="GO43" s="194">
        <f t="shared" si="164"/>
        <v>0</v>
      </c>
      <c r="GP43" s="194">
        <f t="shared" ref="GP43:HT43" si="165">GP22/2+GP25+GP30+GP31</f>
        <v>0</v>
      </c>
      <c r="GQ43" s="194">
        <f t="shared" si="165"/>
        <v>0</v>
      </c>
      <c r="GR43" s="194">
        <f t="shared" si="165"/>
        <v>0</v>
      </c>
      <c r="GS43" s="194">
        <f t="shared" si="165"/>
        <v>0</v>
      </c>
      <c r="GT43" s="194">
        <f t="shared" si="165"/>
        <v>0</v>
      </c>
      <c r="GU43" s="194">
        <f t="shared" si="165"/>
        <v>0</v>
      </c>
      <c r="GV43" s="194">
        <f t="shared" si="165"/>
        <v>0</v>
      </c>
      <c r="GW43" s="194">
        <f t="shared" si="165"/>
        <v>0</v>
      </c>
      <c r="GX43" s="194">
        <f t="shared" si="165"/>
        <v>26</v>
      </c>
      <c r="GY43" s="194">
        <f t="shared" si="165"/>
        <v>0</v>
      </c>
      <c r="GZ43" s="194">
        <f t="shared" si="165"/>
        <v>0</v>
      </c>
      <c r="HA43" s="194">
        <f t="shared" si="165"/>
        <v>0</v>
      </c>
      <c r="HB43" s="194">
        <f t="shared" si="165"/>
        <v>36</v>
      </c>
      <c r="HC43" s="194">
        <f t="shared" si="165"/>
        <v>0</v>
      </c>
      <c r="HD43" s="194">
        <f t="shared" si="165"/>
        <v>0</v>
      </c>
      <c r="HE43" s="194">
        <f t="shared" si="165"/>
        <v>0</v>
      </c>
      <c r="HF43" s="194">
        <f t="shared" si="165"/>
        <v>0</v>
      </c>
      <c r="HG43" s="194">
        <f t="shared" si="165"/>
        <v>0</v>
      </c>
      <c r="HH43" s="194">
        <f t="shared" si="165"/>
        <v>0</v>
      </c>
      <c r="HI43" s="194">
        <f t="shared" si="165"/>
        <v>0</v>
      </c>
      <c r="HJ43" s="194">
        <f t="shared" si="165"/>
        <v>0</v>
      </c>
      <c r="HK43" s="194">
        <f t="shared" si="165"/>
        <v>0</v>
      </c>
      <c r="HL43" s="194">
        <f t="shared" si="165"/>
        <v>0</v>
      </c>
      <c r="HM43" s="194">
        <f t="shared" si="165"/>
        <v>0</v>
      </c>
      <c r="HN43" s="194">
        <f t="shared" si="165"/>
        <v>0</v>
      </c>
      <c r="HO43" s="194">
        <f t="shared" si="165"/>
        <v>0</v>
      </c>
      <c r="HP43" s="194">
        <f t="shared" si="165"/>
        <v>0</v>
      </c>
      <c r="HQ43" s="194">
        <f t="shared" si="165"/>
        <v>0</v>
      </c>
      <c r="HR43" s="194">
        <f t="shared" si="165"/>
        <v>0</v>
      </c>
      <c r="HS43" s="194">
        <f t="shared" si="165"/>
        <v>0</v>
      </c>
      <c r="HT43" s="194">
        <f t="shared" si="165"/>
        <v>0</v>
      </c>
      <c r="HU43" s="194"/>
    </row>
    <row r="44" spans="1:229" x14ac:dyDescent="0.25">
      <c r="B44" s="495"/>
      <c r="C44" s="8" t="s">
        <v>89</v>
      </c>
      <c r="E44">
        <f>E22/2+E29+E32</f>
        <v>0</v>
      </c>
      <c r="F44">
        <f t="shared" ref="F44:BQ44" si="166">F22/2+F29+F32</f>
        <v>0</v>
      </c>
      <c r="G44">
        <f t="shared" si="166"/>
        <v>0</v>
      </c>
      <c r="H44">
        <f t="shared" si="166"/>
        <v>0</v>
      </c>
      <c r="I44">
        <f t="shared" si="166"/>
        <v>0</v>
      </c>
      <c r="J44">
        <f t="shared" si="166"/>
        <v>0</v>
      </c>
      <c r="K44">
        <f t="shared" si="166"/>
        <v>0</v>
      </c>
      <c r="L44">
        <f t="shared" si="166"/>
        <v>0</v>
      </c>
      <c r="M44">
        <f t="shared" si="166"/>
        <v>0</v>
      </c>
      <c r="N44">
        <f t="shared" si="166"/>
        <v>0</v>
      </c>
      <c r="O44" s="293">
        <f t="shared" si="166"/>
        <v>0</v>
      </c>
      <c r="P44">
        <f t="shared" si="166"/>
        <v>0</v>
      </c>
      <c r="Q44">
        <f t="shared" si="166"/>
        <v>0</v>
      </c>
      <c r="R44">
        <f t="shared" si="166"/>
        <v>0</v>
      </c>
      <c r="S44">
        <f t="shared" si="166"/>
        <v>0</v>
      </c>
      <c r="T44">
        <f t="shared" si="166"/>
        <v>0</v>
      </c>
      <c r="U44">
        <f t="shared" si="166"/>
        <v>0</v>
      </c>
      <c r="V44">
        <f t="shared" si="166"/>
        <v>0</v>
      </c>
      <c r="W44">
        <f t="shared" si="166"/>
        <v>0</v>
      </c>
      <c r="X44">
        <f t="shared" si="166"/>
        <v>0</v>
      </c>
      <c r="Y44">
        <f t="shared" si="166"/>
        <v>0</v>
      </c>
      <c r="Z44">
        <f t="shared" si="166"/>
        <v>0</v>
      </c>
      <c r="AA44">
        <f t="shared" si="166"/>
        <v>0</v>
      </c>
      <c r="AB44">
        <f t="shared" si="166"/>
        <v>0</v>
      </c>
      <c r="AC44">
        <f t="shared" si="166"/>
        <v>0</v>
      </c>
      <c r="AD44">
        <f t="shared" si="166"/>
        <v>0</v>
      </c>
      <c r="AE44">
        <f t="shared" si="166"/>
        <v>0</v>
      </c>
      <c r="AF44">
        <f t="shared" si="166"/>
        <v>0</v>
      </c>
      <c r="AG44">
        <f t="shared" si="166"/>
        <v>0</v>
      </c>
      <c r="AH44">
        <f t="shared" si="166"/>
        <v>0</v>
      </c>
      <c r="AI44">
        <f t="shared" si="166"/>
        <v>0</v>
      </c>
      <c r="AJ44">
        <f t="shared" si="166"/>
        <v>0</v>
      </c>
      <c r="AK44">
        <f t="shared" si="166"/>
        <v>0</v>
      </c>
      <c r="AL44">
        <f t="shared" si="166"/>
        <v>0</v>
      </c>
      <c r="AM44">
        <f t="shared" si="166"/>
        <v>0</v>
      </c>
      <c r="AN44">
        <f t="shared" si="166"/>
        <v>0</v>
      </c>
      <c r="AO44">
        <f t="shared" si="166"/>
        <v>0</v>
      </c>
      <c r="AP44">
        <f t="shared" si="166"/>
        <v>0</v>
      </c>
      <c r="AQ44">
        <f t="shared" si="166"/>
        <v>0</v>
      </c>
      <c r="AR44">
        <f t="shared" si="166"/>
        <v>0</v>
      </c>
      <c r="AS44">
        <f t="shared" si="166"/>
        <v>0</v>
      </c>
      <c r="AT44">
        <f t="shared" si="166"/>
        <v>0</v>
      </c>
      <c r="AU44">
        <f t="shared" si="166"/>
        <v>0</v>
      </c>
      <c r="AV44">
        <f t="shared" si="166"/>
        <v>0</v>
      </c>
      <c r="AW44">
        <f t="shared" si="166"/>
        <v>0</v>
      </c>
      <c r="AX44">
        <f t="shared" si="166"/>
        <v>0</v>
      </c>
      <c r="AY44">
        <f t="shared" si="166"/>
        <v>0</v>
      </c>
      <c r="AZ44">
        <f t="shared" si="166"/>
        <v>0</v>
      </c>
      <c r="BA44">
        <f t="shared" si="166"/>
        <v>0</v>
      </c>
      <c r="BB44">
        <f t="shared" si="166"/>
        <v>0</v>
      </c>
      <c r="BC44">
        <f t="shared" si="166"/>
        <v>0</v>
      </c>
      <c r="BD44">
        <f t="shared" si="166"/>
        <v>0</v>
      </c>
      <c r="BE44">
        <f t="shared" si="166"/>
        <v>0</v>
      </c>
      <c r="BF44">
        <f t="shared" si="166"/>
        <v>0</v>
      </c>
      <c r="BG44">
        <f t="shared" si="166"/>
        <v>0</v>
      </c>
      <c r="BH44">
        <f t="shared" si="166"/>
        <v>0</v>
      </c>
      <c r="BI44">
        <f t="shared" si="166"/>
        <v>0</v>
      </c>
      <c r="BJ44">
        <f t="shared" si="166"/>
        <v>0</v>
      </c>
      <c r="BK44">
        <f t="shared" si="166"/>
        <v>0</v>
      </c>
      <c r="BL44">
        <f t="shared" si="166"/>
        <v>0</v>
      </c>
      <c r="BM44">
        <f t="shared" si="166"/>
        <v>0</v>
      </c>
      <c r="BN44">
        <f t="shared" si="166"/>
        <v>0</v>
      </c>
      <c r="BO44">
        <f t="shared" si="166"/>
        <v>0</v>
      </c>
      <c r="BP44">
        <f t="shared" si="166"/>
        <v>0</v>
      </c>
      <c r="BQ44">
        <f t="shared" si="166"/>
        <v>0</v>
      </c>
      <c r="BR44">
        <f t="shared" ref="BR44:CW44" si="167">BR22/2+BR29+BR32</f>
        <v>0</v>
      </c>
      <c r="BS44">
        <f t="shared" si="167"/>
        <v>0</v>
      </c>
      <c r="BT44">
        <f t="shared" si="167"/>
        <v>0</v>
      </c>
      <c r="BU44">
        <f t="shared" si="167"/>
        <v>0</v>
      </c>
      <c r="BV44">
        <f t="shared" si="167"/>
        <v>0</v>
      </c>
      <c r="BW44">
        <f t="shared" si="167"/>
        <v>0</v>
      </c>
      <c r="BX44">
        <f t="shared" si="167"/>
        <v>5.0999999999999996</v>
      </c>
      <c r="BY44">
        <f t="shared" si="167"/>
        <v>0</v>
      </c>
      <c r="BZ44">
        <f t="shared" si="167"/>
        <v>0</v>
      </c>
      <c r="CA44">
        <f t="shared" si="167"/>
        <v>0</v>
      </c>
      <c r="CB44">
        <f t="shared" si="167"/>
        <v>4.7</v>
      </c>
      <c r="CC44">
        <f t="shared" si="167"/>
        <v>0</v>
      </c>
      <c r="CD44">
        <f t="shared" si="167"/>
        <v>0</v>
      </c>
      <c r="CE44">
        <f t="shared" si="167"/>
        <v>0</v>
      </c>
      <c r="CF44">
        <f t="shared" si="167"/>
        <v>0</v>
      </c>
      <c r="CG44">
        <f t="shared" si="167"/>
        <v>0</v>
      </c>
      <c r="CH44">
        <f t="shared" si="167"/>
        <v>0</v>
      </c>
      <c r="CI44">
        <f t="shared" si="167"/>
        <v>0</v>
      </c>
      <c r="CJ44">
        <f t="shared" si="167"/>
        <v>24.1</v>
      </c>
      <c r="CK44">
        <f t="shared" si="167"/>
        <v>0</v>
      </c>
      <c r="CL44">
        <f t="shared" si="167"/>
        <v>0</v>
      </c>
      <c r="CM44">
        <f t="shared" si="167"/>
        <v>9</v>
      </c>
      <c r="CN44">
        <f t="shared" si="167"/>
        <v>0</v>
      </c>
      <c r="CO44">
        <f t="shared" si="167"/>
        <v>15.5</v>
      </c>
      <c r="CP44">
        <f t="shared" si="167"/>
        <v>0</v>
      </c>
      <c r="CQ44">
        <f t="shared" si="167"/>
        <v>0</v>
      </c>
      <c r="CR44">
        <f t="shared" si="167"/>
        <v>0</v>
      </c>
      <c r="CS44">
        <f t="shared" si="167"/>
        <v>0</v>
      </c>
      <c r="CT44">
        <f t="shared" si="167"/>
        <v>0</v>
      </c>
      <c r="CU44">
        <f t="shared" si="167"/>
        <v>0</v>
      </c>
      <c r="CV44">
        <f t="shared" si="167"/>
        <v>0</v>
      </c>
      <c r="CW44">
        <f t="shared" si="167"/>
        <v>0</v>
      </c>
      <c r="CX44">
        <f t="shared" ref="CX44:DE44" si="168">CX22/2+CX29+CX32</f>
        <v>0</v>
      </c>
      <c r="CY44">
        <f t="shared" si="168"/>
        <v>0</v>
      </c>
      <c r="CZ44">
        <f t="shared" si="168"/>
        <v>19</v>
      </c>
      <c r="DA44">
        <f t="shared" si="168"/>
        <v>0</v>
      </c>
      <c r="DB44">
        <f t="shared" si="168"/>
        <v>0</v>
      </c>
      <c r="DC44">
        <f t="shared" si="168"/>
        <v>0</v>
      </c>
      <c r="DD44">
        <f t="shared" si="168"/>
        <v>31</v>
      </c>
      <c r="DE44">
        <f t="shared" si="168"/>
        <v>0</v>
      </c>
      <c r="DF44">
        <f t="shared" ref="DF44:DK44" si="169">DF22/2+DF29+DF32</f>
        <v>0</v>
      </c>
      <c r="DG44">
        <f t="shared" si="169"/>
        <v>0</v>
      </c>
      <c r="DH44">
        <f t="shared" si="169"/>
        <v>0</v>
      </c>
      <c r="DI44">
        <f t="shared" si="169"/>
        <v>0</v>
      </c>
      <c r="DJ44">
        <f t="shared" si="169"/>
        <v>0</v>
      </c>
      <c r="DK44">
        <f t="shared" si="169"/>
        <v>0</v>
      </c>
      <c r="DL44">
        <f t="shared" ref="DL44:DR44" si="170">DL22/2+DL29+DL32</f>
        <v>0</v>
      </c>
      <c r="DM44">
        <f t="shared" si="170"/>
        <v>0</v>
      </c>
      <c r="DN44">
        <f t="shared" si="170"/>
        <v>0</v>
      </c>
      <c r="DO44">
        <f t="shared" si="170"/>
        <v>0</v>
      </c>
      <c r="DP44">
        <f t="shared" si="170"/>
        <v>0</v>
      </c>
      <c r="DQ44">
        <f t="shared" si="170"/>
        <v>0</v>
      </c>
      <c r="DR44">
        <f t="shared" si="170"/>
        <v>0</v>
      </c>
      <c r="DS44">
        <f t="shared" ref="DS44:EF44" si="171">DS22/2+DS29+DS32</f>
        <v>0</v>
      </c>
      <c r="DT44">
        <f t="shared" si="171"/>
        <v>0</v>
      </c>
      <c r="DU44">
        <f t="shared" si="171"/>
        <v>0</v>
      </c>
      <c r="DV44">
        <f t="shared" si="171"/>
        <v>0</v>
      </c>
      <c r="DW44">
        <f t="shared" si="171"/>
        <v>0</v>
      </c>
      <c r="DX44">
        <f t="shared" si="171"/>
        <v>0</v>
      </c>
      <c r="DY44">
        <f t="shared" si="171"/>
        <v>0</v>
      </c>
      <c r="DZ44">
        <f t="shared" si="171"/>
        <v>0</v>
      </c>
      <c r="EA44">
        <f t="shared" si="171"/>
        <v>0</v>
      </c>
      <c r="EB44">
        <f t="shared" si="171"/>
        <v>0</v>
      </c>
      <c r="EC44">
        <f t="shared" si="171"/>
        <v>0</v>
      </c>
      <c r="ED44">
        <f t="shared" si="171"/>
        <v>0</v>
      </c>
      <c r="EE44">
        <f t="shared" si="171"/>
        <v>0</v>
      </c>
      <c r="EF44">
        <f t="shared" si="171"/>
        <v>0</v>
      </c>
      <c r="EG44">
        <f t="shared" ref="EG44:EZ44" si="172">EG22/2+EG29+EG32</f>
        <v>0</v>
      </c>
      <c r="EH44">
        <f t="shared" si="172"/>
        <v>0</v>
      </c>
      <c r="EI44">
        <f t="shared" si="172"/>
        <v>0</v>
      </c>
      <c r="EJ44">
        <f t="shared" si="172"/>
        <v>0</v>
      </c>
      <c r="EK44">
        <f t="shared" si="172"/>
        <v>0</v>
      </c>
      <c r="EL44">
        <f t="shared" si="172"/>
        <v>0</v>
      </c>
      <c r="EM44">
        <f t="shared" si="172"/>
        <v>0</v>
      </c>
      <c r="EN44">
        <f t="shared" si="172"/>
        <v>0</v>
      </c>
      <c r="EO44">
        <f t="shared" si="172"/>
        <v>0</v>
      </c>
      <c r="EP44">
        <f t="shared" si="172"/>
        <v>0</v>
      </c>
      <c r="EQ44">
        <f t="shared" si="172"/>
        <v>0</v>
      </c>
      <c r="ER44">
        <f t="shared" si="172"/>
        <v>0</v>
      </c>
      <c r="ES44">
        <f t="shared" si="172"/>
        <v>30</v>
      </c>
      <c r="ET44">
        <f t="shared" si="172"/>
        <v>0</v>
      </c>
      <c r="EU44">
        <f t="shared" si="172"/>
        <v>0</v>
      </c>
      <c r="EV44">
        <f t="shared" si="172"/>
        <v>0</v>
      </c>
      <c r="EW44">
        <f t="shared" si="172"/>
        <v>0</v>
      </c>
      <c r="EX44">
        <f t="shared" si="172"/>
        <v>0</v>
      </c>
      <c r="EY44">
        <f t="shared" si="172"/>
        <v>0</v>
      </c>
      <c r="EZ44">
        <f t="shared" si="172"/>
        <v>0</v>
      </c>
      <c r="FA44">
        <f t="shared" ref="FA44:FJ44" si="173">FA22/2+FA29+FA32</f>
        <v>0</v>
      </c>
      <c r="FB44">
        <f t="shared" si="173"/>
        <v>0</v>
      </c>
      <c r="FC44">
        <f t="shared" si="173"/>
        <v>0</v>
      </c>
      <c r="FD44">
        <f t="shared" si="173"/>
        <v>0</v>
      </c>
      <c r="FE44">
        <f t="shared" si="173"/>
        <v>0</v>
      </c>
      <c r="FF44">
        <f t="shared" si="173"/>
        <v>0</v>
      </c>
      <c r="FG44">
        <f t="shared" si="173"/>
        <v>0</v>
      </c>
      <c r="FH44">
        <f t="shared" si="173"/>
        <v>0</v>
      </c>
      <c r="FI44">
        <f t="shared" si="173"/>
        <v>0</v>
      </c>
      <c r="FJ44">
        <f t="shared" si="173"/>
        <v>0</v>
      </c>
      <c r="FK44">
        <f t="shared" ref="FK44:FY44" si="174">FK22/2+FK29+FK32</f>
        <v>0</v>
      </c>
      <c r="FL44">
        <f t="shared" si="174"/>
        <v>0</v>
      </c>
      <c r="FM44">
        <f t="shared" si="174"/>
        <v>0</v>
      </c>
      <c r="FN44">
        <f t="shared" si="174"/>
        <v>0</v>
      </c>
      <c r="FO44">
        <f t="shared" si="174"/>
        <v>0</v>
      </c>
      <c r="FP44">
        <f t="shared" si="174"/>
        <v>0</v>
      </c>
      <c r="FQ44">
        <f t="shared" si="174"/>
        <v>0</v>
      </c>
      <c r="FR44">
        <f t="shared" si="174"/>
        <v>0</v>
      </c>
      <c r="FS44">
        <f t="shared" si="174"/>
        <v>0</v>
      </c>
      <c r="FT44">
        <f t="shared" si="174"/>
        <v>0</v>
      </c>
      <c r="FU44">
        <f t="shared" si="174"/>
        <v>0</v>
      </c>
      <c r="FV44">
        <f t="shared" si="174"/>
        <v>0</v>
      </c>
      <c r="FW44">
        <f t="shared" si="174"/>
        <v>0</v>
      </c>
      <c r="FX44">
        <f t="shared" si="174"/>
        <v>0</v>
      </c>
      <c r="FY44">
        <f t="shared" si="174"/>
        <v>0</v>
      </c>
      <c r="FZ44">
        <f t="shared" ref="FZ44:GO44" si="175">FZ22/2+FZ29+FZ32</f>
        <v>0</v>
      </c>
      <c r="GA44">
        <f t="shared" si="175"/>
        <v>0</v>
      </c>
      <c r="GB44">
        <f t="shared" si="175"/>
        <v>0</v>
      </c>
      <c r="GC44">
        <f t="shared" si="175"/>
        <v>0</v>
      </c>
      <c r="GD44">
        <f t="shared" si="175"/>
        <v>0</v>
      </c>
      <c r="GE44">
        <f t="shared" si="175"/>
        <v>0</v>
      </c>
      <c r="GF44">
        <f t="shared" si="175"/>
        <v>0</v>
      </c>
      <c r="GG44">
        <f t="shared" si="175"/>
        <v>0</v>
      </c>
      <c r="GH44">
        <f t="shared" si="175"/>
        <v>0</v>
      </c>
      <c r="GI44">
        <f t="shared" si="175"/>
        <v>0</v>
      </c>
      <c r="GJ44">
        <f t="shared" si="175"/>
        <v>0</v>
      </c>
      <c r="GK44">
        <f t="shared" si="175"/>
        <v>0</v>
      </c>
      <c r="GL44">
        <f t="shared" si="175"/>
        <v>0</v>
      </c>
      <c r="GM44">
        <f t="shared" si="175"/>
        <v>0</v>
      </c>
      <c r="GN44">
        <f t="shared" si="175"/>
        <v>0</v>
      </c>
      <c r="GO44">
        <f t="shared" si="175"/>
        <v>0</v>
      </c>
      <c r="GP44">
        <f t="shared" ref="GP44:HT44" si="176">GP22/2+GP29+GP32</f>
        <v>0</v>
      </c>
      <c r="GQ44">
        <f t="shared" si="176"/>
        <v>0</v>
      </c>
      <c r="GR44">
        <f t="shared" si="176"/>
        <v>3</v>
      </c>
      <c r="GS44">
        <f t="shared" si="176"/>
        <v>0</v>
      </c>
      <c r="GT44">
        <f t="shared" si="176"/>
        <v>0</v>
      </c>
      <c r="GU44">
        <f t="shared" si="176"/>
        <v>0</v>
      </c>
      <c r="GV44">
        <f t="shared" si="176"/>
        <v>0</v>
      </c>
      <c r="GW44">
        <f t="shared" si="176"/>
        <v>0</v>
      </c>
      <c r="GX44">
        <f t="shared" si="176"/>
        <v>0</v>
      </c>
      <c r="GY44">
        <f t="shared" si="176"/>
        <v>0</v>
      </c>
      <c r="GZ44">
        <f t="shared" si="176"/>
        <v>0</v>
      </c>
      <c r="HA44">
        <f t="shared" si="176"/>
        <v>0</v>
      </c>
      <c r="HB44">
        <f t="shared" si="176"/>
        <v>0</v>
      </c>
      <c r="HC44">
        <f t="shared" si="176"/>
        <v>0</v>
      </c>
      <c r="HD44">
        <f t="shared" si="176"/>
        <v>0</v>
      </c>
      <c r="HE44">
        <f t="shared" si="176"/>
        <v>0</v>
      </c>
      <c r="HF44">
        <f t="shared" si="176"/>
        <v>0</v>
      </c>
      <c r="HG44">
        <f t="shared" si="176"/>
        <v>0</v>
      </c>
      <c r="HH44">
        <f t="shared" si="176"/>
        <v>0</v>
      </c>
      <c r="HI44">
        <f t="shared" si="176"/>
        <v>0</v>
      </c>
      <c r="HJ44">
        <f t="shared" si="176"/>
        <v>0</v>
      </c>
      <c r="HK44">
        <f t="shared" si="176"/>
        <v>0</v>
      </c>
      <c r="HL44">
        <f t="shared" si="176"/>
        <v>0</v>
      </c>
      <c r="HM44">
        <f t="shared" si="176"/>
        <v>0</v>
      </c>
      <c r="HN44">
        <f t="shared" si="176"/>
        <v>0</v>
      </c>
      <c r="HO44">
        <f t="shared" si="176"/>
        <v>0</v>
      </c>
      <c r="HP44">
        <f t="shared" si="176"/>
        <v>0</v>
      </c>
      <c r="HQ44">
        <f t="shared" si="176"/>
        <v>0</v>
      </c>
      <c r="HR44">
        <f t="shared" si="176"/>
        <v>0</v>
      </c>
      <c r="HS44">
        <f t="shared" si="176"/>
        <v>0</v>
      </c>
      <c r="HT44">
        <f t="shared" si="176"/>
        <v>0</v>
      </c>
      <c r="HU44"/>
    </row>
    <row r="45" spans="1:229" x14ac:dyDescent="0.25">
      <c r="O45" s="293"/>
    </row>
    <row r="46" spans="1:229" x14ac:dyDescent="0.25">
      <c r="O46" s="293"/>
    </row>
  </sheetData>
  <mergeCells count="19">
    <mergeCell ref="B38:B40"/>
    <mergeCell ref="B42:B44"/>
    <mergeCell ref="B9:B19"/>
    <mergeCell ref="B22:B32"/>
    <mergeCell ref="A34:C34"/>
    <mergeCell ref="A1:C5"/>
    <mergeCell ref="D1:HU5"/>
    <mergeCell ref="A7:A8"/>
    <mergeCell ref="B7:B8"/>
    <mergeCell ref="C7:C8"/>
    <mergeCell ref="D7:D8"/>
    <mergeCell ref="E7:M7"/>
    <mergeCell ref="O7:AP7"/>
    <mergeCell ref="AR7:BV7"/>
    <mergeCell ref="BX7:DA7"/>
    <mergeCell ref="DB7:EF7"/>
    <mergeCell ref="EG7:FJ7"/>
    <mergeCell ref="FK7:GO7"/>
    <mergeCell ref="GP7:HT7"/>
  </mergeCells>
  <pageMargins left="0.7" right="0.7" top="0.75" bottom="0.75" header="0.3" footer="0.3"/>
  <pageSetup scale="1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120D-BEE0-4DC3-BFAA-3F99EEC1F00D}">
  <sheetPr>
    <pageSetUpPr fitToPage="1"/>
  </sheetPr>
  <dimension ref="A1:HW106"/>
  <sheetViews>
    <sheetView tabSelected="1" zoomScale="70" zoomScaleNormal="70" zoomScaleSheetLayoutView="82" workbookViewId="0">
      <pane xSplit="4" ySplit="8" topLeftCell="FZ29" activePane="bottomRight" state="frozen"/>
      <selection pane="topRight" activeCell="F1" sqref="F1"/>
      <selection pane="bottomLeft" activeCell="A2" sqref="A2"/>
      <selection pane="bottomRight" activeCell="HB51" sqref="HB51"/>
    </sheetView>
  </sheetViews>
  <sheetFormatPr defaultRowHeight="15" x14ac:dyDescent="0.25"/>
  <cols>
    <col min="1" max="1" width="11.5703125" customWidth="1"/>
    <col min="2" max="2" width="21.5703125" customWidth="1"/>
    <col min="3" max="3" width="14.5703125" style="8" customWidth="1"/>
    <col min="4" max="4" width="8" customWidth="1"/>
    <col min="5" max="5" width="6.5703125" hidden="1" customWidth="1"/>
    <col min="6" max="6" width="5.5703125" hidden="1" customWidth="1"/>
    <col min="7" max="7" width="6.28515625" hidden="1" customWidth="1"/>
    <col min="8" max="8" width="6.42578125" hidden="1" customWidth="1"/>
    <col min="9" max="10" width="6.7109375" hidden="1" customWidth="1"/>
    <col min="11" max="11" width="5.5703125" hidden="1" customWidth="1"/>
    <col min="12" max="12" width="6.5703125" hidden="1" customWidth="1"/>
    <col min="13" max="13" width="12.7109375" style="45" hidden="1" customWidth="1"/>
    <col min="14" max="14" width="1.42578125" style="45" customWidth="1"/>
    <col min="15" max="42" width="6.5703125" customWidth="1"/>
    <col min="43" max="43" width="1.7109375" customWidth="1"/>
    <col min="44" max="74" width="6.5703125" customWidth="1"/>
    <col min="75" max="75" width="1.7109375" customWidth="1"/>
    <col min="76" max="94" width="6.5703125" customWidth="1"/>
    <col min="95" max="95" width="6.85546875" bestFit="1" customWidth="1"/>
    <col min="96" max="228" width="6.5703125" customWidth="1"/>
    <col min="229" max="229" width="12.7109375" bestFit="1" customWidth="1"/>
  </cols>
  <sheetData>
    <row r="1" spans="1:229" ht="15.75" customHeight="1" x14ac:dyDescent="0.25">
      <c r="A1" s="454" t="e" vm="1">
        <v>#VALUE!</v>
      </c>
      <c r="B1" s="454"/>
      <c r="C1" s="454"/>
      <c r="D1" s="489" t="s">
        <v>33</v>
      </c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  <c r="AO1" s="499"/>
      <c r="AP1" s="499"/>
      <c r="AQ1" s="499"/>
      <c r="AR1" s="499"/>
      <c r="AS1" s="499"/>
      <c r="AT1" s="499"/>
      <c r="AU1" s="499"/>
      <c r="AV1" s="499"/>
      <c r="AW1" s="499"/>
      <c r="AX1" s="499"/>
      <c r="AY1" s="499"/>
      <c r="AZ1" s="499"/>
      <c r="BA1" s="499"/>
      <c r="BB1" s="499"/>
      <c r="BC1" s="499"/>
      <c r="BD1" s="499"/>
      <c r="BE1" s="499"/>
      <c r="BF1" s="499"/>
      <c r="BG1" s="499"/>
      <c r="BH1" s="499"/>
      <c r="BI1" s="499"/>
      <c r="BJ1" s="499"/>
      <c r="BK1" s="499"/>
      <c r="BL1" s="499"/>
      <c r="BM1" s="499"/>
      <c r="BN1" s="499"/>
      <c r="BO1" s="499"/>
      <c r="BP1" s="499"/>
      <c r="BQ1" s="499"/>
      <c r="BR1" s="499"/>
      <c r="BS1" s="499"/>
      <c r="BT1" s="499"/>
      <c r="BU1" s="499"/>
      <c r="BV1" s="499"/>
      <c r="BW1" s="499"/>
      <c r="BX1" s="499"/>
      <c r="BY1" s="499"/>
      <c r="BZ1" s="499"/>
      <c r="CA1" s="499"/>
      <c r="CB1" s="499"/>
      <c r="CC1" s="499"/>
      <c r="CD1" s="499"/>
      <c r="CE1" s="499"/>
      <c r="CF1" s="499"/>
      <c r="CG1" s="499"/>
      <c r="CH1" s="499"/>
      <c r="CI1" s="499"/>
      <c r="CJ1" s="499"/>
      <c r="CK1" s="499"/>
      <c r="CL1" s="499"/>
      <c r="CM1" s="499"/>
      <c r="CN1" s="499"/>
      <c r="CO1" s="499"/>
      <c r="CP1" s="499"/>
      <c r="CQ1" s="499"/>
      <c r="CR1" s="499"/>
      <c r="CS1" s="499"/>
      <c r="CT1" s="499"/>
      <c r="CU1" s="499"/>
      <c r="CV1" s="499"/>
      <c r="CW1" s="499"/>
      <c r="CX1" s="499"/>
      <c r="CY1" s="499"/>
      <c r="CZ1" s="499"/>
      <c r="DA1" s="499"/>
      <c r="DB1" s="499"/>
      <c r="DC1" s="499"/>
      <c r="DD1" s="499"/>
      <c r="DE1" s="499"/>
      <c r="DF1" s="499"/>
      <c r="DG1" s="499"/>
      <c r="DH1" s="499"/>
      <c r="DI1" s="499"/>
      <c r="DJ1" s="499"/>
      <c r="DK1" s="499"/>
      <c r="DL1" s="499"/>
      <c r="DM1" s="499"/>
      <c r="DN1" s="499"/>
      <c r="DO1" s="499"/>
      <c r="DP1" s="499"/>
      <c r="DQ1" s="499"/>
      <c r="DR1" s="499"/>
      <c r="DS1" s="499"/>
      <c r="DT1" s="499"/>
      <c r="DU1" s="499"/>
      <c r="DV1" s="499"/>
      <c r="DW1" s="499"/>
      <c r="DX1" s="499"/>
      <c r="DY1" s="499"/>
      <c r="DZ1" s="499"/>
      <c r="EA1" s="499"/>
      <c r="EB1" s="499"/>
      <c r="EC1" s="499"/>
      <c r="ED1" s="499"/>
      <c r="EE1" s="499"/>
      <c r="EF1" s="499"/>
      <c r="EG1" s="499"/>
      <c r="EH1" s="499"/>
      <c r="EI1" s="499"/>
      <c r="EJ1" s="499"/>
      <c r="EK1" s="499"/>
      <c r="EL1" s="499"/>
      <c r="EM1" s="499"/>
      <c r="EN1" s="499"/>
      <c r="EO1" s="499"/>
      <c r="EP1" s="499"/>
      <c r="EQ1" s="499"/>
      <c r="ER1" s="499"/>
      <c r="ES1" s="499"/>
      <c r="ET1" s="499"/>
      <c r="EU1" s="499"/>
      <c r="EV1" s="499"/>
      <c r="EW1" s="499"/>
      <c r="EX1" s="499"/>
      <c r="EY1" s="499"/>
      <c r="EZ1" s="499"/>
      <c r="FA1" s="499"/>
      <c r="FB1" s="499"/>
      <c r="FC1" s="499"/>
      <c r="FD1" s="499"/>
      <c r="FE1" s="499"/>
      <c r="FF1" s="499"/>
      <c r="FG1" s="499"/>
      <c r="FH1" s="499"/>
      <c r="FI1" s="499"/>
      <c r="FJ1" s="499"/>
      <c r="FK1" s="499"/>
      <c r="FL1" s="499"/>
      <c r="FM1" s="499"/>
      <c r="FN1" s="499"/>
      <c r="FO1" s="499"/>
      <c r="FP1" s="499"/>
      <c r="FQ1" s="499"/>
      <c r="FR1" s="499"/>
      <c r="FS1" s="499"/>
      <c r="FT1" s="499"/>
      <c r="FU1" s="499"/>
      <c r="FV1" s="499"/>
      <c r="FW1" s="499"/>
      <c r="FX1" s="499"/>
      <c r="FY1" s="499"/>
      <c r="FZ1" s="499"/>
      <c r="GA1" s="499"/>
      <c r="GB1" s="499"/>
      <c r="GC1" s="499"/>
      <c r="GD1" s="499"/>
      <c r="GE1" s="499"/>
      <c r="GF1" s="499"/>
      <c r="GG1" s="499"/>
      <c r="GH1" s="499"/>
      <c r="GI1" s="499"/>
      <c r="GJ1" s="499"/>
      <c r="GK1" s="499"/>
      <c r="GL1" s="499"/>
      <c r="GM1" s="499"/>
      <c r="GN1" s="499"/>
      <c r="GO1" s="499"/>
      <c r="GP1" s="499"/>
      <c r="GQ1" s="499"/>
      <c r="GR1" s="499"/>
      <c r="GS1" s="499"/>
      <c r="GT1" s="499"/>
      <c r="GU1" s="499"/>
      <c r="GV1" s="499"/>
      <c r="GW1" s="499"/>
      <c r="GX1" s="499"/>
      <c r="GY1" s="499"/>
      <c r="GZ1" s="499"/>
      <c r="HA1" s="499"/>
      <c r="HB1" s="499"/>
      <c r="HC1" s="499"/>
      <c r="HD1" s="499"/>
      <c r="HE1" s="499"/>
      <c r="HF1" s="499"/>
      <c r="HG1" s="499"/>
      <c r="HH1" s="499"/>
      <c r="HI1" s="499"/>
      <c r="HJ1" s="499"/>
      <c r="HK1" s="499"/>
      <c r="HL1" s="499"/>
      <c r="HM1" s="499"/>
      <c r="HN1" s="499"/>
      <c r="HO1" s="499"/>
      <c r="HP1" s="499"/>
      <c r="HQ1" s="499"/>
      <c r="HR1" s="499"/>
      <c r="HS1" s="499"/>
      <c r="HT1" s="499"/>
      <c r="HU1" s="499"/>
    </row>
    <row r="2" spans="1:229" ht="15.75" customHeight="1" x14ac:dyDescent="0.25">
      <c r="A2" s="454"/>
      <c r="B2" s="454"/>
      <c r="C2" s="454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  <c r="BV2" s="499"/>
      <c r="BW2" s="499"/>
      <c r="BX2" s="499"/>
      <c r="BY2" s="499"/>
      <c r="BZ2" s="499"/>
      <c r="CA2" s="499"/>
      <c r="CB2" s="499"/>
      <c r="CC2" s="499"/>
      <c r="CD2" s="499"/>
      <c r="CE2" s="499"/>
      <c r="CF2" s="499"/>
      <c r="CG2" s="499"/>
      <c r="CH2" s="499"/>
      <c r="CI2" s="499"/>
      <c r="CJ2" s="499"/>
      <c r="CK2" s="499"/>
      <c r="CL2" s="499"/>
      <c r="CM2" s="499"/>
      <c r="CN2" s="499"/>
      <c r="CO2" s="499"/>
      <c r="CP2" s="499"/>
      <c r="CQ2" s="499"/>
      <c r="CR2" s="499"/>
      <c r="CS2" s="499"/>
      <c r="CT2" s="499"/>
      <c r="CU2" s="499"/>
      <c r="CV2" s="499"/>
      <c r="CW2" s="499"/>
      <c r="CX2" s="499"/>
      <c r="CY2" s="499"/>
      <c r="CZ2" s="499"/>
      <c r="DA2" s="499"/>
      <c r="DB2" s="499"/>
      <c r="DC2" s="499"/>
      <c r="DD2" s="499"/>
      <c r="DE2" s="499"/>
      <c r="DF2" s="499"/>
      <c r="DG2" s="499"/>
      <c r="DH2" s="499"/>
      <c r="DI2" s="499"/>
      <c r="DJ2" s="499"/>
      <c r="DK2" s="499"/>
      <c r="DL2" s="499"/>
      <c r="DM2" s="499"/>
      <c r="DN2" s="499"/>
      <c r="DO2" s="499"/>
      <c r="DP2" s="499"/>
      <c r="DQ2" s="499"/>
      <c r="DR2" s="499"/>
      <c r="DS2" s="499"/>
      <c r="DT2" s="499"/>
      <c r="DU2" s="499"/>
      <c r="DV2" s="499"/>
      <c r="DW2" s="499"/>
      <c r="DX2" s="499"/>
      <c r="DY2" s="499"/>
      <c r="DZ2" s="499"/>
      <c r="EA2" s="499"/>
      <c r="EB2" s="499"/>
      <c r="EC2" s="499"/>
      <c r="ED2" s="499"/>
      <c r="EE2" s="499"/>
      <c r="EF2" s="499"/>
      <c r="EG2" s="499"/>
      <c r="EH2" s="499"/>
      <c r="EI2" s="499"/>
      <c r="EJ2" s="499"/>
      <c r="EK2" s="499"/>
      <c r="EL2" s="499"/>
      <c r="EM2" s="499"/>
      <c r="EN2" s="499"/>
      <c r="EO2" s="499"/>
      <c r="EP2" s="499"/>
      <c r="EQ2" s="499"/>
      <c r="ER2" s="499"/>
      <c r="ES2" s="499"/>
      <c r="ET2" s="499"/>
      <c r="EU2" s="499"/>
      <c r="EV2" s="499"/>
      <c r="EW2" s="499"/>
      <c r="EX2" s="499"/>
      <c r="EY2" s="499"/>
      <c r="EZ2" s="499"/>
      <c r="FA2" s="499"/>
      <c r="FB2" s="499"/>
      <c r="FC2" s="499"/>
      <c r="FD2" s="499"/>
      <c r="FE2" s="499"/>
      <c r="FF2" s="499"/>
      <c r="FG2" s="499"/>
      <c r="FH2" s="499"/>
      <c r="FI2" s="499"/>
      <c r="FJ2" s="499"/>
      <c r="FK2" s="499"/>
      <c r="FL2" s="499"/>
      <c r="FM2" s="499"/>
      <c r="FN2" s="499"/>
      <c r="FO2" s="499"/>
      <c r="FP2" s="499"/>
      <c r="FQ2" s="499"/>
      <c r="FR2" s="499"/>
      <c r="FS2" s="499"/>
      <c r="FT2" s="499"/>
      <c r="FU2" s="499"/>
      <c r="FV2" s="499"/>
      <c r="FW2" s="499"/>
      <c r="FX2" s="499"/>
      <c r="FY2" s="499"/>
      <c r="FZ2" s="499"/>
      <c r="GA2" s="499"/>
      <c r="GB2" s="499"/>
      <c r="GC2" s="499"/>
      <c r="GD2" s="499"/>
      <c r="GE2" s="499"/>
      <c r="GF2" s="499"/>
      <c r="GG2" s="499"/>
      <c r="GH2" s="499"/>
      <c r="GI2" s="499"/>
      <c r="GJ2" s="499"/>
      <c r="GK2" s="499"/>
      <c r="GL2" s="499"/>
      <c r="GM2" s="499"/>
      <c r="GN2" s="499"/>
      <c r="GO2" s="499"/>
      <c r="GP2" s="499"/>
      <c r="GQ2" s="499"/>
      <c r="GR2" s="499"/>
      <c r="GS2" s="499"/>
      <c r="GT2" s="499"/>
      <c r="GU2" s="499"/>
      <c r="GV2" s="499"/>
      <c r="GW2" s="499"/>
      <c r="GX2" s="499"/>
      <c r="GY2" s="499"/>
      <c r="GZ2" s="499"/>
      <c r="HA2" s="499"/>
      <c r="HB2" s="499"/>
      <c r="HC2" s="499"/>
      <c r="HD2" s="499"/>
      <c r="HE2" s="499"/>
      <c r="HF2" s="499"/>
      <c r="HG2" s="499"/>
      <c r="HH2" s="499"/>
      <c r="HI2" s="499"/>
      <c r="HJ2" s="499"/>
      <c r="HK2" s="499"/>
      <c r="HL2" s="499"/>
      <c r="HM2" s="499"/>
      <c r="HN2" s="499"/>
      <c r="HO2" s="499"/>
      <c r="HP2" s="499"/>
      <c r="HQ2" s="499"/>
      <c r="HR2" s="499"/>
      <c r="HS2" s="499"/>
      <c r="HT2" s="499"/>
      <c r="HU2" s="499"/>
    </row>
    <row r="3" spans="1:229" ht="15.75" customHeight="1" x14ac:dyDescent="0.25">
      <c r="A3" s="454"/>
      <c r="B3" s="454"/>
      <c r="C3" s="454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  <c r="AO3" s="499"/>
      <c r="AP3" s="499"/>
      <c r="AQ3" s="499"/>
      <c r="AR3" s="499"/>
      <c r="AS3" s="499"/>
      <c r="AT3" s="499"/>
      <c r="AU3" s="499"/>
      <c r="AV3" s="499"/>
      <c r="AW3" s="499"/>
      <c r="AX3" s="499"/>
      <c r="AY3" s="499"/>
      <c r="AZ3" s="499"/>
      <c r="BA3" s="499"/>
      <c r="BB3" s="499"/>
      <c r="BC3" s="499"/>
      <c r="BD3" s="499"/>
      <c r="BE3" s="499"/>
      <c r="BF3" s="499"/>
      <c r="BG3" s="499"/>
      <c r="BH3" s="499"/>
      <c r="BI3" s="499"/>
      <c r="BJ3" s="499"/>
      <c r="BK3" s="499"/>
      <c r="BL3" s="499"/>
      <c r="BM3" s="499"/>
      <c r="BN3" s="499"/>
      <c r="BO3" s="499"/>
      <c r="BP3" s="499"/>
      <c r="BQ3" s="499"/>
      <c r="BR3" s="499"/>
      <c r="BS3" s="499"/>
      <c r="BT3" s="499"/>
      <c r="BU3" s="499"/>
      <c r="BV3" s="499"/>
      <c r="BW3" s="499"/>
      <c r="BX3" s="499"/>
      <c r="BY3" s="499"/>
      <c r="BZ3" s="499"/>
      <c r="CA3" s="499"/>
      <c r="CB3" s="499"/>
      <c r="CC3" s="499"/>
      <c r="CD3" s="499"/>
      <c r="CE3" s="499"/>
      <c r="CF3" s="499"/>
      <c r="CG3" s="499"/>
      <c r="CH3" s="499"/>
      <c r="CI3" s="499"/>
      <c r="CJ3" s="499"/>
      <c r="CK3" s="499"/>
      <c r="CL3" s="499"/>
      <c r="CM3" s="499"/>
      <c r="CN3" s="499"/>
      <c r="CO3" s="499"/>
      <c r="CP3" s="499"/>
      <c r="CQ3" s="499"/>
      <c r="CR3" s="499"/>
      <c r="CS3" s="499"/>
      <c r="CT3" s="499"/>
      <c r="CU3" s="499"/>
      <c r="CV3" s="499"/>
      <c r="CW3" s="499"/>
      <c r="CX3" s="499"/>
      <c r="CY3" s="499"/>
      <c r="CZ3" s="499"/>
      <c r="DA3" s="499"/>
      <c r="DB3" s="499"/>
      <c r="DC3" s="499"/>
      <c r="DD3" s="499"/>
      <c r="DE3" s="499"/>
      <c r="DF3" s="499"/>
      <c r="DG3" s="499"/>
      <c r="DH3" s="499"/>
      <c r="DI3" s="499"/>
      <c r="DJ3" s="499"/>
      <c r="DK3" s="499"/>
      <c r="DL3" s="499"/>
      <c r="DM3" s="499"/>
      <c r="DN3" s="499"/>
      <c r="DO3" s="499"/>
      <c r="DP3" s="499"/>
      <c r="DQ3" s="499"/>
      <c r="DR3" s="499"/>
      <c r="DS3" s="499"/>
      <c r="DT3" s="499"/>
      <c r="DU3" s="499"/>
      <c r="DV3" s="499"/>
      <c r="DW3" s="499"/>
      <c r="DX3" s="499"/>
      <c r="DY3" s="499"/>
      <c r="DZ3" s="499"/>
      <c r="EA3" s="499"/>
      <c r="EB3" s="499"/>
      <c r="EC3" s="499"/>
      <c r="ED3" s="499"/>
      <c r="EE3" s="499"/>
      <c r="EF3" s="499"/>
      <c r="EG3" s="499"/>
      <c r="EH3" s="499"/>
      <c r="EI3" s="499"/>
      <c r="EJ3" s="499"/>
      <c r="EK3" s="499"/>
      <c r="EL3" s="499"/>
      <c r="EM3" s="499"/>
      <c r="EN3" s="499"/>
      <c r="EO3" s="499"/>
      <c r="EP3" s="499"/>
      <c r="EQ3" s="499"/>
      <c r="ER3" s="499"/>
      <c r="ES3" s="499"/>
      <c r="ET3" s="499"/>
      <c r="EU3" s="499"/>
      <c r="EV3" s="499"/>
      <c r="EW3" s="499"/>
      <c r="EX3" s="499"/>
      <c r="EY3" s="499"/>
      <c r="EZ3" s="499"/>
      <c r="FA3" s="499"/>
      <c r="FB3" s="499"/>
      <c r="FC3" s="499"/>
      <c r="FD3" s="499"/>
      <c r="FE3" s="499"/>
      <c r="FF3" s="499"/>
      <c r="FG3" s="499"/>
      <c r="FH3" s="499"/>
      <c r="FI3" s="499"/>
      <c r="FJ3" s="499"/>
      <c r="FK3" s="499"/>
      <c r="FL3" s="499"/>
      <c r="FM3" s="499"/>
      <c r="FN3" s="499"/>
      <c r="FO3" s="499"/>
      <c r="FP3" s="499"/>
      <c r="FQ3" s="499"/>
      <c r="FR3" s="499"/>
      <c r="FS3" s="499"/>
      <c r="FT3" s="499"/>
      <c r="FU3" s="499"/>
      <c r="FV3" s="499"/>
      <c r="FW3" s="499"/>
      <c r="FX3" s="499"/>
      <c r="FY3" s="499"/>
      <c r="FZ3" s="499"/>
      <c r="GA3" s="499"/>
      <c r="GB3" s="499"/>
      <c r="GC3" s="499"/>
      <c r="GD3" s="499"/>
      <c r="GE3" s="499"/>
      <c r="GF3" s="499"/>
      <c r="GG3" s="499"/>
      <c r="GH3" s="499"/>
      <c r="GI3" s="499"/>
      <c r="GJ3" s="499"/>
      <c r="GK3" s="499"/>
      <c r="GL3" s="499"/>
      <c r="GM3" s="499"/>
      <c r="GN3" s="499"/>
      <c r="GO3" s="499"/>
      <c r="GP3" s="499"/>
      <c r="GQ3" s="499"/>
      <c r="GR3" s="499"/>
      <c r="GS3" s="499"/>
      <c r="GT3" s="499"/>
      <c r="GU3" s="499"/>
      <c r="GV3" s="499"/>
      <c r="GW3" s="499"/>
      <c r="GX3" s="499"/>
      <c r="GY3" s="499"/>
      <c r="GZ3" s="499"/>
      <c r="HA3" s="499"/>
      <c r="HB3" s="499"/>
      <c r="HC3" s="499"/>
      <c r="HD3" s="499"/>
      <c r="HE3" s="499"/>
      <c r="HF3" s="499"/>
      <c r="HG3" s="499"/>
      <c r="HH3" s="499"/>
      <c r="HI3" s="499"/>
      <c r="HJ3" s="499"/>
      <c r="HK3" s="499"/>
      <c r="HL3" s="499"/>
      <c r="HM3" s="499"/>
      <c r="HN3" s="499"/>
      <c r="HO3" s="499"/>
      <c r="HP3" s="499"/>
      <c r="HQ3" s="499"/>
      <c r="HR3" s="499"/>
      <c r="HS3" s="499"/>
      <c r="HT3" s="499"/>
      <c r="HU3" s="499"/>
    </row>
    <row r="4" spans="1:229" ht="15.75" customHeight="1" x14ac:dyDescent="0.25">
      <c r="A4" s="454"/>
      <c r="B4" s="454"/>
      <c r="C4" s="454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AS4" s="499"/>
      <c r="AT4" s="499"/>
      <c r="AU4" s="499"/>
      <c r="AV4" s="499"/>
      <c r="AW4" s="499"/>
      <c r="AX4" s="499"/>
      <c r="AY4" s="499"/>
      <c r="AZ4" s="499"/>
      <c r="BA4" s="499"/>
      <c r="BB4" s="499"/>
      <c r="BC4" s="499"/>
      <c r="BD4" s="499"/>
      <c r="BE4" s="499"/>
      <c r="BF4" s="499"/>
      <c r="BG4" s="499"/>
      <c r="BH4" s="499"/>
      <c r="BI4" s="499"/>
      <c r="BJ4" s="499"/>
      <c r="BK4" s="499"/>
      <c r="BL4" s="499"/>
      <c r="BM4" s="499"/>
      <c r="BN4" s="499"/>
      <c r="BO4" s="499"/>
      <c r="BP4" s="499"/>
      <c r="BQ4" s="499"/>
      <c r="BR4" s="499"/>
      <c r="BS4" s="499"/>
      <c r="BT4" s="499"/>
      <c r="BU4" s="499"/>
      <c r="BV4" s="499"/>
      <c r="BW4" s="499"/>
      <c r="BX4" s="499"/>
      <c r="BY4" s="499"/>
      <c r="BZ4" s="499"/>
      <c r="CA4" s="499"/>
      <c r="CB4" s="499"/>
      <c r="CC4" s="499"/>
      <c r="CD4" s="499"/>
      <c r="CE4" s="499"/>
      <c r="CF4" s="499"/>
      <c r="CG4" s="499"/>
      <c r="CH4" s="499"/>
      <c r="CI4" s="499"/>
      <c r="CJ4" s="499"/>
      <c r="CK4" s="499"/>
      <c r="CL4" s="499"/>
      <c r="CM4" s="499"/>
      <c r="CN4" s="499"/>
      <c r="CO4" s="499"/>
      <c r="CP4" s="499"/>
      <c r="CQ4" s="499"/>
      <c r="CR4" s="499"/>
      <c r="CS4" s="499"/>
      <c r="CT4" s="499"/>
      <c r="CU4" s="499"/>
      <c r="CV4" s="499"/>
      <c r="CW4" s="499"/>
      <c r="CX4" s="499"/>
      <c r="CY4" s="499"/>
      <c r="CZ4" s="499"/>
      <c r="DA4" s="499"/>
      <c r="DB4" s="499"/>
      <c r="DC4" s="499"/>
      <c r="DD4" s="499"/>
      <c r="DE4" s="499"/>
      <c r="DF4" s="499"/>
      <c r="DG4" s="499"/>
      <c r="DH4" s="499"/>
      <c r="DI4" s="499"/>
      <c r="DJ4" s="499"/>
      <c r="DK4" s="499"/>
      <c r="DL4" s="499"/>
      <c r="DM4" s="499"/>
      <c r="DN4" s="499"/>
      <c r="DO4" s="499"/>
      <c r="DP4" s="499"/>
      <c r="DQ4" s="499"/>
      <c r="DR4" s="499"/>
      <c r="DS4" s="499"/>
      <c r="DT4" s="499"/>
      <c r="DU4" s="499"/>
      <c r="DV4" s="499"/>
      <c r="DW4" s="499"/>
      <c r="DX4" s="499"/>
      <c r="DY4" s="499"/>
      <c r="DZ4" s="499"/>
      <c r="EA4" s="499"/>
      <c r="EB4" s="499"/>
      <c r="EC4" s="499"/>
      <c r="ED4" s="499"/>
      <c r="EE4" s="499"/>
      <c r="EF4" s="499"/>
      <c r="EG4" s="499"/>
      <c r="EH4" s="499"/>
      <c r="EI4" s="499"/>
      <c r="EJ4" s="499"/>
      <c r="EK4" s="499"/>
      <c r="EL4" s="499"/>
      <c r="EM4" s="499"/>
      <c r="EN4" s="499"/>
      <c r="EO4" s="499"/>
      <c r="EP4" s="499"/>
      <c r="EQ4" s="499"/>
      <c r="ER4" s="499"/>
      <c r="ES4" s="499"/>
      <c r="ET4" s="499"/>
      <c r="EU4" s="499"/>
      <c r="EV4" s="499"/>
      <c r="EW4" s="499"/>
      <c r="EX4" s="499"/>
      <c r="EY4" s="499"/>
      <c r="EZ4" s="499"/>
      <c r="FA4" s="499"/>
      <c r="FB4" s="499"/>
      <c r="FC4" s="499"/>
      <c r="FD4" s="499"/>
      <c r="FE4" s="499"/>
      <c r="FF4" s="499"/>
      <c r="FG4" s="499"/>
      <c r="FH4" s="499"/>
      <c r="FI4" s="499"/>
      <c r="FJ4" s="499"/>
      <c r="FK4" s="499"/>
      <c r="FL4" s="499"/>
      <c r="FM4" s="499"/>
      <c r="FN4" s="499"/>
      <c r="FO4" s="499"/>
      <c r="FP4" s="499"/>
      <c r="FQ4" s="499"/>
      <c r="FR4" s="499"/>
      <c r="FS4" s="499"/>
      <c r="FT4" s="499"/>
      <c r="FU4" s="499"/>
      <c r="FV4" s="499"/>
      <c r="FW4" s="499"/>
      <c r="FX4" s="499"/>
      <c r="FY4" s="499"/>
      <c r="FZ4" s="499"/>
      <c r="GA4" s="499"/>
      <c r="GB4" s="499"/>
      <c r="GC4" s="499"/>
      <c r="GD4" s="499"/>
      <c r="GE4" s="499"/>
      <c r="GF4" s="499"/>
      <c r="GG4" s="499"/>
      <c r="GH4" s="499"/>
      <c r="GI4" s="499"/>
      <c r="GJ4" s="499"/>
      <c r="GK4" s="499"/>
      <c r="GL4" s="499"/>
      <c r="GM4" s="499"/>
      <c r="GN4" s="499"/>
      <c r="GO4" s="499"/>
      <c r="GP4" s="499"/>
      <c r="GQ4" s="499"/>
      <c r="GR4" s="499"/>
      <c r="GS4" s="499"/>
      <c r="GT4" s="499"/>
      <c r="GU4" s="499"/>
      <c r="GV4" s="499"/>
      <c r="GW4" s="499"/>
      <c r="GX4" s="499"/>
      <c r="GY4" s="499"/>
      <c r="GZ4" s="499"/>
      <c r="HA4" s="499"/>
      <c r="HB4" s="499"/>
      <c r="HC4" s="499"/>
      <c r="HD4" s="499"/>
      <c r="HE4" s="499"/>
      <c r="HF4" s="499"/>
      <c r="HG4" s="499"/>
      <c r="HH4" s="499"/>
      <c r="HI4" s="499"/>
      <c r="HJ4" s="499"/>
      <c r="HK4" s="499"/>
      <c r="HL4" s="499"/>
      <c r="HM4" s="499"/>
      <c r="HN4" s="499"/>
      <c r="HO4" s="499"/>
      <c r="HP4" s="499"/>
      <c r="HQ4" s="499"/>
      <c r="HR4" s="499"/>
      <c r="HS4" s="499"/>
      <c r="HT4" s="499"/>
      <c r="HU4" s="499"/>
    </row>
    <row r="5" spans="1:229" ht="15.75" customHeight="1" x14ac:dyDescent="0.25">
      <c r="A5" s="454"/>
      <c r="B5" s="454"/>
      <c r="C5" s="454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  <c r="AO5" s="499"/>
      <c r="AP5" s="499"/>
      <c r="AQ5" s="499"/>
      <c r="AR5" s="499"/>
      <c r="AS5" s="499"/>
      <c r="AT5" s="499"/>
      <c r="AU5" s="499"/>
      <c r="AV5" s="499"/>
      <c r="AW5" s="499"/>
      <c r="AX5" s="499"/>
      <c r="AY5" s="499"/>
      <c r="AZ5" s="499"/>
      <c r="BA5" s="499"/>
      <c r="BB5" s="499"/>
      <c r="BC5" s="499"/>
      <c r="BD5" s="499"/>
      <c r="BE5" s="499"/>
      <c r="BF5" s="499"/>
      <c r="BG5" s="499"/>
      <c r="BH5" s="499"/>
      <c r="BI5" s="499"/>
      <c r="BJ5" s="499"/>
      <c r="BK5" s="499"/>
      <c r="BL5" s="499"/>
      <c r="BM5" s="499"/>
      <c r="BN5" s="499"/>
      <c r="BO5" s="499"/>
      <c r="BP5" s="499"/>
      <c r="BQ5" s="499"/>
      <c r="BR5" s="499"/>
      <c r="BS5" s="499"/>
      <c r="BT5" s="499"/>
      <c r="BU5" s="499"/>
      <c r="BV5" s="499"/>
      <c r="BW5" s="499"/>
      <c r="BX5" s="499"/>
      <c r="BY5" s="499"/>
      <c r="BZ5" s="499"/>
      <c r="CA5" s="499"/>
      <c r="CB5" s="499"/>
      <c r="CC5" s="499"/>
      <c r="CD5" s="499"/>
      <c r="CE5" s="499"/>
      <c r="CF5" s="499"/>
      <c r="CG5" s="499"/>
      <c r="CH5" s="499"/>
      <c r="CI5" s="499"/>
      <c r="CJ5" s="499"/>
      <c r="CK5" s="499"/>
      <c r="CL5" s="499"/>
      <c r="CM5" s="499"/>
      <c r="CN5" s="499"/>
      <c r="CO5" s="499"/>
      <c r="CP5" s="499"/>
      <c r="CQ5" s="499"/>
      <c r="CR5" s="499"/>
      <c r="CS5" s="499"/>
      <c r="CT5" s="499"/>
      <c r="CU5" s="499"/>
      <c r="CV5" s="499"/>
      <c r="CW5" s="499"/>
      <c r="CX5" s="499"/>
      <c r="CY5" s="499"/>
      <c r="CZ5" s="499"/>
      <c r="DA5" s="499"/>
      <c r="DB5" s="499"/>
      <c r="DC5" s="499"/>
      <c r="DD5" s="499"/>
      <c r="DE5" s="499"/>
      <c r="DF5" s="499"/>
      <c r="DG5" s="499"/>
      <c r="DH5" s="499"/>
      <c r="DI5" s="499"/>
      <c r="DJ5" s="499"/>
      <c r="DK5" s="499"/>
      <c r="DL5" s="499"/>
      <c r="DM5" s="499"/>
      <c r="DN5" s="499"/>
      <c r="DO5" s="499"/>
      <c r="DP5" s="499"/>
      <c r="DQ5" s="499"/>
      <c r="DR5" s="499"/>
      <c r="DS5" s="499"/>
      <c r="DT5" s="499"/>
      <c r="DU5" s="499"/>
      <c r="DV5" s="499"/>
      <c r="DW5" s="499"/>
      <c r="DX5" s="499"/>
      <c r="DY5" s="499"/>
      <c r="DZ5" s="499"/>
      <c r="EA5" s="499"/>
      <c r="EB5" s="499"/>
      <c r="EC5" s="499"/>
      <c r="ED5" s="499"/>
      <c r="EE5" s="499"/>
      <c r="EF5" s="499"/>
      <c r="EG5" s="499"/>
      <c r="EH5" s="499"/>
      <c r="EI5" s="499"/>
      <c r="EJ5" s="499"/>
      <c r="EK5" s="499"/>
      <c r="EL5" s="499"/>
      <c r="EM5" s="499"/>
      <c r="EN5" s="499"/>
      <c r="EO5" s="499"/>
      <c r="EP5" s="499"/>
      <c r="EQ5" s="499"/>
      <c r="ER5" s="499"/>
      <c r="ES5" s="499"/>
      <c r="ET5" s="499"/>
      <c r="EU5" s="499"/>
      <c r="EV5" s="499"/>
      <c r="EW5" s="499"/>
      <c r="EX5" s="499"/>
      <c r="EY5" s="499"/>
      <c r="EZ5" s="499"/>
      <c r="FA5" s="499"/>
      <c r="FB5" s="499"/>
      <c r="FC5" s="499"/>
      <c r="FD5" s="499"/>
      <c r="FE5" s="499"/>
      <c r="FF5" s="499"/>
      <c r="FG5" s="499"/>
      <c r="FH5" s="499"/>
      <c r="FI5" s="499"/>
      <c r="FJ5" s="499"/>
      <c r="FK5" s="499"/>
      <c r="FL5" s="499"/>
      <c r="FM5" s="499"/>
      <c r="FN5" s="499"/>
      <c r="FO5" s="499"/>
      <c r="FP5" s="499"/>
      <c r="FQ5" s="499"/>
      <c r="FR5" s="499"/>
      <c r="FS5" s="499"/>
      <c r="FT5" s="499"/>
      <c r="FU5" s="499"/>
      <c r="FV5" s="499"/>
      <c r="FW5" s="499"/>
      <c r="FX5" s="499"/>
      <c r="FY5" s="499"/>
      <c r="FZ5" s="499"/>
      <c r="GA5" s="499"/>
      <c r="GB5" s="499"/>
      <c r="GC5" s="499"/>
      <c r="GD5" s="499"/>
      <c r="GE5" s="499"/>
      <c r="GF5" s="499"/>
      <c r="GG5" s="499"/>
      <c r="GH5" s="499"/>
      <c r="GI5" s="499"/>
      <c r="GJ5" s="499"/>
      <c r="GK5" s="499"/>
      <c r="GL5" s="499"/>
      <c r="GM5" s="499"/>
      <c r="GN5" s="499"/>
      <c r="GO5" s="499"/>
      <c r="GP5" s="499"/>
      <c r="GQ5" s="499"/>
      <c r="GR5" s="499"/>
      <c r="GS5" s="499"/>
      <c r="GT5" s="499"/>
      <c r="GU5" s="499"/>
      <c r="GV5" s="499"/>
      <c r="GW5" s="499"/>
      <c r="GX5" s="499"/>
      <c r="GY5" s="499"/>
      <c r="GZ5" s="499"/>
      <c r="HA5" s="499"/>
      <c r="HB5" s="499"/>
      <c r="HC5" s="499"/>
      <c r="HD5" s="499"/>
      <c r="HE5" s="499"/>
      <c r="HF5" s="499"/>
      <c r="HG5" s="499"/>
      <c r="HH5" s="499"/>
      <c r="HI5" s="499"/>
      <c r="HJ5" s="499"/>
      <c r="HK5" s="499"/>
      <c r="HL5" s="499"/>
      <c r="HM5" s="499"/>
      <c r="HN5" s="499"/>
      <c r="HO5" s="499"/>
      <c r="HP5" s="499"/>
      <c r="HQ5" s="499"/>
      <c r="HR5" s="499"/>
      <c r="HS5" s="499"/>
      <c r="HT5" s="499"/>
      <c r="HU5" s="499"/>
    </row>
    <row r="6" spans="1:229" ht="15.75" thickBot="1" x14ac:dyDescent="0.3"/>
    <row r="7" spans="1:229" ht="17.100000000000001" customHeight="1" thickBot="1" x14ac:dyDescent="0.3">
      <c r="A7" s="456" t="s">
        <v>18</v>
      </c>
      <c r="B7" s="458" t="s">
        <v>14</v>
      </c>
      <c r="C7" s="458" t="s">
        <v>28</v>
      </c>
      <c r="D7" s="500" t="s">
        <v>0</v>
      </c>
      <c r="E7" s="490" t="s">
        <v>25</v>
      </c>
      <c r="F7" s="463"/>
      <c r="G7" s="463"/>
      <c r="H7" s="463"/>
      <c r="I7" s="463"/>
      <c r="J7" s="463"/>
      <c r="K7" s="463"/>
      <c r="L7" s="463"/>
      <c r="M7" s="491"/>
      <c r="N7" s="127"/>
      <c r="O7" s="490" t="s">
        <v>73</v>
      </c>
      <c r="P7" s="463"/>
      <c r="Q7" s="463"/>
      <c r="R7" s="463"/>
      <c r="S7" s="463"/>
      <c r="T7" s="463"/>
      <c r="U7" s="463"/>
      <c r="V7" s="463"/>
      <c r="W7" s="463"/>
      <c r="X7" s="463"/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3"/>
      <c r="AO7" s="463"/>
      <c r="AP7" s="463"/>
      <c r="AQ7" s="127"/>
      <c r="AR7" s="490" t="s">
        <v>77</v>
      </c>
      <c r="AS7" s="463"/>
      <c r="AT7" s="463"/>
      <c r="AU7" s="463"/>
      <c r="AV7" s="463"/>
      <c r="AW7" s="463"/>
      <c r="AX7" s="463"/>
      <c r="AY7" s="463"/>
      <c r="AZ7" s="463"/>
      <c r="BA7" s="463"/>
      <c r="BB7" s="463"/>
      <c r="BC7" s="463"/>
      <c r="BD7" s="463"/>
      <c r="BE7" s="463"/>
      <c r="BF7" s="463"/>
      <c r="BG7" s="463"/>
      <c r="BH7" s="463"/>
      <c r="BI7" s="463"/>
      <c r="BJ7" s="463"/>
      <c r="BK7" s="463"/>
      <c r="BL7" s="463"/>
      <c r="BM7" s="463"/>
      <c r="BN7" s="463"/>
      <c r="BO7" s="463"/>
      <c r="BP7" s="463"/>
      <c r="BQ7" s="463"/>
      <c r="BR7" s="463"/>
      <c r="BS7" s="463"/>
      <c r="BT7" s="463"/>
      <c r="BU7" s="463"/>
      <c r="BV7" s="463"/>
      <c r="BW7" s="127"/>
      <c r="BX7" s="490" t="s">
        <v>105</v>
      </c>
      <c r="BY7" s="463"/>
      <c r="BZ7" s="463"/>
      <c r="CA7" s="463"/>
      <c r="CB7" s="463"/>
      <c r="CC7" s="463"/>
      <c r="CD7" s="463"/>
      <c r="CE7" s="463"/>
      <c r="CF7" s="463"/>
      <c r="CG7" s="463"/>
      <c r="CH7" s="463"/>
      <c r="CI7" s="463"/>
      <c r="CJ7" s="463"/>
      <c r="CK7" s="463"/>
      <c r="CL7" s="463"/>
      <c r="CM7" s="463"/>
      <c r="CN7" s="463"/>
      <c r="CO7" s="463"/>
      <c r="CP7" s="463"/>
      <c r="CQ7" s="463"/>
      <c r="CR7" s="463"/>
      <c r="CS7" s="463"/>
      <c r="CT7" s="463"/>
      <c r="CU7" s="463"/>
      <c r="CV7" s="463"/>
      <c r="CW7" s="463"/>
      <c r="CX7" s="463"/>
      <c r="CY7" s="463"/>
      <c r="CZ7" s="463"/>
      <c r="DA7" s="463"/>
      <c r="DB7" s="490" t="s">
        <v>111</v>
      </c>
      <c r="DC7" s="463"/>
      <c r="DD7" s="463"/>
      <c r="DE7" s="463"/>
      <c r="DF7" s="463"/>
      <c r="DG7" s="463"/>
      <c r="DH7" s="463"/>
      <c r="DI7" s="463"/>
      <c r="DJ7" s="463"/>
      <c r="DK7" s="463"/>
      <c r="DL7" s="463"/>
      <c r="DM7" s="463"/>
      <c r="DN7" s="463"/>
      <c r="DO7" s="463"/>
      <c r="DP7" s="463"/>
      <c r="DQ7" s="463"/>
      <c r="DR7" s="463"/>
      <c r="DS7" s="463"/>
      <c r="DT7" s="463"/>
      <c r="DU7" s="463"/>
      <c r="DV7" s="463"/>
      <c r="DW7" s="463"/>
      <c r="DX7" s="463"/>
      <c r="DY7" s="463"/>
      <c r="DZ7" s="463"/>
      <c r="EA7" s="463"/>
      <c r="EB7" s="463"/>
      <c r="EC7" s="463"/>
      <c r="ED7" s="463"/>
      <c r="EE7" s="463"/>
      <c r="EF7" s="463"/>
      <c r="EG7" s="490" t="s">
        <v>117</v>
      </c>
      <c r="EH7" s="463"/>
      <c r="EI7" s="463"/>
      <c r="EJ7" s="463"/>
      <c r="EK7" s="463"/>
      <c r="EL7" s="463"/>
      <c r="EM7" s="463"/>
      <c r="EN7" s="463"/>
      <c r="EO7" s="463"/>
      <c r="EP7" s="463"/>
      <c r="EQ7" s="463"/>
      <c r="ER7" s="463"/>
      <c r="ES7" s="463"/>
      <c r="ET7" s="463"/>
      <c r="EU7" s="463"/>
      <c r="EV7" s="463"/>
      <c r="EW7" s="463"/>
      <c r="EX7" s="463"/>
      <c r="EY7" s="463"/>
      <c r="EZ7" s="463"/>
      <c r="FA7" s="463"/>
      <c r="FB7" s="463"/>
      <c r="FC7" s="463"/>
      <c r="FD7" s="463"/>
      <c r="FE7" s="463"/>
      <c r="FF7" s="463"/>
      <c r="FG7" s="463"/>
      <c r="FH7" s="463"/>
      <c r="FI7" s="463"/>
      <c r="FJ7" s="463"/>
      <c r="FK7" s="490" t="s">
        <v>133</v>
      </c>
      <c r="FL7" s="463"/>
      <c r="FM7" s="463"/>
      <c r="FN7" s="463"/>
      <c r="FO7" s="463"/>
      <c r="FP7" s="463"/>
      <c r="FQ7" s="463"/>
      <c r="FR7" s="463"/>
      <c r="FS7" s="463"/>
      <c r="FT7" s="463"/>
      <c r="FU7" s="463"/>
      <c r="FV7" s="463"/>
      <c r="FW7" s="463"/>
      <c r="FX7" s="463"/>
      <c r="FY7" s="463"/>
      <c r="FZ7" s="463"/>
      <c r="GA7" s="463"/>
      <c r="GB7" s="463"/>
      <c r="GC7" s="463"/>
      <c r="GD7" s="463"/>
      <c r="GE7" s="463"/>
      <c r="GF7" s="463"/>
      <c r="GG7" s="463"/>
      <c r="GH7" s="463"/>
      <c r="GI7" s="463"/>
      <c r="GJ7" s="463"/>
      <c r="GK7" s="463"/>
      <c r="GL7" s="463"/>
      <c r="GM7" s="463"/>
      <c r="GN7" s="463"/>
      <c r="GO7" s="463"/>
      <c r="GP7" s="492" t="s">
        <v>142</v>
      </c>
      <c r="GQ7" s="493"/>
      <c r="GR7" s="493"/>
      <c r="GS7" s="493"/>
      <c r="GT7" s="493"/>
      <c r="GU7" s="493"/>
      <c r="GV7" s="493"/>
      <c r="GW7" s="493"/>
      <c r="GX7" s="493"/>
      <c r="GY7" s="493"/>
      <c r="GZ7" s="493"/>
      <c r="HA7" s="493"/>
      <c r="HB7" s="493"/>
      <c r="HC7" s="493"/>
      <c r="HD7" s="493"/>
      <c r="HE7" s="493"/>
      <c r="HF7" s="493"/>
      <c r="HG7" s="493"/>
      <c r="HH7" s="493"/>
      <c r="HI7" s="493"/>
      <c r="HJ7" s="493"/>
      <c r="HK7" s="493"/>
      <c r="HL7" s="493"/>
      <c r="HM7" s="493"/>
      <c r="HN7" s="493"/>
      <c r="HO7" s="493"/>
      <c r="HP7" s="493"/>
      <c r="HQ7" s="493"/>
      <c r="HR7" s="493"/>
      <c r="HS7" s="493"/>
      <c r="HT7" s="494"/>
      <c r="HU7" s="277"/>
    </row>
    <row r="8" spans="1:229" s="1" customFormat="1" ht="18.600000000000001" customHeight="1" thickBot="1" x14ac:dyDescent="0.3">
      <c r="A8" s="457"/>
      <c r="B8" s="459"/>
      <c r="C8" s="459"/>
      <c r="D8" s="501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14" t="s">
        <v>26</v>
      </c>
      <c r="N8" s="140"/>
      <c r="O8" s="120">
        <v>46054</v>
      </c>
      <c r="P8" s="120">
        <v>46055</v>
      </c>
      <c r="Q8" s="120">
        <v>46056</v>
      </c>
      <c r="R8" s="120">
        <v>46057</v>
      </c>
      <c r="S8" s="120">
        <v>46058</v>
      </c>
      <c r="T8" s="120">
        <v>46059</v>
      </c>
      <c r="U8" s="120">
        <v>46060</v>
      </c>
      <c r="V8" s="120">
        <v>46061</v>
      </c>
      <c r="W8" s="120">
        <v>46062</v>
      </c>
      <c r="X8" s="120">
        <v>46063</v>
      </c>
      <c r="Y8" s="120">
        <v>46064</v>
      </c>
      <c r="Z8" s="120">
        <v>46065</v>
      </c>
      <c r="AA8" s="120">
        <v>46066</v>
      </c>
      <c r="AB8" s="120">
        <v>46067</v>
      </c>
      <c r="AC8" s="120">
        <v>46068</v>
      </c>
      <c r="AD8" s="120">
        <v>46069</v>
      </c>
      <c r="AE8" s="120">
        <v>46070</v>
      </c>
      <c r="AF8" s="120">
        <v>46071</v>
      </c>
      <c r="AG8" s="120">
        <v>46072</v>
      </c>
      <c r="AH8" s="120">
        <v>46073</v>
      </c>
      <c r="AI8" s="120">
        <v>46074</v>
      </c>
      <c r="AJ8" s="120">
        <v>46075</v>
      </c>
      <c r="AK8" s="120">
        <v>46076</v>
      </c>
      <c r="AL8" s="120">
        <v>46077</v>
      </c>
      <c r="AM8" s="120">
        <v>46078</v>
      </c>
      <c r="AN8" s="120">
        <v>46079</v>
      </c>
      <c r="AO8" s="120">
        <v>46080</v>
      </c>
      <c r="AP8" s="86">
        <v>46081</v>
      </c>
      <c r="AQ8" s="176"/>
      <c r="AR8" s="87">
        <v>46082</v>
      </c>
      <c r="AS8" s="14">
        <v>46083</v>
      </c>
      <c r="AT8" s="87">
        <v>46084</v>
      </c>
      <c r="AU8" s="14">
        <v>46085</v>
      </c>
      <c r="AV8" s="87">
        <v>46086</v>
      </c>
      <c r="AW8" s="14">
        <v>46087</v>
      </c>
      <c r="AX8" s="87">
        <v>46088</v>
      </c>
      <c r="AY8" s="14">
        <v>46089</v>
      </c>
      <c r="AZ8" s="87">
        <v>46090</v>
      </c>
      <c r="BA8" s="14">
        <v>46091</v>
      </c>
      <c r="BB8" s="87">
        <v>46092</v>
      </c>
      <c r="BC8" s="14">
        <v>46093</v>
      </c>
      <c r="BD8" s="87">
        <v>46094</v>
      </c>
      <c r="BE8" s="14">
        <v>46095</v>
      </c>
      <c r="BF8" s="87">
        <v>46096</v>
      </c>
      <c r="BG8" s="14">
        <v>46097</v>
      </c>
      <c r="BH8" s="87">
        <v>46098</v>
      </c>
      <c r="BI8" s="14">
        <v>46099</v>
      </c>
      <c r="BJ8" s="87">
        <v>46100</v>
      </c>
      <c r="BK8" s="14">
        <v>46101</v>
      </c>
      <c r="BL8" s="87">
        <v>46102</v>
      </c>
      <c r="BM8" s="14">
        <v>46103</v>
      </c>
      <c r="BN8" s="87">
        <v>46104</v>
      </c>
      <c r="BO8" s="14">
        <v>46105</v>
      </c>
      <c r="BP8" s="87">
        <v>46106</v>
      </c>
      <c r="BQ8" s="14">
        <v>46107</v>
      </c>
      <c r="BR8" s="87">
        <v>46108</v>
      </c>
      <c r="BS8" s="14">
        <v>46109</v>
      </c>
      <c r="BT8" s="87">
        <v>46110</v>
      </c>
      <c r="BU8" s="14">
        <v>46111</v>
      </c>
      <c r="BV8" s="87">
        <v>46112</v>
      </c>
      <c r="BW8" s="176"/>
      <c r="BX8" s="87">
        <v>46113</v>
      </c>
      <c r="BY8" s="14">
        <v>46114</v>
      </c>
      <c r="BZ8" s="87">
        <v>46115</v>
      </c>
      <c r="CA8" s="14">
        <v>46116</v>
      </c>
      <c r="CB8" s="87">
        <v>46117</v>
      </c>
      <c r="CC8" s="14">
        <v>46118</v>
      </c>
      <c r="CD8" s="87">
        <v>46119</v>
      </c>
      <c r="CE8" s="14">
        <v>46120</v>
      </c>
      <c r="CF8" s="87">
        <v>46121</v>
      </c>
      <c r="CG8" s="14">
        <v>46122</v>
      </c>
      <c r="CH8" s="87">
        <v>46123</v>
      </c>
      <c r="CI8" s="14">
        <v>46124</v>
      </c>
      <c r="CJ8" s="87">
        <v>46125</v>
      </c>
      <c r="CK8" s="14">
        <v>46126</v>
      </c>
      <c r="CL8" s="87">
        <v>46127</v>
      </c>
      <c r="CM8" s="14">
        <v>46128</v>
      </c>
      <c r="CN8" s="87">
        <v>46129</v>
      </c>
      <c r="CO8" s="14">
        <v>46130</v>
      </c>
      <c r="CP8" s="87">
        <v>46131</v>
      </c>
      <c r="CQ8" s="14">
        <v>46132</v>
      </c>
      <c r="CR8" s="87">
        <v>46133</v>
      </c>
      <c r="CS8" s="14">
        <v>46134</v>
      </c>
      <c r="CT8" s="87">
        <v>46135</v>
      </c>
      <c r="CU8" s="14">
        <v>46136</v>
      </c>
      <c r="CV8" s="87">
        <v>46137</v>
      </c>
      <c r="CW8" s="14">
        <v>46138</v>
      </c>
      <c r="CX8" s="87">
        <v>46139</v>
      </c>
      <c r="CY8" s="14">
        <v>46140</v>
      </c>
      <c r="CZ8" s="87">
        <v>46141</v>
      </c>
      <c r="DA8" s="51">
        <v>46142</v>
      </c>
      <c r="DB8" s="70">
        <v>46143</v>
      </c>
      <c r="DC8" s="12">
        <v>46144</v>
      </c>
      <c r="DD8" s="12">
        <v>46145</v>
      </c>
      <c r="DE8" s="12">
        <v>46146</v>
      </c>
      <c r="DF8" s="12">
        <v>46147</v>
      </c>
      <c r="DG8" s="12">
        <v>46148</v>
      </c>
      <c r="DH8" s="12">
        <v>46149</v>
      </c>
      <c r="DI8" s="12">
        <v>46150</v>
      </c>
      <c r="DJ8" s="12">
        <v>46151</v>
      </c>
      <c r="DK8" s="12">
        <v>46152</v>
      </c>
      <c r="DL8" s="12">
        <v>46153</v>
      </c>
      <c r="DM8" s="12">
        <v>46154</v>
      </c>
      <c r="DN8" s="12">
        <v>46155</v>
      </c>
      <c r="DO8" s="12">
        <v>46156</v>
      </c>
      <c r="DP8" s="12">
        <v>46157</v>
      </c>
      <c r="DQ8" s="12">
        <v>46158</v>
      </c>
      <c r="DR8" s="12">
        <v>46159</v>
      </c>
      <c r="DS8" s="14">
        <v>46160</v>
      </c>
      <c r="DT8" s="12">
        <v>46161</v>
      </c>
      <c r="DU8" s="14">
        <v>46162</v>
      </c>
      <c r="DV8" s="12">
        <v>46163</v>
      </c>
      <c r="DW8" s="14">
        <v>46164</v>
      </c>
      <c r="DX8" s="12">
        <v>46165</v>
      </c>
      <c r="DY8" s="14">
        <v>46166</v>
      </c>
      <c r="DZ8" s="12">
        <v>46167</v>
      </c>
      <c r="EA8" s="14">
        <v>46168</v>
      </c>
      <c r="EB8" s="12">
        <v>46169</v>
      </c>
      <c r="EC8" s="14">
        <v>46170</v>
      </c>
      <c r="ED8" s="12">
        <v>46171</v>
      </c>
      <c r="EE8" s="14">
        <v>46172</v>
      </c>
      <c r="EF8" s="51">
        <v>46173</v>
      </c>
      <c r="EG8" s="87">
        <v>46174</v>
      </c>
      <c r="EH8" s="51">
        <v>46175</v>
      </c>
      <c r="EI8" s="51">
        <v>46176</v>
      </c>
      <c r="EJ8" s="51">
        <v>46177</v>
      </c>
      <c r="EK8" s="51">
        <v>46178</v>
      </c>
      <c r="EL8" s="51">
        <v>46179</v>
      </c>
      <c r="EM8" s="51">
        <v>46180</v>
      </c>
      <c r="EN8" s="51">
        <v>46181</v>
      </c>
      <c r="EO8" s="51">
        <v>46182</v>
      </c>
      <c r="EP8" s="51">
        <v>46183</v>
      </c>
      <c r="EQ8" s="51">
        <v>46184</v>
      </c>
      <c r="ER8" s="51">
        <v>46185</v>
      </c>
      <c r="ES8" s="51">
        <v>46186</v>
      </c>
      <c r="ET8" s="51">
        <v>46187</v>
      </c>
      <c r="EU8" s="51">
        <v>46188</v>
      </c>
      <c r="EV8" s="51">
        <v>46189</v>
      </c>
      <c r="EW8" s="51">
        <v>46190</v>
      </c>
      <c r="EX8" s="51">
        <v>46191</v>
      </c>
      <c r="EY8" s="51">
        <v>46192</v>
      </c>
      <c r="EZ8" s="14">
        <v>46193</v>
      </c>
      <c r="FA8" s="51">
        <v>46194</v>
      </c>
      <c r="FB8" s="14">
        <v>46195</v>
      </c>
      <c r="FC8" s="51">
        <v>46196</v>
      </c>
      <c r="FD8" s="14">
        <v>46197</v>
      </c>
      <c r="FE8" s="51">
        <v>46198</v>
      </c>
      <c r="FF8" s="14">
        <v>46199</v>
      </c>
      <c r="FG8" s="51">
        <v>46200</v>
      </c>
      <c r="FH8" s="14">
        <v>46201</v>
      </c>
      <c r="FI8" s="51">
        <v>46202</v>
      </c>
      <c r="FJ8" s="51">
        <v>46203</v>
      </c>
      <c r="FK8" s="167">
        <v>46204</v>
      </c>
      <c r="FL8" s="14">
        <v>46205</v>
      </c>
      <c r="FM8" s="14">
        <v>46206</v>
      </c>
      <c r="FN8" s="14">
        <v>46207</v>
      </c>
      <c r="FO8" s="14">
        <v>46208</v>
      </c>
      <c r="FP8" s="14">
        <v>46209</v>
      </c>
      <c r="FQ8" s="14">
        <v>46210</v>
      </c>
      <c r="FR8" s="14">
        <v>46211</v>
      </c>
      <c r="FS8" s="14">
        <v>46212</v>
      </c>
      <c r="FT8" s="14">
        <v>46213</v>
      </c>
      <c r="FU8" s="14">
        <v>46214</v>
      </c>
      <c r="FV8" s="14">
        <v>46215</v>
      </c>
      <c r="FW8" s="14">
        <v>46216</v>
      </c>
      <c r="FX8" s="14">
        <v>46217</v>
      </c>
      <c r="FY8" s="14">
        <v>46218</v>
      </c>
      <c r="FZ8" s="14">
        <v>46219</v>
      </c>
      <c r="GA8" s="14">
        <v>46220</v>
      </c>
      <c r="GB8" s="14">
        <v>46221</v>
      </c>
      <c r="GC8" s="14">
        <v>46222</v>
      </c>
      <c r="GD8" s="14">
        <v>46223</v>
      </c>
      <c r="GE8" s="14">
        <v>46224</v>
      </c>
      <c r="GF8" s="14">
        <v>46225</v>
      </c>
      <c r="GG8" s="14">
        <v>46226</v>
      </c>
      <c r="GH8" s="14">
        <v>46227</v>
      </c>
      <c r="GI8" s="14">
        <v>46228</v>
      </c>
      <c r="GJ8" s="14">
        <v>46229</v>
      </c>
      <c r="GK8" s="14">
        <v>46230</v>
      </c>
      <c r="GL8" s="14">
        <v>46231</v>
      </c>
      <c r="GM8" s="14">
        <v>46232</v>
      </c>
      <c r="GN8" s="14">
        <v>46233</v>
      </c>
      <c r="GO8" s="51">
        <v>46234</v>
      </c>
      <c r="GP8" s="374">
        <v>46235</v>
      </c>
      <c r="GQ8" s="375">
        <v>46236</v>
      </c>
      <c r="GR8" s="375">
        <v>46237</v>
      </c>
      <c r="GS8" s="375">
        <v>46238</v>
      </c>
      <c r="GT8" s="375">
        <v>46239</v>
      </c>
      <c r="GU8" s="375">
        <v>46240</v>
      </c>
      <c r="GV8" s="375">
        <v>46241</v>
      </c>
      <c r="GW8" s="375">
        <v>46242</v>
      </c>
      <c r="GX8" s="375">
        <v>46243</v>
      </c>
      <c r="GY8" s="375">
        <v>46244</v>
      </c>
      <c r="GZ8" s="375">
        <v>46245</v>
      </c>
      <c r="HA8" s="375">
        <v>46246</v>
      </c>
      <c r="HB8" s="375">
        <v>46247</v>
      </c>
      <c r="HC8" s="375">
        <v>46248</v>
      </c>
      <c r="HD8" s="375">
        <v>46249</v>
      </c>
      <c r="HE8" s="375">
        <v>46250</v>
      </c>
      <c r="HF8" s="375">
        <v>46251</v>
      </c>
      <c r="HG8" s="375">
        <v>46252</v>
      </c>
      <c r="HH8" s="375">
        <v>46253</v>
      </c>
      <c r="HI8" s="375">
        <v>46254</v>
      </c>
      <c r="HJ8" s="375">
        <v>46255</v>
      </c>
      <c r="HK8" s="375">
        <v>46256</v>
      </c>
      <c r="HL8" s="375">
        <v>46257</v>
      </c>
      <c r="HM8" s="375">
        <v>46258</v>
      </c>
      <c r="HN8" s="375">
        <v>46259</v>
      </c>
      <c r="HO8" s="375">
        <v>46260</v>
      </c>
      <c r="HP8" s="375">
        <v>46261</v>
      </c>
      <c r="HQ8" s="375">
        <v>46262</v>
      </c>
      <c r="HR8" s="375">
        <v>46263</v>
      </c>
      <c r="HS8" s="375">
        <v>46264</v>
      </c>
      <c r="HT8" s="373">
        <v>46265</v>
      </c>
      <c r="HU8" s="348" t="s">
        <v>26</v>
      </c>
    </row>
    <row r="9" spans="1:229" x14ac:dyDescent="0.25">
      <c r="A9" s="9">
        <v>1</v>
      </c>
      <c r="B9" s="502" t="s">
        <v>23</v>
      </c>
      <c r="C9" s="22" t="s">
        <v>1</v>
      </c>
      <c r="D9" s="28" t="s">
        <v>19</v>
      </c>
      <c r="E9" s="26">
        <v>36</v>
      </c>
      <c r="F9" s="13">
        <v>0</v>
      </c>
      <c r="G9" s="13">
        <v>0</v>
      </c>
      <c r="H9" s="13">
        <v>0</v>
      </c>
      <c r="I9" s="13">
        <v>0</v>
      </c>
      <c r="J9" s="13">
        <v>16</v>
      </c>
      <c r="K9" s="13">
        <v>0</v>
      </c>
      <c r="L9" s="13">
        <v>0</v>
      </c>
      <c r="M9" s="123">
        <f>SUM(E9:L9)</f>
        <v>52</v>
      </c>
      <c r="N9" s="141"/>
      <c r="O9" s="71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152">
        <v>17.100000000000001</v>
      </c>
      <c r="X9" s="152">
        <v>0</v>
      </c>
      <c r="Y9" s="37">
        <v>0</v>
      </c>
      <c r="Z9" s="37">
        <v>0</v>
      </c>
      <c r="AA9" s="37">
        <v>0</v>
      </c>
      <c r="AB9" s="37">
        <v>6.4</v>
      </c>
      <c r="AC9" s="152">
        <v>5.5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15</v>
      </c>
      <c r="AJ9" s="37">
        <v>0</v>
      </c>
      <c r="AK9" s="37">
        <v>10</v>
      </c>
      <c r="AL9" s="37">
        <v>0</v>
      </c>
      <c r="AM9" s="37">
        <v>0</v>
      </c>
      <c r="AN9" s="37">
        <v>0</v>
      </c>
      <c r="AO9" s="37">
        <v>0</v>
      </c>
      <c r="AP9" s="157">
        <v>6</v>
      </c>
      <c r="AQ9" s="165"/>
      <c r="AR9" s="37">
        <v>0</v>
      </c>
      <c r="AS9" s="152">
        <v>15.7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152">
        <v>65.099999999999994</v>
      </c>
      <c r="AZ9" s="37">
        <v>0</v>
      </c>
      <c r="BA9" s="37">
        <v>0</v>
      </c>
      <c r="BB9" s="152">
        <v>21</v>
      </c>
      <c r="BC9" s="37">
        <v>0</v>
      </c>
      <c r="BD9" s="37">
        <v>0</v>
      </c>
      <c r="BE9" s="37">
        <v>0</v>
      </c>
      <c r="BF9" s="152">
        <v>16.2</v>
      </c>
      <c r="BG9" s="37">
        <v>0</v>
      </c>
      <c r="BH9" s="37">
        <v>0</v>
      </c>
      <c r="BI9" s="152">
        <f>8.5+17.7</f>
        <v>26.2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152">
        <v>16.399999999999999</v>
      </c>
      <c r="BP9" s="37">
        <v>0</v>
      </c>
      <c r="BQ9" s="37">
        <v>11</v>
      </c>
      <c r="BR9" s="37">
        <v>0</v>
      </c>
      <c r="BS9" s="152">
        <v>31.3</v>
      </c>
      <c r="BT9" s="37">
        <v>0</v>
      </c>
      <c r="BU9" s="37">
        <v>0</v>
      </c>
      <c r="BV9" s="246">
        <f>13+5.5</f>
        <v>18.5</v>
      </c>
      <c r="BW9" s="165"/>
      <c r="BX9" s="152">
        <v>12.8</v>
      </c>
      <c r="BY9" s="152">
        <v>10.1</v>
      </c>
      <c r="BZ9" s="37">
        <v>0</v>
      </c>
      <c r="CA9" s="37">
        <v>23</v>
      </c>
      <c r="CB9" s="37">
        <v>10</v>
      </c>
      <c r="CC9" s="152">
        <v>23.4</v>
      </c>
      <c r="CD9" s="37">
        <v>14</v>
      </c>
      <c r="CE9" s="152">
        <v>13.3</v>
      </c>
      <c r="CF9" s="37">
        <v>0</v>
      </c>
      <c r="CG9" s="37">
        <v>0</v>
      </c>
      <c r="CH9" s="37">
        <v>0</v>
      </c>
      <c r="CI9" s="37">
        <v>0</v>
      </c>
      <c r="CJ9" s="152">
        <v>12.9</v>
      </c>
      <c r="CK9" s="37">
        <v>0</v>
      </c>
      <c r="CL9" s="152">
        <v>70.2</v>
      </c>
      <c r="CM9" s="37">
        <v>0</v>
      </c>
      <c r="CN9" s="267">
        <v>0</v>
      </c>
      <c r="CO9" s="267">
        <v>16</v>
      </c>
      <c r="CP9" s="281">
        <v>15.8</v>
      </c>
      <c r="CQ9" s="267">
        <v>15</v>
      </c>
      <c r="CR9" s="267">
        <v>0</v>
      </c>
      <c r="CS9" s="281">
        <v>15.1</v>
      </c>
      <c r="CT9" s="281">
        <v>32.9</v>
      </c>
      <c r="CU9" s="281">
        <v>0</v>
      </c>
      <c r="CV9" s="267">
        <v>10</v>
      </c>
      <c r="CW9" s="267">
        <v>5</v>
      </c>
      <c r="CX9" s="267">
        <v>0</v>
      </c>
      <c r="CY9" s="267">
        <v>0</v>
      </c>
      <c r="CZ9" s="267">
        <v>0</v>
      </c>
      <c r="DA9" s="268">
        <v>47</v>
      </c>
      <c r="DB9" s="88">
        <v>0</v>
      </c>
      <c r="DC9" s="68">
        <v>0</v>
      </c>
      <c r="DD9" s="266">
        <v>5</v>
      </c>
      <c r="DE9" s="68">
        <v>8</v>
      </c>
      <c r="DF9" s="68">
        <v>7</v>
      </c>
      <c r="DG9" s="319">
        <v>21.7</v>
      </c>
      <c r="DH9" s="266">
        <v>0</v>
      </c>
      <c r="DI9" s="266">
        <v>0</v>
      </c>
      <c r="DJ9" s="266">
        <v>16</v>
      </c>
      <c r="DK9" s="266">
        <v>0</v>
      </c>
      <c r="DL9" s="266">
        <v>0</v>
      </c>
      <c r="DM9" s="266">
        <v>12</v>
      </c>
      <c r="DN9" s="266">
        <v>0</v>
      </c>
      <c r="DO9" s="266">
        <v>0</v>
      </c>
      <c r="DP9" s="266">
        <v>0</v>
      </c>
      <c r="DQ9" s="266">
        <v>12</v>
      </c>
      <c r="DR9" s="266">
        <v>0</v>
      </c>
      <c r="DS9" s="266">
        <v>7</v>
      </c>
      <c r="DT9" s="266">
        <v>0</v>
      </c>
      <c r="DU9" s="266">
        <v>0</v>
      </c>
      <c r="DV9" s="266">
        <v>6</v>
      </c>
      <c r="DW9" s="266">
        <v>0</v>
      </c>
      <c r="DX9" s="266">
        <v>0</v>
      </c>
      <c r="DY9" s="266">
        <v>6</v>
      </c>
      <c r="DZ9" s="266">
        <v>0</v>
      </c>
      <c r="EA9" s="266">
        <v>0</v>
      </c>
      <c r="EB9" s="266">
        <v>0</v>
      </c>
      <c r="EC9" s="266">
        <v>0</v>
      </c>
      <c r="ED9" s="266">
        <v>0</v>
      </c>
      <c r="EE9" s="266">
        <v>0</v>
      </c>
      <c r="EF9" s="270">
        <v>0</v>
      </c>
      <c r="EG9" s="342">
        <v>0</v>
      </c>
      <c r="EH9" s="266">
        <v>0</v>
      </c>
      <c r="EI9" s="266">
        <v>0</v>
      </c>
      <c r="EJ9" s="266">
        <v>0</v>
      </c>
      <c r="EK9" s="266">
        <v>0</v>
      </c>
      <c r="EL9" s="266">
        <v>0</v>
      </c>
      <c r="EM9" s="266">
        <v>0</v>
      </c>
      <c r="EN9" s="266">
        <v>0</v>
      </c>
      <c r="EO9" s="266">
        <v>0</v>
      </c>
      <c r="EP9" s="266">
        <v>0</v>
      </c>
      <c r="EQ9" s="266">
        <v>0</v>
      </c>
      <c r="ER9" s="266">
        <v>0</v>
      </c>
      <c r="ES9" s="266">
        <v>0</v>
      </c>
      <c r="ET9" s="266">
        <v>0</v>
      </c>
      <c r="EU9" s="266">
        <v>0</v>
      </c>
      <c r="EV9" s="266">
        <v>0</v>
      </c>
      <c r="EW9" s="266">
        <v>0</v>
      </c>
      <c r="EX9" s="266">
        <v>0</v>
      </c>
      <c r="EY9" s="266">
        <v>0</v>
      </c>
      <c r="EZ9" s="266">
        <v>0</v>
      </c>
      <c r="FA9" s="266">
        <v>0</v>
      </c>
      <c r="FB9" s="266">
        <v>0</v>
      </c>
      <c r="FC9" s="266">
        <v>0</v>
      </c>
      <c r="FD9" s="266">
        <v>0</v>
      </c>
      <c r="FE9" s="266">
        <v>0</v>
      </c>
      <c r="FF9" s="266">
        <v>0</v>
      </c>
      <c r="FG9" s="266">
        <v>0</v>
      </c>
      <c r="FH9" s="266">
        <v>0</v>
      </c>
      <c r="FI9" s="266">
        <v>0</v>
      </c>
      <c r="FJ9" s="269">
        <v>0</v>
      </c>
      <c r="FK9" s="342">
        <v>0</v>
      </c>
      <c r="FL9" s="266">
        <v>0</v>
      </c>
      <c r="FM9" s="266">
        <v>0</v>
      </c>
      <c r="FN9" s="266">
        <v>0</v>
      </c>
      <c r="FO9" s="266">
        <v>0</v>
      </c>
      <c r="FP9" s="266">
        <v>0</v>
      </c>
      <c r="FQ9" s="266">
        <v>0</v>
      </c>
      <c r="FR9" s="266">
        <v>0</v>
      </c>
      <c r="FS9" s="266">
        <v>0</v>
      </c>
      <c r="FT9" s="266">
        <v>0</v>
      </c>
      <c r="FU9" s="266">
        <v>0</v>
      </c>
      <c r="FV9" s="266">
        <v>0</v>
      </c>
      <c r="FW9" s="266">
        <v>0</v>
      </c>
      <c r="FX9" s="266">
        <v>0</v>
      </c>
      <c r="FY9" s="266">
        <v>0</v>
      </c>
      <c r="FZ9" s="266">
        <v>0</v>
      </c>
      <c r="GA9" s="266">
        <v>0</v>
      </c>
      <c r="GB9" s="266">
        <v>0</v>
      </c>
      <c r="GC9" s="266">
        <v>0</v>
      </c>
      <c r="GD9" s="266">
        <v>0</v>
      </c>
      <c r="GE9" s="266">
        <v>0</v>
      </c>
      <c r="GF9" s="266">
        <v>0</v>
      </c>
      <c r="GG9" s="266">
        <v>0</v>
      </c>
      <c r="GH9" s="266">
        <v>0</v>
      </c>
      <c r="GI9" s="266">
        <v>0</v>
      </c>
      <c r="GJ9" s="266">
        <v>0</v>
      </c>
      <c r="GK9" s="266">
        <v>0</v>
      </c>
      <c r="GL9" s="266">
        <v>0</v>
      </c>
      <c r="GM9" s="266">
        <v>0</v>
      </c>
      <c r="GN9" s="266">
        <v>0</v>
      </c>
      <c r="GO9" s="270">
        <v>0</v>
      </c>
      <c r="GP9" s="278">
        <v>0</v>
      </c>
      <c r="GQ9" s="265">
        <v>0</v>
      </c>
      <c r="GR9" s="265">
        <v>0</v>
      </c>
      <c r="GS9" s="265">
        <v>0</v>
      </c>
      <c r="GT9" s="266">
        <v>0</v>
      </c>
      <c r="GU9" s="266">
        <v>0</v>
      </c>
      <c r="GV9" s="266">
        <v>0</v>
      </c>
      <c r="GW9" s="266">
        <v>0</v>
      </c>
      <c r="GX9" s="266">
        <v>0</v>
      </c>
      <c r="GY9" s="266">
        <v>0</v>
      </c>
      <c r="GZ9" s="266">
        <v>0</v>
      </c>
      <c r="HA9" s="266">
        <v>0</v>
      </c>
      <c r="HB9" s="266">
        <v>0</v>
      </c>
      <c r="HC9" s="266">
        <v>0</v>
      </c>
      <c r="HD9" s="266">
        <v>0</v>
      </c>
      <c r="HE9" s="266">
        <v>0</v>
      </c>
      <c r="HF9" s="266">
        <v>0</v>
      </c>
      <c r="HG9" s="266">
        <v>0</v>
      </c>
      <c r="HH9" s="266">
        <v>0</v>
      </c>
      <c r="HI9" s="265"/>
      <c r="HJ9" s="265"/>
      <c r="HK9" s="265"/>
      <c r="HL9" s="265"/>
      <c r="HM9" s="265"/>
      <c r="HN9" s="265"/>
      <c r="HO9" s="265"/>
      <c r="HP9" s="265"/>
      <c r="HQ9" s="265"/>
      <c r="HR9" s="265"/>
      <c r="HS9" s="265"/>
      <c r="HT9" s="368"/>
      <c r="HU9" s="360">
        <f>SUM(O9:HT9)</f>
        <v>728.6</v>
      </c>
    </row>
    <row r="10" spans="1:229" x14ac:dyDescent="0.25">
      <c r="A10" s="2">
        <v>2</v>
      </c>
      <c r="B10" s="474"/>
      <c r="C10" s="23" t="s">
        <v>2</v>
      </c>
      <c r="D10" s="29" t="s">
        <v>19</v>
      </c>
      <c r="E10" s="26"/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23">
        <f t="shared" ref="M10:M19" si="0">SUM(E10:L10)</f>
        <v>0</v>
      </c>
      <c r="N10" s="142"/>
      <c r="O10" s="7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01">
        <v>0</v>
      </c>
      <c r="AQ10" s="162"/>
      <c r="AR10" s="64">
        <v>4.5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64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62"/>
      <c r="BX10" s="68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265">
        <v>0</v>
      </c>
      <c r="CO10" s="272">
        <v>0</v>
      </c>
      <c r="CP10" s="265">
        <v>0</v>
      </c>
      <c r="CQ10" s="265">
        <v>0</v>
      </c>
      <c r="CR10" s="265">
        <v>0</v>
      </c>
      <c r="CS10" s="265">
        <v>0</v>
      </c>
      <c r="CT10" s="265">
        <v>0</v>
      </c>
      <c r="CU10" s="265">
        <v>0</v>
      </c>
      <c r="CV10" s="265">
        <v>0</v>
      </c>
      <c r="CW10" s="265">
        <v>0</v>
      </c>
      <c r="CX10" s="265">
        <v>0</v>
      </c>
      <c r="CY10" s="265">
        <v>0</v>
      </c>
      <c r="CZ10" s="265">
        <v>0</v>
      </c>
      <c r="DA10" s="101">
        <v>0</v>
      </c>
      <c r="DB10" s="7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265">
        <v>0</v>
      </c>
      <c r="DI10" s="265">
        <v>0</v>
      </c>
      <c r="DJ10" s="265">
        <v>0</v>
      </c>
      <c r="DK10" s="265">
        <v>0</v>
      </c>
      <c r="DL10" s="265">
        <v>0</v>
      </c>
      <c r="DM10" s="265">
        <v>0</v>
      </c>
      <c r="DN10" s="265">
        <v>0</v>
      </c>
      <c r="DO10" s="265">
        <v>0</v>
      </c>
      <c r="DP10" s="265">
        <v>0</v>
      </c>
      <c r="DQ10" s="265">
        <v>0</v>
      </c>
      <c r="DR10" s="265">
        <v>0</v>
      </c>
      <c r="DS10" s="265">
        <v>0</v>
      </c>
      <c r="DT10" s="265">
        <v>0</v>
      </c>
      <c r="DU10" s="265">
        <v>0</v>
      </c>
      <c r="DV10" s="265">
        <v>0</v>
      </c>
      <c r="DW10" s="265">
        <v>0</v>
      </c>
      <c r="DX10" s="265">
        <v>0</v>
      </c>
      <c r="DY10" s="265">
        <v>0</v>
      </c>
      <c r="DZ10" s="265">
        <v>0</v>
      </c>
      <c r="EA10" s="265">
        <v>0</v>
      </c>
      <c r="EB10" s="265">
        <v>0</v>
      </c>
      <c r="EC10" s="265">
        <v>0</v>
      </c>
      <c r="ED10" s="265">
        <v>0</v>
      </c>
      <c r="EE10" s="265">
        <v>0</v>
      </c>
      <c r="EF10" s="269">
        <v>0</v>
      </c>
      <c r="EG10" s="278">
        <v>0</v>
      </c>
      <c r="EH10" s="265">
        <v>0</v>
      </c>
      <c r="EI10" s="265">
        <v>0</v>
      </c>
      <c r="EJ10" s="265">
        <v>0</v>
      </c>
      <c r="EK10" s="265">
        <v>0</v>
      </c>
      <c r="EL10" s="265">
        <v>0</v>
      </c>
      <c r="EM10" s="265">
        <v>0</v>
      </c>
      <c r="EN10" s="265">
        <v>0</v>
      </c>
      <c r="EO10" s="265">
        <v>0</v>
      </c>
      <c r="EP10" s="265">
        <v>0</v>
      </c>
      <c r="EQ10" s="265">
        <v>0</v>
      </c>
      <c r="ER10" s="265">
        <v>0</v>
      </c>
      <c r="ES10" s="265">
        <v>0</v>
      </c>
      <c r="ET10" s="265">
        <v>0</v>
      </c>
      <c r="EU10" s="265">
        <v>0</v>
      </c>
      <c r="EV10" s="265">
        <v>0</v>
      </c>
      <c r="EW10" s="265">
        <v>0</v>
      </c>
      <c r="EX10" s="265">
        <v>0</v>
      </c>
      <c r="EY10" s="265">
        <v>0</v>
      </c>
      <c r="EZ10" s="265">
        <v>0</v>
      </c>
      <c r="FA10" s="265">
        <v>0</v>
      </c>
      <c r="FB10" s="265">
        <v>0</v>
      </c>
      <c r="FC10" s="265">
        <v>0</v>
      </c>
      <c r="FD10" s="265">
        <v>0</v>
      </c>
      <c r="FE10" s="265">
        <v>0</v>
      </c>
      <c r="FF10" s="265">
        <v>0</v>
      </c>
      <c r="FG10" s="265">
        <v>0</v>
      </c>
      <c r="FH10" s="265">
        <v>0</v>
      </c>
      <c r="FI10" s="265">
        <v>0</v>
      </c>
      <c r="FJ10" s="269">
        <v>0</v>
      </c>
      <c r="FK10" s="278">
        <v>0</v>
      </c>
      <c r="FL10" s="265">
        <v>0</v>
      </c>
      <c r="FM10" s="265">
        <v>0</v>
      </c>
      <c r="FN10" s="265">
        <v>0</v>
      </c>
      <c r="FO10" s="265">
        <v>0</v>
      </c>
      <c r="FP10" s="265">
        <v>0</v>
      </c>
      <c r="FQ10" s="265">
        <v>0</v>
      </c>
      <c r="FR10" s="265">
        <v>0</v>
      </c>
      <c r="FS10" s="265">
        <v>0</v>
      </c>
      <c r="FT10" s="265">
        <v>0</v>
      </c>
      <c r="FU10" s="265">
        <v>0</v>
      </c>
      <c r="FV10" s="265">
        <v>0</v>
      </c>
      <c r="FW10" s="265">
        <v>0</v>
      </c>
      <c r="FX10" s="265">
        <v>0</v>
      </c>
      <c r="FY10" s="265">
        <v>0</v>
      </c>
      <c r="FZ10" s="265">
        <v>0</v>
      </c>
      <c r="GA10" s="265">
        <v>0</v>
      </c>
      <c r="GB10" s="265">
        <v>0</v>
      </c>
      <c r="GC10" s="265">
        <v>0</v>
      </c>
      <c r="GD10" s="265">
        <v>0</v>
      </c>
      <c r="GE10" s="265">
        <v>0</v>
      </c>
      <c r="GF10" s="265">
        <v>0</v>
      </c>
      <c r="GG10" s="265">
        <v>0</v>
      </c>
      <c r="GH10" s="265">
        <v>0</v>
      </c>
      <c r="GI10" s="265">
        <v>0</v>
      </c>
      <c r="GJ10" s="265">
        <v>0</v>
      </c>
      <c r="GK10" s="265">
        <v>0</v>
      </c>
      <c r="GL10" s="265">
        <v>0</v>
      </c>
      <c r="GM10" s="265">
        <v>0</v>
      </c>
      <c r="GN10" s="265">
        <v>0</v>
      </c>
      <c r="GO10" s="269">
        <v>0</v>
      </c>
      <c r="GP10" s="278">
        <v>0</v>
      </c>
      <c r="GQ10" s="265">
        <v>0</v>
      </c>
      <c r="GR10" s="265">
        <v>0</v>
      </c>
      <c r="GS10" s="265">
        <v>0</v>
      </c>
      <c r="GT10" s="265">
        <v>0</v>
      </c>
      <c r="GU10" s="265">
        <v>0</v>
      </c>
      <c r="GV10" s="265">
        <v>0</v>
      </c>
      <c r="GW10" s="265">
        <v>0</v>
      </c>
      <c r="GX10" s="265">
        <v>0</v>
      </c>
      <c r="GY10" s="265">
        <v>0</v>
      </c>
      <c r="GZ10" s="265">
        <v>0</v>
      </c>
      <c r="HA10" s="265">
        <v>0</v>
      </c>
      <c r="HB10" s="265">
        <v>0</v>
      </c>
      <c r="HC10" s="265">
        <v>0</v>
      </c>
      <c r="HD10" s="265">
        <v>0</v>
      </c>
      <c r="HE10" s="265">
        <v>0</v>
      </c>
      <c r="HF10" s="265">
        <v>0</v>
      </c>
      <c r="HG10" s="265">
        <v>0</v>
      </c>
      <c r="HH10" s="265">
        <v>0</v>
      </c>
      <c r="HI10" s="265"/>
      <c r="HJ10" s="265"/>
      <c r="HK10" s="265"/>
      <c r="HL10" s="265"/>
      <c r="HM10" s="265"/>
      <c r="HN10" s="265"/>
      <c r="HO10" s="265"/>
      <c r="HP10" s="265"/>
      <c r="HQ10" s="265"/>
      <c r="HR10" s="265"/>
      <c r="HS10" s="265"/>
      <c r="HT10" s="368"/>
      <c r="HU10" s="360">
        <f t="shared" ref="HU10:HU19" si="1">SUM(O10:HT10)</f>
        <v>4.5</v>
      </c>
    </row>
    <row r="11" spans="1:229" x14ac:dyDescent="0.25">
      <c r="A11" s="2">
        <v>3</v>
      </c>
      <c r="B11" s="474"/>
      <c r="C11" s="23" t="s">
        <v>3</v>
      </c>
      <c r="D11" s="29" t="s">
        <v>19</v>
      </c>
      <c r="E11" s="26"/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23">
        <f t="shared" si="0"/>
        <v>0</v>
      </c>
      <c r="N11" s="142"/>
      <c r="O11" s="7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01">
        <v>0</v>
      </c>
      <c r="AQ11" s="162"/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64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62"/>
      <c r="BX11" s="68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22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265">
        <v>0</v>
      </c>
      <c r="CO11" s="272">
        <v>0</v>
      </c>
      <c r="CP11" s="265">
        <v>0</v>
      </c>
      <c r="CQ11" s="265">
        <v>0</v>
      </c>
      <c r="CR11" s="265">
        <v>0</v>
      </c>
      <c r="CS11" s="265">
        <v>0</v>
      </c>
      <c r="CT11" s="265">
        <v>0</v>
      </c>
      <c r="CU11" s="265">
        <v>0</v>
      </c>
      <c r="CV11" s="265">
        <v>0</v>
      </c>
      <c r="CW11" s="265">
        <v>0</v>
      </c>
      <c r="CX11" s="265">
        <v>0</v>
      </c>
      <c r="CY11" s="265">
        <v>0</v>
      </c>
      <c r="CZ11" s="265">
        <v>0</v>
      </c>
      <c r="DA11" s="101">
        <v>0</v>
      </c>
      <c r="DB11" s="7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265">
        <v>0</v>
      </c>
      <c r="DI11" s="265">
        <v>0</v>
      </c>
      <c r="DJ11" s="265">
        <v>0</v>
      </c>
      <c r="DK11" s="265">
        <v>0</v>
      </c>
      <c r="DL11" s="265">
        <v>0</v>
      </c>
      <c r="DM11" s="265">
        <v>0</v>
      </c>
      <c r="DN11" s="265">
        <v>0</v>
      </c>
      <c r="DO11" s="265">
        <v>0</v>
      </c>
      <c r="DP11" s="265">
        <v>0</v>
      </c>
      <c r="DQ11" s="265">
        <v>0</v>
      </c>
      <c r="DR11" s="265">
        <v>0</v>
      </c>
      <c r="DS11" s="265">
        <v>0</v>
      </c>
      <c r="DT11" s="265">
        <v>0</v>
      </c>
      <c r="DU11" s="265">
        <v>0</v>
      </c>
      <c r="DV11" s="265">
        <v>0</v>
      </c>
      <c r="DW11" s="265">
        <v>0</v>
      </c>
      <c r="DX11" s="265">
        <v>0</v>
      </c>
      <c r="DY11" s="265">
        <v>0</v>
      </c>
      <c r="DZ11" s="265">
        <v>0</v>
      </c>
      <c r="EA11" s="265">
        <v>0</v>
      </c>
      <c r="EB11" s="265">
        <v>0</v>
      </c>
      <c r="EC11" s="265">
        <v>0</v>
      </c>
      <c r="ED11" s="265">
        <v>0</v>
      </c>
      <c r="EE11" s="265">
        <v>0</v>
      </c>
      <c r="EF11" s="269">
        <v>0</v>
      </c>
      <c r="EG11" s="278">
        <v>0</v>
      </c>
      <c r="EH11" s="265">
        <v>0</v>
      </c>
      <c r="EI11" s="265">
        <v>0</v>
      </c>
      <c r="EJ11" s="265">
        <v>0</v>
      </c>
      <c r="EK11" s="265">
        <v>0</v>
      </c>
      <c r="EL11" s="265">
        <v>0</v>
      </c>
      <c r="EM11" s="265">
        <v>0</v>
      </c>
      <c r="EN11" s="265">
        <v>0</v>
      </c>
      <c r="EO11" s="265">
        <v>0</v>
      </c>
      <c r="EP11" s="265">
        <v>0</v>
      </c>
      <c r="EQ11" s="265">
        <v>0</v>
      </c>
      <c r="ER11" s="265">
        <v>0</v>
      </c>
      <c r="ES11" s="265">
        <v>0</v>
      </c>
      <c r="ET11" s="265">
        <v>0</v>
      </c>
      <c r="EU11" s="265">
        <v>0</v>
      </c>
      <c r="EV11" s="265">
        <v>0</v>
      </c>
      <c r="EW11" s="265">
        <v>0</v>
      </c>
      <c r="EX11" s="265">
        <v>0</v>
      </c>
      <c r="EY11" s="265">
        <v>0</v>
      </c>
      <c r="EZ11" s="265">
        <v>0</v>
      </c>
      <c r="FA11" s="265">
        <v>0</v>
      </c>
      <c r="FB11" s="265">
        <v>0</v>
      </c>
      <c r="FC11" s="265">
        <v>0</v>
      </c>
      <c r="FD11" s="265">
        <v>0</v>
      </c>
      <c r="FE11" s="265">
        <v>0</v>
      </c>
      <c r="FF11" s="265">
        <v>0</v>
      </c>
      <c r="FG11" s="265">
        <v>0</v>
      </c>
      <c r="FH11" s="265">
        <v>0</v>
      </c>
      <c r="FI11" s="265">
        <v>0</v>
      </c>
      <c r="FJ11" s="269">
        <v>0</v>
      </c>
      <c r="FK11" s="278">
        <v>0</v>
      </c>
      <c r="FL11" s="265">
        <v>0</v>
      </c>
      <c r="FM11" s="265">
        <v>0</v>
      </c>
      <c r="FN11" s="265">
        <v>0</v>
      </c>
      <c r="FO11" s="265">
        <v>0</v>
      </c>
      <c r="FP11" s="265">
        <v>0</v>
      </c>
      <c r="FQ11" s="265">
        <v>0</v>
      </c>
      <c r="FR11" s="265">
        <v>0</v>
      </c>
      <c r="FS11" s="265">
        <v>0</v>
      </c>
      <c r="FT11" s="265">
        <v>0</v>
      </c>
      <c r="FU11" s="265">
        <v>0</v>
      </c>
      <c r="FV11" s="265">
        <v>0</v>
      </c>
      <c r="FW11" s="265">
        <v>0</v>
      </c>
      <c r="FX11" s="265">
        <v>0</v>
      </c>
      <c r="FY11" s="265">
        <v>0</v>
      </c>
      <c r="FZ11" s="265">
        <v>0</v>
      </c>
      <c r="GA11" s="265">
        <v>0</v>
      </c>
      <c r="GB11" s="265">
        <v>0</v>
      </c>
      <c r="GC11" s="265">
        <v>0</v>
      </c>
      <c r="GD11" s="265">
        <v>0</v>
      </c>
      <c r="GE11" s="265">
        <v>0</v>
      </c>
      <c r="GF11" s="265">
        <v>0</v>
      </c>
      <c r="GG11" s="265">
        <v>0</v>
      </c>
      <c r="GH11" s="265">
        <v>0</v>
      </c>
      <c r="GI11" s="265">
        <v>0</v>
      </c>
      <c r="GJ11" s="265">
        <v>0</v>
      </c>
      <c r="GK11" s="265">
        <v>0</v>
      </c>
      <c r="GL11" s="265">
        <v>0</v>
      </c>
      <c r="GM11" s="265">
        <v>0</v>
      </c>
      <c r="GN11" s="265">
        <v>0</v>
      </c>
      <c r="GO11" s="269">
        <v>0</v>
      </c>
      <c r="GP11" s="278">
        <v>0</v>
      </c>
      <c r="GQ11" s="265">
        <v>0</v>
      </c>
      <c r="GR11" s="265">
        <v>0</v>
      </c>
      <c r="GS11" s="265">
        <v>0</v>
      </c>
      <c r="GT11" s="265">
        <v>0</v>
      </c>
      <c r="GU11" s="265">
        <v>0</v>
      </c>
      <c r="GV11" s="265">
        <v>0</v>
      </c>
      <c r="GW11" s="265">
        <v>0</v>
      </c>
      <c r="GX11" s="265">
        <v>0</v>
      </c>
      <c r="GY11" s="265">
        <v>0</v>
      </c>
      <c r="GZ11" s="265">
        <v>0</v>
      </c>
      <c r="HA11" s="265">
        <v>0</v>
      </c>
      <c r="HB11" s="265">
        <v>0</v>
      </c>
      <c r="HC11" s="265">
        <v>0</v>
      </c>
      <c r="HD11" s="265">
        <v>0</v>
      </c>
      <c r="HE11" s="265">
        <v>0</v>
      </c>
      <c r="HF11" s="265">
        <v>0</v>
      </c>
      <c r="HG11" s="265">
        <v>0</v>
      </c>
      <c r="HH11" s="265">
        <v>0</v>
      </c>
      <c r="HI11" s="265"/>
      <c r="HJ11" s="265"/>
      <c r="HK11" s="265"/>
      <c r="HL11" s="265"/>
      <c r="HM11" s="265"/>
      <c r="HN11" s="265"/>
      <c r="HO11" s="265"/>
      <c r="HP11" s="265"/>
      <c r="HQ11" s="265"/>
      <c r="HR11" s="265"/>
      <c r="HS11" s="265"/>
      <c r="HT11" s="368"/>
      <c r="HU11" s="360">
        <f t="shared" si="1"/>
        <v>22</v>
      </c>
    </row>
    <row r="12" spans="1:229" ht="12.75" customHeight="1" x14ac:dyDescent="0.25">
      <c r="A12" s="2">
        <v>4</v>
      </c>
      <c r="B12" s="474"/>
      <c r="C12" s="23" t="s">
        <v>4</v>
      </c>
      <c r="D12" s="29" t="s">
        <v>19</v>
      </c>
      <c r="E12" s="26"/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23">
        <f t="shared" si="0"/>
        <v>0</v>
      </c>
      <c r="N12" s="142"/>
      <c r="O12" s="7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14</v>
      </c>
      <c r="W12" s="13">
        <v>0</v>
      </c>
      <c r="X12" s="64">
        <v>4.1500000000000004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64">
        <v>12.4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10</v>
      </c>
      <c r="AN12" s="13">
        <v>10</v>
      </c>
      <c r="AO12" s="13">
        <v>0</v>
      </c>
      <c r="AP12" s="101">
        <v>0</v>
      </c>
      <c r="AQ12" s="162"/>
      <c r="AR12" s="13">
        <v>0</v>
      </c>
      <c r="AS12" s="13">
        <v>0</v>
      </c>
      <c r="AT12" s="64">
        <v>17.5</v>
      </c>
      <c r="AU12" s="13">
        <v>0</v>
      </c>
      <c r="AV12" s="13">
        <v>4</v>
      </c>
      <c r="AW12" s="13">
        <v>0</v>
      </c>
      <c r="AX12" s="13">
        <v>0</v>
      </c>
      <c r="AY12" s="13">
        <v>5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64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62"/>
      <c r="BX12" s="68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265">
        <v>0</v>
      </c>
      <c r="CO12" s="272">
        <v>0</v>
      </c>
      <c r="CP12" s="265">
        <v>0</v>
      </c>
      <c r="CQ12" s="265">
        <v>0</v>
      </c>
      <c r="CR12" s="265">
        <v>0</v>
      </c>
      <c r="CS12" s="265">
        <v>0</v>
      </c>
      <c r="CT12" s="265">
        <v>0</v>
      </c>
      <c r="CU12" s="265">
        <v>0</v>
      </c>
      <c r="CV12" s="265">
        <v>0</v>
      </c>
      <c r="CW12" s="265">
        <v>0</v>
      </c>
      <c r="CX12" s="265">
        <v>0</v>
      </c>
      <c r="CY12" s="265">
        <v>0</v>
      </c>
      <c r="CZ12" s="265">
        <v>0</v>
      </c>
      <c r="DA12" s="101">
        <v>0</v>
      </c>
      <c r="DB12" s="7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265">
        <v>0</v>
      </c>
      <c r="DI12" s="265">
        <v>0</v>
      </c>
      <c r="DJ12" s="265">
        <v>0</v>
      </c>
      <c r="DK12" s="265">
        <v>0</v>
      </c>
      <c r="DL12" s="265">
        <v>0</v>
      </c>
      <c r="DM12" s="265">
        <v>0</v>
      </c>
      <c r="DN12" s="265">
        <v>0</v>
      </c>
      <c r="DO12" s="265">
        <v>0</v>
      </c>
      <c r="DP12" s="265">
        <v>0</v>
      </c>
      <c r="DQ12" s="265">
        <v>0</v>
      </c>
      <c r="DR12" s="265">
        <v>0</v>
      </c>
      <c r="DS12" s="265">
        <v>0</v>
      </c>
      <c r="DT12" s="265">
        <v>0</v>
      </c>
      <c r="DU12" s="265">
        <v>0</v>
      </c>
      <c r="DV12" s="265">
        <v>0</v>
      </c>
      <c r="DW12" s="265">
        <v>0</v>
      </c>
      <c r="DX12" s="265">
        <v>0</v>
      </c>
      <c r="DY12" s="265">
        <v>0</v>
      </c>
      <c r="DZ12" s="265">
        <v>0</v>
      </c>
      <c r="EA12" s="265">
        <v>0</v>
      </c>
      <c r="EB12" s="265">
        <v>0</v>
      </c>
      <c r="EC12" s="265">
        <v>0</v>
      </c>
      <c r="ED12" s="265">
        <v>0</v>
      </c>
      <c r="EE12" s="265">
        <v>0</v>
      </c>
      <c r="EF12" s="269">
        <v>0</v>
      </c>
      <c r="EG12" s="278">
        <v>0</v>
      </c>
      <c r="EH12" s="265">
        <v>0</v>
      </c>
      <c r="EI12" s="265">
        <v>0</v>
      </c>
      <c r="EJ12" s="265">
        <v>0</v>
      </c>
      <c r="EK12" s="265">
        <v>0</v>
      </c>
      <c r="EL12" s="265">
        <v>0</v>
      </c>
      <c r="EM12" s="265">
        <v>0</v>
      </c>
      <c r="EN12" s="265">
        <v>0</v>
      </c>
      <c r="EO12" s="265">
        <v>0</v>
      </c>
      <c r="EP12" s="265">
        <v>0</v>
      </c>
      <c r="EQ12" s="265">
        <v>0</v>
      </c>
      <c r="ER12" s="265">
        <v>0</v>
      </c>
      <c r="ES12" s="265">
        <v>0</v>
      </c>
      <c r="ET12" s="265">
        <v>0</v>
      </c>
      <c r="EU12" s="265">
        <v>0</v>
      </c>
      <c r="EV12" s="265">
        <v>0</v>
      </c>
      <c r="EW12" s="265">
        <v>0</v>
      </c>
      <c r="EX12" s="265">
        <v>0</v>
      </c>
      <c r="EY12" s="265">
        <v>0</v>
      </c>
      <c r="EZ12" s="265">
        <v>0</v>
      </c>
      <c r="FA12" s="265">
        <v>0</v>
      </c>
      <c r="FB12" s="265">
        <v>0</v>
      </c>
      <c r="FC12" s="265">
        <v>0</v>
      </c>
      <c r="FD12" s="265">
        <v>0</v>
      </c>
      <c r="FE12" s="265">
        <v>0</v>
      </c>
      <c r="FF12" s="265">
        <v>0</v>
      </c>
      <c r="FG12" s="265">
        <v>0</v>
      </c>
      <c r="FH12" s="265">
        <v>0</v>
      </c>
      <c r="FI12" s="265">
        <v>0</v>
      </c>
      <c r="FJ12" s="269">
        <v>0</v>
      </c>
      <c r="FK12" s="278">
        <v>0</v>
      </c>
      <c r="FL12" s="265">
        <v>0</v>
      </c>
      <c r="FM12" s="265">
        <v>0</v>
      </c>
      <c r="FN12" s="265">
        <v>0</v>
      </c>
      <c r="FO12" s="265">
        <v>0</v>
      </c>
      <c r="FP12" s="265">
        <v>0</v>
      </c>
      <c r="FQ12" s="265">
        <v>0</v>
      </c>
      <c r="FR12" s="265">
        <v>0</v>
      </c>
      <c r="FS12" s="265">
        <v>0</v>
      </c>
      <c r="FT12" s="265">
        <v>0</v>
      </c>
      <c r="FU12" s="265">
        <v>0</v>
      </c>
      <c r="FV12" s="265">
        <v>0</v>
      </c>
      <c r="FW12" s="265">
        <v>0</v>
      </c>
      <c r="FX12" s="265">
        <v>0</v>
      </c>
      <c r="FY12" s="265">
        <v>0</v>
      </c>
      <c r="FZ12" s="265">
        <v>0</v>
      </c>
      <c r="GA12" s="265">
        <v>0</v>
      </c>
      <c r="GB12" s="265">
        <v>0</v>
      </c>
      <c r="GC12" s="265">
        <v>0</v>
      </c>
      <c r="GD12" s="265">
        <v>0</v>
      </c>
      <c r="GE12" s="265">
        <v>0</v>
      </c>
      <c r="GF12" s="265">
        <v>0</v>
      </c>
      <c r="GG12" s="265">
        <v>0</v>
      </c>
      <c r="GH12" s="265">
        <v>0</v>
      </c>
      <c r="GI12" s="265">
        <v>0</v>
      </c>
      <c r="GJ12" s="265">
        <v>0</v>
      </c>
      <c r="GK12" s="265">
        <v>0</v>
      </c>
      <c r="GL12" s="265">
        <v>0</v>
      </c>
      <c r="GM12" s="265">
        <v>0</v>
      </c>
      <c r="GN12" s="265">
        <v>0</v>
      </c>
      <c r="GO12" s="269">
        <v>0</v>
      </c>
      <c r="GP12" s="278">
        <v>0</v>
      </c>
      <c r="GQ12" s="265">
        <v>0</v>
      </c>
      <c r="GR12" s="265">
        <v>0</v>
      </c>
      <c r="GS12" s="265">
        <v>0</v>
      </c>
      <c r="GT12" s="265">
        <v>0</v>
      </c>
      <c r="GU12" s="265">
        <v>0</v>
      </c>
      <c r="GV12" s="265">
        <v>0</v>
      </c>
      <c r="GW12" s="265">
        <v>0</v>
      </c>
      <c r="GX12" s="265">
        <v>0</v>
      </c>
      <c r="GY12" s="265">
        <v>0</v>
      </c>
      <c r="GZ12" s="265">
        <v>0</v>
      </c>
      <c r="HA12" s="265">
        <v>0</v>
      </c>
      <c r="HB12" s="265">
        <v>0</v>
      </c>
      <c r="HC12" s="265">
        <v>0</v>
      </c>
      <c r="HD12" s="265">
        <v>0</v>
      </c>
      <c r="HE12" s="265">
        <v>0</v>
      </c>
      <c r="HF12" s="265">
        <v>0</v>
      </c>
      <c r="HG12" s="265">
        <v>0</v>
      </c>
      <c r="HH12" s="265">
        <v>0</v>
      </c>
      <c r="HI12" s="265"/>
      <c r="HJ12" s="265"/>
      <c r="HK12" s="265"/>
      <c r="HL12" s="265"/>
      <c r="HM12" s="265"/>
      <c r="HN12" s="265"/>
      <c r="HO12" s="265"/>
      <c r="HP12" s="265"/>
      <c r="HQ12" s="265"/>
      <c r="HR12" s="265"/>
      <c r="HS12" s="265"/>
      <c r="HT12" s="368"/>
      <c r="HU12" s="360">
        <f t="shared" si="1"/>
        <v>77.05</v>
      </c>
    </row>
    <row r="13" spans="1:229" x14ac:dyDescent="0.25">
      <c r="A13" s="2">
        <v>5</v>
      </c>
      <c r="B13" s="474"/>
      <c r="C13" s="23" t="s">
        <v>5</v>
      </c>
      <c r="D13" s="29" t="s">
        <v>19</v>
      </c>
      <c r="E13" s="26"/>
      <c r="F13" s="13">
        <v>0</v>
      </c>
      <c r="G13" s="13">
        <v>0</v>
      </c>
      <c r="H13" s="64">
        <v>15.8</v>
      </c>
      <c r="I13" s="64">
        <v>0</v>
      </c>
      <c r="J13" s="13">
        <v>0</v>
      </c>
      <c r="K13" s="13">
        <v>0</v>
      </c>
      <c r="L13" s="13">
        <v>0</v>
      </c>
      <c r="M13" s="123">
        <f t="shared" si="0"/>
        <v>15.8</v>
      </c>
      <c r="N13" s="142"/>
      <c r="O13" s="73">
        <v>0</v>
      </c>
      <c r="P13" s="64">
        <v>10.199999999999999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64">
        <v>40.200000000000003</v>
      </c>
      <c r="W13" s="13">
        <v>0</v>
      </c>
      <c r="X13" s="13">
        <v>0</v>
      </c>
      <c r="Y13" s="13">
        <v>0</v>
      </c>
      <c r="Z13" s="13">
        <v>2</v>
      </c>
      <c r="AA13" s="13">
        <v>0</v>
      </c>
      <c r="AB13" s="13">
        <v>0</v>
      </c>
      <c r="AC13" s="13">
        <v>0</v>
      </c>
      <c r="AD13" s="13">
        <v>23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9</v>
      </c>
      <c r="AN13" s="64">
        <v>74.099999999999994</v>
      </c>
      <c r="AO13" s="13">
        <v>0</v>
      </c>
      <c r="AP13" s="101">
        <v>0</v>
      </c>
      <c r="AQ13" s="162"/>
      <c r="AR13" s="13">
        <v>0</v>
      </c>
      <c r="AS13" s="13">
        <v>0</v>
      </c>
      <c r="AT13" s="13">
        <v>0</v>
      </c>
      <c r="AU13" s="64">
        <v>6.1</v>
      </c>
      <c r="AV13" s="13">
        <v>0</v>
      </c>
      <c r="AW13" s="13">
        <v>0</v>
      </c>
      <c r="AX13" s="13">
        <v>16</v>
      </c>
      <c r="AY13" s="13">
        <v>0</v>
      </c>
      <c r="AZ13" s="13">
        <v>0</v>
      </c>
      <c r="BA13" s="64">
        <v>19.5</v>
      </c>
      <c r="BB13" s="64">
        <v>14.6</v>
      </c>
      <c r="BC13" s="13">
        <v>14</v>
      </c>
      <c r="BD13" s="13">
        <v>0</v>
      </c>
      <c r="BE13" s="13">
        <v>0</v>
      </c>
      <c r="BF13" s="64">
        <v>21.5</v>
      </c>
      <c r="BG13" s="64">
        <v>16.399999999999999</v>
      </c>
      <c r="BH13" s="13">
        <v>0</v>
      </c>
      <c r="BI13" s="64">
        <v>18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64">
        <v>12.7</v>
      </c>
      <c r="BV13" s="13">
        <v>0</v>
      </c>
      <c r="BW13" s="162"/>
      <c r="BX13" s="13">
        <v>17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58</v>
      </c>
      <c r="CE13" s="13">
        <v>3</v>
      </c>
      <c r="CF13" s="13">
        <v>0</v>
      </c>
      <c r="CG13" s="64">
        <v>0</v>
      </c>
      <c r="CH13" s="64">
        <v>11</v>
      </c>
      <c r="CI13" s="13">
        <v>0</v>
      </c>
      <c r="CJ13" s="13">
        <v>0</v>
      </c>
      <c r="CK13" s="13">
        <v>0</v>
      </c>
      <c r="CL13" s="64">
        <v>0</v>
      </c>
      <c r="CM13" s="13">
        <v>30</v>
      </c>
      <c r="CN13" s="265">
        <v>0</v>
      </c>
      <c r="CO13" s="272">
        <v>0</v>
      </c>
      <c r="CP13" s="265">
        <v>0</v>
      </c>
      <c r="CQ13" s="265">
        <v>0</v>
      </c>
      <c r="CR13" s="265">
        <v>0</v>
      </c>
      <c r="CS13" s="265">
        <v>0</v>
      </c>
      <c r="CT13" s="265">
        <v>0</v>
      </c>
      <c r="CU13" s="265">
        <v>0</v>
      </c>
      <c r="CV13" s="265">
        <v>0</v>
      </c>
      <c r="CW13" s="265">
        <v>0</v>
      </c>
      <c r="CX13" s="265">
        <v>0</v>
      </c>
      <c r="CY13" s="265">
        <v>0</v>
      </c>
      <c r="CZ13" s="265">
        <v>0</v>
      </c>
      <c r="DA13" s="101">
        <v>0</v>
      </c>
      <c r="DB13" s="7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265">
        <v>0</v>
      </c>
      <c r="DI13" s="265">
        <v>0</v>
      </c>
      <c r="DJ13" s="265">
        <v>0</v>
      </c>
      <c r="DK13" s="265">
        <v>0</v>
      </c>
      <c r="DL13" s="265">
        <v>0</v>
      </c>
      <c r="DM13" s="265">
        <v>0</v>
      </c>
      <c r="DN13" s="265">
        <v>0</v>
      </c>
      <c r="DO13" s="265">
        <v>0</v>
      </c>
      <c r="DP13" s="265">
        <v>0</v>
      </c>
      <c r="DQ13" s="265">
        <v>0</v>
      </c>
      <c r="DR13" s="265">
        <v>0</v>
      </c>
      <c r="DS13" s="265">
        <v>0</v>
      </c>
      <c r="DT13" s="265">
        <v>0</v>
      </c>
      <c r="DU13" s="265">
        <v>0</v>
      </c>
      <c r="DV13" s="265">
        <v>0</v>
      </c>
      <c r="DW13" s="265">
        <v>0</v>
      </c>
      <c r="DX13" s="265">
        <v>0</v>
      </c>
      <c r="DY13" s="265">
        <v>0</v>
      </c>
      <c r="DZ13" s="265">
        <v>0</v>
      </c>
      <c r="EA13" s="265">
        <v>0</v>
      </c>
      <c r="EB13" s="265">
        <v>0</v>
      </c>
      <c r="EC13" s="265">
        <v>0</v>
      </c>
      <c r="ED13" s="265">
        <v>0</v>
      </c>
      <c r="EE13" s="265">
        <v>0</v>
      </c>
      <c r="EF13" s="269">
        <v>0</v>
      </c>
      <c r="EG13" s="278">
        <v>0</v>
      </c>
      <c r="EH13" s="265">
        <v>0</v>
      </c>
      <c r="EI13" s="265">
        <v>0</v>
      </c>
      <c r="EJ13" s="265">
        <v>0</v>
      </c>
      <c r="EK13" s="265">
        <v>0</v>
      </c>
      <c r="EL13" s="265">
        <v>0</v>
      </c>
      <c r="EM13" s="265">
        <v>0</v>
      </c>
      <c r="EN13" s="265">
        <v>0</v>
      </c>
      <c r="EO13" s="265">
        <v>0</v>
      </c>
      <c r="EP13" s="265">
        <v>0</v>
      </c>
      <c r="EQ13" s="265">
        <v>0</v>
      </c>
      <c r="ER13" s="265">
        <v>0</v>
      </c>
      <c r="ES13" s="265">
        <v>0</v>
      </c>
      <c r="ET13" s="265">
        <v>0</v>
      </c>
      <c r="EU13" s="265">
        <v>0</v>
      </c>
      <c r="EV13" s="265">
        <v>0</v>
      </c>
      <c r="EW13" s="265">
        <v>0</v>
      </c>
      <c r="EX13" s="265">
        <v>0</v>
      </c>
      <c r="EY13" s="265">
        <v>0</v>
      </c>
      <c r="EZ13" s="265">
        <v>0</v>
      </c>
      <c r="FA13" s="265">
        <v>0</v>
      </c>
      <c r="FB13" s="265">
        <v>0</v>
      </c>
      <c r="FC13" s="265">
        <v>0</v>
      </c>
      <c r="FD13" s="265">
        <v>0</v>
      </c>
      <c r="FE13" s="265">
        <v>0</v>
      </c>
      <c r="FF13" s="265">
        <v>0</v>
      </c>
      <c r="FG13" s="265">
        <v>0</v>
      </c>
      <c r="FH13" s="265">
        <v>0</v>
      </c>
      <c r="FI13" s="265">
        <v>0</v>
      </c>
      <c r="FJ13" s="269">
        <v>0</v>
      </c>
      <c r="FK13" s="278">
        <v>0</v>
      </c>
      <c r="FL13" s="265">
        <v>0</v>
      </c>
      <c r="FM13" s="265">
        <v>0</v>
      </c>
      <c r="FN13" s="265">
        <v>0</v>
      </c>
      <c r="FO13" s="265">
        <v>0</v>
      </c>
      <c r="FP13" s="265">
        <v>0</v>
      </c>
      <c r="FQ13" s="265">
        <v>0</v>
      </c>
      <c r="FR13" s="265">
        <v>0</v>
      </c>
      <c r="FS13" s="265">
        <v>0</v>
      </c>
      <c r="FT13" s="265">
        <v>0</v>
      </c>
      <c r="FU13" s="265">
        <v>0</v>
      </c>
      <c r="FV13" s="265">
        <v>0</v>
      </c>
      <c r="FW13" s="265">
        <v>0</v>
      </c>
      <c r="FX13" s="265">
        <v>0</v>
      </c>
      <c r="FY13" s="265">
        <v>0</v>
      </c>
      <c r="FZ13" s="265">
        <v>0</v>
      </c>
      <c r="GA13" s="265">
        <v>0</v>
      </c>
      <c r="GB13" s="265">
        <v>0</v>
      </c>
      <c r="GC13" s="265">
        <v>0</v>
      </c>
      <c r="GD13" s="265">
        <v>0</v>
      </c>
      <c r="GE13" s="265">
        <v>0</v>
      </c>
      <c r="GF13" s="265">
        <v>0</v>
      </c>
      <c r="GG13" s="265">
        <v>0</v>
      </c>
      <c r="GH13" s="265">
        <v>0</v>
      </c>
      <c r="GI13" s="265">
        <v>0</v>
      </c>
      <c r="GJ13" s="265">
        <v>0</v>
      </c>
      <c r="GK13" s="265">
        <v>0</v>
      </c>
      <c r="GL13" s="265">
        <v>0</v>
      </c>
      <c r="GM13" s="265">
        <v>0</v>
      </c>
      <c r="GN13" s="265">
        <v>0</v>
      </c>
      <c r="GO13" s="269">
        <v>0</v>
      </c>
      <c r="GP13" s="278">
        <v>0</v>
      </c>
      <c r="GQ13" s="265">
        <v>0</v>
      </c>
      <c r="GR13" s="265">
        <v>0</v>
      </c>
      <c r="GS13" s="265">
        <v>0</v>
      </c>
      <c r="GT13" s="265">
        <v>0</v>
      </c>
      <c r="GU13" s="265">
        <v>0</v>
      </c>
      <c r="GV13" s="265">
        <v>0</v>
      </c>
      <c r="GW13" s="265">
        <v>0</v>
      </c>
      <c r="GX13" s="265">
        <v>0</v>
      </c>
      <c r="GY13" s="265">
        <v>0</v>
      </c>
      <c r="GZ13" s="265">
        <v>0</v>
      </c>
      <c r="HA13" s="265">
        <v>0</v>
      </c>
      <c r="HB13" s="265">
        <v>0</v>
      </c>
      <c r="HC13" s="265">
        <v>0</v>
      </c>
      <c r="HD13" s="265">
        <v>0</v>
      </c>
      <c r="HE13" s="265">
        <v>0</v>
      </c>
      <c r="HF13" s="265">
        <v>0</v>
      </c>
      <c r="HG13" s="265">
        <v>0</v>
      </c>
      <c r="HH13" s="265">
        <v>0</v>
      </c>
      <c r="HI13" s="265"/>
      <c r="HJ13" s="265"/>
      <c r="HK13" s="265"/>
      <c r="HL13" s="265"/>
      <c r="HM13" s="265"/>
      <c r="HN13" s="265"/>
      <c r="HO13" s="265"/>
      <c r="HP13" s="265"/>
      <c r="HQ13" s="265"/>
      <c r="HR13" s="265"/>
      <c r="HS13" s="265"/>
      <c r="HT13" s="368"/>
      <c r="HU13" s="360">
        <f t="shared" si="1"/>
        <v>416.29999999999995</v>
      </c>
    </row>
    <row r="14" spans="1:229" x14ac:dyDescent="0.25">
      <c r="A14" s="2">
        <v>6</v>
      </c>
      <c r="B14" s="474"/>
      <c r="C14" s="23" t="s">
        <v>6</v>
      </c>
      <c r="D14" s="29" t="s">
        <v>19</v>
      </c>
      <c r="E14" s="26">
        <v>7.5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23">
        <f t="shared" si="0"/>
        <v>7.5</v>
      </c>
      <c r="N14" s="142"/>
      <c r="O14" s="7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64">
        <v>4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01">
        <v>0</v>
      </c>
      <c r="AQ14" s="162"/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64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62"/>
      <c r="BX14" s="68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265">
        <v>0</v>
      </c>
      <c r="CO14" s="272">
        <v>0</v>
      </c>
      <c r="CP14" s="265">
        <v>0</v>
      </c>
      <c r="CQ14" s="265">
        <v>0</v>
      </c>
      <c r="CR14" s="265">
        <v>0</v>
      </c>
      <c r="CS14" s="265">
        <v>0</v>
      </c>
      <c r="CT14" s="265">
        <v>0</v>
      </c>
      <c r="CU14" s="265">
        <v>0</v>
      </c>
      <c r="CV14" s="265">
        <v>0</v>
      </c>
      <c r="CW14" s="265">
        <v>0</v>
      </c>
      <c r="CX14" s="265">
        <v>0</v>
      </c>
      <c r="CY14" s="265">
        <v>0</v>
      </c>
      <c r="CZ14" s="265">
        <v>0</v>
      </c>
      <c r="DA14" s="101">
        <v>0</v>
      </c>
      <c r="DB14" s="7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265">
        <v>0</v>
      </c>
      <c r="DI14" s="265">
        <v>0</v>
      </c>
      <c r="DJ14" s="265">
        <v>0</v>
      </c>
      <c r="DK14" s="265">
        <v>0</v>
      </c>
      <c r="DL14" s="265">
        <v>0</v>
      </c>
      <c r="DM14" s="265">
        <v>0</v>
      </c>
      <c r="DN14" s="265">
        <v>0</v>
      </c>
      <c r="DO14" s="265">
        <v>0</v>
      </c>
      <c r="DP14" s="265">
        <v>0</v>
      </c>
      <c r="DQ14" s="265">
        <v>0</v>
      </c>
      <c r="DR14" s="265">
        <v>0</v>
      </c>
      <c r="DS14" s="265">
        <v>0</v>
      </c>
      <c r="DT14" s="265">
        <v>0</v>
      </c>
      <c r="DU14" s="265">
        <v>0</v>
      </c>
      <c r="DV14" s="265">
        <v>0</v>
      </c>
      <c r="DW14" s="265">
        <v>0</v>
      </c>
      <c r="DX14" s="265">
        <v>0</v>
      </c>
      <c r="DY14" s="265">
        <v>0</v>
      </c>
      <c r="DZ14" s="265">
        <v>0</v>
      </c>
      <c r="EA14" s="265">
        <v>0</v>
      </c>
      <c r="EB14" s="265">
        <v>0</v>
      </c>
      <c r="EC14" s="265">
        <v>0</v>
      </c>
      <c r="ED14" s="265">
        <v>0</v>
      </c>
      <c r="EE14" s="265">
        <v>0</v>
      </c>
      <c r="EF14" s="269">
        <v>0</v>
      </c>
      <c r="EG14" s="278">
        <v>0</v>
      </c>
      <c r="EH14" s="265">
        <v>0</v>
      </c>
      <c r="EI14" s="265">
        <v>0</v>
      </c>
      <c r="EJ14" s="265">
        <v>0</v>
      </c>
      <c r="EK14" s="265">
        <v>0</v>
      </c>
      <c r="EL14" s="265">
        <v>0</v>
      </c>
      <c r="EM14" s="265">
        <v>0</v>
      </c>
      <c r="EN14" s="265">
        <v>0</v>
      </c>
      <c r="EO14" s="265">
        <v>0</v>
      </c>
      <c r="EP14" s="265">
        <v>0</v>
      </c>
      <c r="EQ14" s="265">
        <v>0</v>
      </c>
      <c r="ER14" s="265">
        <v>0</v>
      </c>
      <c r="ES14" s="265">
        <v>0</v>
      </c>
      <c r="ET14" s="265">
        <v>0</v>
      </c>
      <c r="EU14" s="265">
        <v>0</v>
      </c>
      <c r="EV14" s="265">
        <v>0</v>
      </c>
      <c r="EW14" s="265">
        <v>0</v>
      </c>
      <c r="EX14" s="265">
        <v>0</v>
      </c>
      <c r="EY14" s="265">
        <v>0</v>
      </c>
      <c r="EZ14" s="265">
        <v>0</v>
      </c>
      <c r="FA14" s="265">
        <v>0</v>
      </c>
      <c r="FB14" s="265">
        <v>0</v>
      </c>
      <c r="FC14" s="265">
        <v>0</v>
      </c>
      <c r="FD14" s="265">
        <v>0</v>
      </c>
      <c r="FE14" s="265">
        <v>0</v>
      </c>
      <c r="FF14" s="265">
        <v>0</v>
      </c>
      <c r="FG14" s="265">
        <v>0</v>
      </c>
      <c r="FH14" s="265">
        <v>0</v>
      </c>
      <c r="FI14" s="265">
        <v>0</v>
      </c>
      <c r="FJ14" s="269">
        <v>0</v>
      </c>
      <c r="FK14" s="278">
        <v>0</v>
      </c>
      <c r="FL14" s="265">
        <v>0</v>
      </c>
      <c r="FM14" s="265">
        <v>0</v>
      </c>
      <c r="FN14" s="265">
        <v>0</v>
      </c>
      <c r="FO14" s="265">
        <v>0</v>
      </c>
      <c r="FP14" s="265">
        <v>0</v>
      </c>
      <c r="FQ14" s="265">
        <v>0</v>
      </c>
      <c r="FR14" s="265">
        <v>0</v>
      </c>
      <c r="FS14" s="265">
        <v>0</v>
      </c>
      <c r="FT14" s="265">
        <v>0</v>
      </c>
      <c r="FU14" s="265">
        <v>0</v>
      </c>
      <c r="FV14" s="265">
        <v>0</v>
      </c>
      <c r="FW14" s="265">
        <v>0</v>
      </c>
      <c r="FX14" s="265">
        <v>0</v>
      </c>
      <c r="FY14" s="265">
        <v>0</v>
      </c>
      <c r="FZ14" s="265">
        <v>0</v>
      </c>
      <c r="GA14" s="265">
        <v>0</v>
      </c>
      <c r="GB14" s="265">
        <v>0</v>
      </c>
      <c r="GC14" s="265">
        <v>0</v>
      </c>
      <c r="GD14" s="265">
        <v>0</v>
      </c>
      <c r="GE14" s="265">
        <v>0</v>
      </c>
      <c r="GF14" s="265">
        <v>0</v>
      </c>
      <c r="GG14" s="265">
        <v>0</v>
      </c>
      <c r="GH14" s="265">
        <v>0</v>
      </c>
      <c r="GI14" s="265">
        <v>0</v>
      </c>
      <c r="GJ14" s="265">
        <v>0</v>
      </c>
      <c r="GK14" s="265">
        <v>0</v>
      </c>
      <c r="GL14" s="265">
        <v>0</v>
      </c>
      <c r="GM14" s="265">
        <v>0</v>
      </c>
      <c r="GN14" s="265">
        <v>0</v>
      </c>
      <c r="GO14" s="269">
        <v>0</v>
      </c>
      <c r="GP14" s="278">
        <v>0</v>
      </c>
      <c r="GQ14" s="265">
        <v>0</v>
      </c>
      <c r="GR14" s="265">
        <v>0</v>
      </c>
      <c r="GS14" s="265">
        <v>0</v>
      </c>
      <c r="GT14" s="265">
        <v>0</v>
      </c>
      <c r="GU14" s="265">
        <v>0</v>
      </c>
      <c r="GV14" s="265">
        <v>0</v>
      </c>
      <c r="GW14" s="265">
        <v>0</v>
      </c>
      <c r="GX14" s="265">
        <v>0</v>
      </c>
      <c r="GY14" s="265">
        <v>0</v>
      </c>
      <c r="GZ14" s="265">
        <v>0</v>
      </c>
      <c r="HA14" s="265">
        <v>0</v>
      </c>
      <c r="HB14" s="265">
        <v>0</v>
      </c>
      <c r="HC14" s="265">
        <v>0</v>
      </c>
      <c r="HD14" s="265">
        <v>0</v>
      </c>
      <c r="HE14" s="265">
        <v>0</v>
      </c>
      <c r="HF14" s="265">
        <v>0</v>
      </c>
      <c r="HG14" s="265">
        <v>0</v>
      </c>
      <c r="HH14" s="265">
        <v>0</v>
      </c>
      <c r="HI14" s="265"/>
      <c r="HJ14" s="265"/>
      <c r="HK14" s="265"/>
      <c r="HL14" s="265"/>
      <c r="HM14" s="265"/>
      <c r="HN14" s="265"/>
      <c r="HO14" s="265"/>
      <c r="HP14" s="265"/>
      <c r="HQ14" s="265"/>
      <c r="HR14" s="265"/>
      <c r="HS14" s="265"/>
      <c r="HT14" s="368"/>
      <c r="HU14" s="360">
        <f t="shared" si="1"/>
        <v>4</v>
      </c>
    </row>
    <row r="15" spans="1:229" x14ac:dyDescent="0.25">
      <c r="A15" s="2">
        <v>7</v>
      </c>
      <c r="B15" s="474"/>
      <c r="C15" s="23" t="s">
        <v>7</v>
      </c>
      <c r="D15" s="29" t="s">
        <v>19</v>
      </c>
      <c r="E15" s="26"/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23">
        <f t="shared" si="0"/>
        <v>0</v>
      </c>
      <c r="N15" s="142"/>
      <c r="O15" s="7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01">
        <v>0</v>
      </c>
      <c r="AQ15" s="162"/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23</v>
      </c>
      <c r="BD15" s="13">
        <v>0</v>
      </c>
      <c r="BE15" s="13">
        <v>0</v>
      </c>
      <c r="BF15" s="13">
        <v>0</v>
      </c>
      <c r="BG15" s="13">
        <v>0</v>
      </c>
      <c r="BH15" s="64">
        <v>18.100000000000001</v>
      </c>
      <c r="BI15" s="64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81</v>
      </c>
      <c r="BV15" s="13">
        <v>0</v>
      </c>
      <c r="BW15" s="162"/>
      <c r="BX15" s="68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272">
        <v>0</v>
      </c>
      <c r="CO15" s="272">
        <v>0</v>
      </c>
      <c r="CP15" s="265">
        <v>0</v>
      </c>
      <c r="CQ15" s="265">
        <v>0</v>
      </c>
      <c r="CR15" s="265">
        <v>0</v>
      </c>
      <c r="CS15" s="265">
        <v>0</v>
      </c>
      <c r="CT15" s="265">
        <v>0</v>
      </c>
      <c r="CU15" s="265">
        <v>0</v>
      </c>
      <c r="CV15" s="265">
        <v>0</v>
      </c>
      <c r="CW15" s="265">
        <v>0</v>
      </c>
      <c r="CX15" s="265">
        <v>0</v>
      </c>
      <c r="CY15" s="265">
        <v>0</v>
      </c>
      <c r="CZ15" s="265">
        <v>0</v>
      </c>
      <c r="DA15" s="101">
        <v>0</v>
      </c>
      <c r="DB15" s="7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265">
        <v>0</v>
      </c>
      <c r="DI15" s="265">
        <v>0</v>
      </c>
      <c r="DJ15" s="265">
        <v>0</v>
      </c>
      <c r="DK15" s="265">
        <v>0</v>
      </c>
      <c r="DL15" s="265">
        <v>0</v>
      </c>
      <c r="DM15" s="265">
        <v>0</v>
      </c>
      <c r="DN15" s="265">
        <v>0</v>
      </c>
      <c r="DO15" s="265">
        <v>0</v>
      </c>
      <c r="DP15" s="265">
        <v>0</v>
      </c>
      <c r="DQ15" s="265">
        <v>0</v>
      </c>
      <c r="DR15" s="265">
        <v>0</v>
      </c>
      <c r="DS15" s="265">
        <v>0</v>
      </c>
      <c r="DT15" s="265">
        <v>0</v>
      </c>
      <c r="DU15" s="265">
        <v>0</v>
      </c>
      <c r="DV15" s="265">
        <v>0</v>
      </c>
      <c r="DW15" s="265">
        <v>0</v>
      </c>
      <c r="DX15" s="265">
        <v>0</v>
      </c>
      <c r="DY15" s="265">
        <v>0</v>
      </c>
      <c r="DZ15" s="265">
        <v>0</v>
      </c>
      <c r="EA15" s="265">
        <v>0</v>
      </c>
      <c r="EB15" s="265">
        <v>0</v>
      </c>
      <c r="EC15" s="265">
        <v>0</v>
      </c>
      <c r="ED15" s="265">
        <v>0</v>
      </c>
      <c r="EE15" s="265">
        <v>0</v>
      </c>
      <c r="EF15" s="269">
        <v>0</v>
      </c>
      <c r="EG15" s="278">
        <v>0</v>
      </c>
      <c r="EH15" s="265">
        <v>0</v>
      </c>
      <c r="EI15" s="265">
        <v>0</v>
      </c>
      <c r="EJ15" s="265">
        <v>0</v>
      </c>
      <c r="EK15" s="265">
        <v>0</v>
      </c>
      <c r="EL15" s="265">
        <v>0</v>
      </c>
      <c r="EM15" s="265">
        <v>0</v>
      </c>
      <c r="EN15" s="265">
        <v>0</v>
      </c>
      <c r="EO15" s="265">
        <v>0</v>
      </c>
      <c r="EP15" s="265">
        <v>0</v>
      </c>
      <c r="EQ15" s="265">
        <v>0</v>
      </c>
      <c r="ER15" s="265">
        <v>0</v>
      </c>
      <c r="ES15" s="265">
        <v>0</v>
      </c>
      <c r="ET15" s="265">
        <v>0</v>
      </c>
      <c r="EU15" s="265">
        <v>0</v>
      </c>
      <c r="EV15" s="265">
        <v>0</v>
      </c>
      <c r="EW15" s="265">
        <v>0</v>
      </c>
      <c r="EX15" s="265">
        <v>0</v>
      </c>
      <c r="EY15" s="265">
        <v>0</v>
      </c>
      <c r="EZ15" s="265">
        <v>0</v>
      </c>
      <c r="FA15" s="265">
        <v>0</v>
      </c>
      <c r="FB15" s="265">
        <v>0</v>
      </c>
      <c r="FC15" s="265">
        <v>0</v>
      </c>
      <c r="FD15" s="265">
        <v>0</v>
      </c>
      <c r="FE15" s="265">
        <v>0</v>
      </c>
      <c r="FF15" s="265">
        <v>0</v>
      </c>
      <c r="FG15" s="265">
        <v>0</v>
      </c>
      <c r="FH15" s="265">
        <v>0</v>
      </c>
      <c r="FI15" s="265">
        <v>0</v>
      </c>
      <c r="FJ15" s="269">
        <v>0</v>
      </c>
      <c r="FK15" s="278">
        <v>0</v>
      </c>
      <c r="FL15" s="265">
        <v>0</v>
      </c>
      <c r="FM15" s="265">
        <v>0</v>
      </c>
      <c r="FN15" s="265">
        <v>0</v>
      </c>
      <c r="FO15" s="265">
        <v>0</v>
      </c>
      <c r="FP15" s="265">
        <v>0</v>
      </c>
      <c r="FQ15" s="265">
        <v>0</v>
      </c>
      <c r="FR15" s="265">
        <v>0</v>
      </c>
      <c r="FS15" s="265">
        <v>0</v>
      </c>
      <c r="FT15" s="265">
        <v>0</v>
      </c>
      <c r="FU15" s="265">
        <v>0</v>
      </c>
      <c r="FV15" s="265">
        <v>0</v>
      </c>
      <c r="FW15" s="265">
        <v>0</v>
      </c>
      <c r="FX15" s="265">
        <v>0</v>
      </c>
      <c r="FY15" s="265">
        <v>0</v>
      </c>
      <c r="FZ15" s="265">
        <v>0</v>
      </c>
      <c r="GA15" s="265">
        <v>0</v>
      </c>
      <c r="GB15" s="265">
        <v>0</v>
      </c>
      <c r="GC15" s="265">
        <v>0</v>
      </c>
      <c r="GD15" s="265">
        <v>0</v>
      </c>
      <c r="GE15" s="265">
        <v>0</v>
      </c>
      <c r="GF15" s="265">
        <v>0</v>
      </c>
      <c r="GG15" s="265">
        <v>0</v>
      </c>
      <c r="GH15" s="265">
        <v>0</v>
      </c>
      <c r="GI15" s="265">
        <v>0</v>
      </c>
      <c r="GJ15" s="265">
        <v>0</v>
      </c>
      <c r="GK15" s="265">
        <v>0</v>
      </c>
      <c r="GL15" s="265">
        <v>0</v>
      </c>
      <c r="GM15" s="265">
        <v>0</v>
      </c>
      <c r="GN15" s="265">
        <v>0</v>
      </c>
      <c r="GO15" s="269">
        <v>0</v>
      </c>
      <c r="GP15" s="278">
        <v>0</v>
      </c>
      <c r="GQ15" s="265">
        <v>0</v>
      </c>
      <c r="GR15" s="265">
        <v>0</v>
      </c>
      <c r="GS15" s="265">
        <v>0</v>
      </c>
      <c r="GT15" s="265">
        <v>0</v>
      </c>
      <c r="GU15" s="265">
        <v>0</v>
      </c>
      <c r="GV15" s="265">
        <v>0</v>
      </c>
      <c r="GW15" s="265">
        <v>0</v>
      </c>
      <c r="GX15" s="265">
        <v>0</v>
      </c>
      <c r="GY15" s="265">
        <v>0</v>
      </c>
      <c r="GZ15" s="265">
        <v>0</v>
      </c>
      <c r="HA15" s="265">
        <v>0</v>
      </c>
      <c r="HB15" s="265">
        <v>0</v>
      </c>
      <c r="HC15" s="265">
        <v>0</v>
      </c>
      <c r="HD15" s="265">
        <v>0</v>
      </c>
      <c r="HE15" s="265">
        <v>0</v>
      </c>
      <c r="HF15" s="265">
        <v>0</v>
      </c>
      <c r="HG15" s="265">
        <v>0</v>
      </c>
      <c r="HH15" s="265">
        <v>0</v>
      </c>
      <c r="HI15" s="265"/>
      <c r="HJ15" s="265"/>
      <c r="HK15" s="265"/>
      <c r="HL15" s="265"/>
      <c r="HM15" s="265"/>
      <c r="HN15" s="265"/>
      <c r="HO15" s="265"/>
      <c r="HP15" s="265"/>
      <c r="HQ15" s="265"/>
      <c r="HR15" s="265"/>
      <c r="HS15" s="265"/>
      <c r="HT15" s="368"/>
      <c r="HU15" s="360">
        <f t="shared" si="1"/>
        <v>122.1</v>
      </c>
    </row>
    <row r="16" spans="1:229" x14ac:dyDescent="0.25">
      <c r="A16" s="2">
        <v>8</v>
      </c>
      <c r="B16" s="474"/>
      <c r="C16" s="23" t="s">
        <v>8</v>
      </c>
      <c r="D16" s="29" t="s">
        <v>19</v>
      </c>
      <c r="E16" s="26">
        <v>21</v>
      </c>
      <c r="F16" s="13">
        <v>0</v>
      </c>
      <c r="G16" s="13">
        <v>0</v>
      </c>
      <c r="H16" s="13">
        <v>0</v>
      </c>
      <c r="I16" s="64">
        <v>34.6</v>
      </c>
      <c r="J16" s="13">
        <v>0</v>
      </c>
      <c r="K16" s="13">
        <v>0</v>
      </c>
      <c r="L16" s="13">
        <v>0</v>
      </c>
      <c r="M16" s="123">
        <f t="shared" si="0"/>
        <v>55.6</v>
      </c>
      <c r="N16" s="142"/>
      <c r="O16" s="7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24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8.1999999999999993</v>
      </c>
      <c r="AC16" s="13">
        <v>0</v>
      </c>
      <c r="AD16" s="13">
        <v>0</v>
      </c>
      <c r="AE16" s="13">
        <v>0</v>
      </c>
      <c r="AF16" s="13">
        <v>0</v>
      </c>
      <c r="AG16" s="13">
        <v>88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01">
        <v>0</v>
      </c>
      <c r="AQ16" s="162"/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64">
        <v>9.8000000000000007</v>
      </c>
      <c r="BI16" s="64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11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62"/>
      <c r="BX16" s="64">
        <v>17.100000000000001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10</v>
      </c>
      <c r="CN16" s="272">
        <v>0</v>
      </c>
      <c r="CO16" s="272">
        <v>0</v>
      </c>
      <c r="CP16" s="265">
        <v>0</v>
      </c>
      <c r="CQ16" s="265">
        <v>0</v>
      </c>
      <c r="CR16" s="265">
        <v>0</v>
      </c>
      <c r="CS16" s="265">
        <v>0</v>
      </c>
      <c r="CT16" s="265">
        <v>0</v>
      </c>
      <c r="CU16" s="265">
        <v>0</v>
      </c>
      <c r="CV16" s="265">
        <v>0</v>
      </c>
      <c r="CW16" s="265">
        <v>0</v>
      </c>
      <c r="CX16" s="265">
        <v>0</v>
      </c>
      <c r="CY16" s="265">
        <v>4</v>
      </c>
      <c r="CZ16" s="265">
        <v>0</v>
      </c>
      <c r="DA16" s="101">
        <v>0</v>
      </c>
      <c r="DB16" s="7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265">
        <v>0</v>
      </c>
      <c r="DI16" s="265">
        <v>0</v>
      </c>
      <c r="DJ16" s="265">
        <v>0</v>
      </c>
      <c r="DK16" s="265">
        <v>0</v>
      </c>
      <c r="DL16" s="265">
        <v>0</v>
      </c>
      <c r="DM16" s="265">
        <v>0</v>
      </c>
      <c r="DN16" s="265">
        <v>0</v>
      </c>
      <c r="DO16" s="265">
        <v>0</v>
      </c>
      <c r="DP16" s="265">
        <v>0</v>
      </c>
      <c r="DQ16" s="265">
        <v>0</v>
      </c>
      <c r="DR16" s="265">
        <v>0</v>
      </c>
      <c r="DS16" s="265">
        <v>0</v>
      </c>
      <c r="DT16" s="265">
        <v>0</v>
      </c>
      <c r="DU16" s="265">
        <v>0</v>
      </c>
      <c r="DV16" s="265">
        <v>0</v>
      </c>
      <c r="DW16" s="265">
        <v>0</v>
      </c>
      <c r="DX16" s="265">
        <v>0</v>
      </c>
      <c r="DY16" s="265">
        <v>6</v>
      </c>
      <c r="DZ16" s="265">
        <v>0</v>
      </c>
      <c r="EA16" s="265">
        <v>0</v>
      </c>
      <c r="EB16" s="265">
        <v>0</v>
      </c>
      <c r="EC16" s="265">
        <v>0</v>
      </c>
      <c r="ED16" s="265">
        <v>0</v>
      </c>
      <c r="EE16" s="265">
        <v>0</v>
      </c>
      <c r="EF16" s="269">
        <v>0</v>
      </c>
      <c r="EG16" s="278">
        <v>0</v>
      </c>
      <c r="EH16" s="265">
        <v>0</v>
      </c>
      <c r="EI16" s="265">
        <v>0</v>
      </c>
      <c r="EJ16" s="265">
        <v>0</v>
      </c>
      <c r="EK16" s="265">
        <v>0</v>
      </c>
      <c r="EL16" s="265">
        <v>0</v>
      </c>
      <c r="EM16" s="265">
        <v>0</v>
      </c>
      <c r="EN16" s="265">
        <v>0</v>
      </c>
      <c r="EO16" s="265">
        <v>0</v>
      </c>
      <c r="EP16" s="265">
        <v>0</v>
      </c>
      <c r="EQ16" s="265">
        <v>0</v>
      </c>
      <c r="ER16" s="265">
        <v>0</v>
      </c>
      <c r="ES16" s="265">
        <v>0</v>
      </c>
      <c r="ET16" s="265">
        <v>10</v>
      </c>
      <c r="EU16" s="265">
        <v>0</v>
      </c>
      <c r="EV16" s="265">
        <v>0</v>
      </c>
      <c r="EW16" s="265">
        <v>0</v>
      </c>
      <c r="EX16" s="265">
        <v>0</v>
      </c>
      <c r="EY16" s="265">
        <v>0</v>
      </c>
      <c r="EZ16" s="272">
        <v>12.3</v>
      </c>
      <c r="FA16" s="265">
        <v>0</v>
      </c>
      <c r="FB16" s="265">
        <v>0</v>
      </c>
      <c r="FC16" s="265">
        <v>0</v>
      </c>
      <c r="FD16" s="265">
        <v>0</v>
      </c>
      <c r="FE16" s="265">
        <v>0</v>
      </c>
      <c r="FF16" s="265">
        <v>0</v>
      </c>
      <c r="FG16" s="265">
        <v>0</v>
      </c>
      <c r="FH16" s="265">
        <v>0</v>
      </c>
      <c r="FI16" s="265">
        <v>0</v>
      </c>
      <c r="FJ16" s="269">
        <v>0</v>
      </c>
      <c r="FK16" s="278">
        <v>0</v>
      </c>
      <c r="FL16" s="265">
        <v>0</v>
      </c>
      <c r="FM16" s="265">
        <v>0</v>
      </c>
      <c r="FN16" s="265">
        <v>0</v>
      </c>
      <c r="FO16" s="265">
        <v>0</v>
      </c>
      <c r="FP16" s="265">
        <v>0</v>
      </c>
      <c r="FQ16" s="265">
        <v>0</v>
      </c>
      <c r="FR16" s="265">
        <v>0</v>
      </c>
      <c r="FS16" s="265">
        <v>0</v>
      </c>
      <c r="FT16" s="265">
        <v>0</v>
      </c>
      <c r="FU16" s="265">
        <v>0</v>
      </c>
      <c r="FV16" s="265">
        <v>0</v>
      </c>
      <c r="FW16" s="265">
        <v>0</v>
      </c>
      <c r="FX16" s="265">
        <v>0</v>
      </c>
      <c r="FY16" s="265">
        <v>0</v>
      </c>
      <c r="FZ16" s="265">
        <v>0</v>
      </c>
      <c r="GA16" s="265">
        <v>0</v>
      </c>
      <c r="GB16" s="265">
        <v>0</v>
      </c>
      <c r="GC16" s="265">
        <v>0</v>
      </c>
      <c r="GD16" s="265">
        <v>0</v>
      </c>
      <c r="GE16" s="265">
        <v>0</v>
      </c>
      <c r="GF16" s="265">
        <v>0</v>
      </c>
      <c r="GG16" s="265">
        <v>0</v>
      </c>
      <c r="GH16" s="265">
        <v>0</v>
      </c>
      <c r="GI16" s="265">
        <v>0</v>
      </c>
      <c r="GJ16" s="265">
        <v>0</v>
      </c>
      <c r="GK16" s="265">
        <v>0</v>
      </c>
      <c r="GL16" s="265">
        <v>0</v>
      </c>
      <c r="GM16" s="265">
        <v>0</v>
      </c>
      <c r="GN16" s="265">
        <v>0</v>
      </c>
      <c r="GO16" s="269">
        <v>0</v>
      </c>
      <c r="GP16" s="278">
        <v>0</v>
      </c>
      <c r="GQ16" s="265">
        <v>0</v>
      </c>
      <c r="GR16" s="265">
        <v>0</v>
      </c>
      <c r="GS16" s="265">
        <v>0</v>
      </c>
      <c r="GT16" s="265">
        <v>0</v>
      </c>
      <c r="GU16" s="265">
        <v>0</v>
      </c>
      <c r="GV16" s="265">
        <v>0</v>
      </c>
      <c r="GW16" s="265">
        <v>0</v>
      </c>
      <c r="GX16" s="265">
        <v>0</v>
      </c>
      <c r="GY16" s="265">
        <v>0</v>
      </c>
      <c r="GZ16" s="265">
        <v>0</v>
      </c>
      <c r="HA16" s="265">
        <v>0</v>
      </c>
      <c r="HB16" s="265">
        <v>0</v>
      </c>
      <c r="HC16" s="265">
        <v>0</v>
      </c>
      <c r="HD16" s="265">
        <v>0</v>
      </c>
      <c r="HE16" s="265">
        <v>0</v>
      </c>
      <c r="HF16" s="265">
        <v>0</v>
      </c>
      <c r="HG16" s="265">
        <v>0</v>
      </c>
      <c r="HH16" s="265">
        <v>0</v>
      </c>
      <c r="HI16" s="265"/>
      <c r="HJ16" s="265"/>
      <c r="HK16" s="265"/>
      <c r="HL16" s="265"/>
      <c r="HM16" s="265"/>
      <c r="HN16" s="265"/>
      <c r="HO16" s="265"/>
      <c r="HP16" s="265"/>
      <c r="HQ16" s="265"/>
      <c r="HR16" s="265"/>
      <c r="HS16" s="265"/>
      <c r="HT16" s="368"/>
      <c r="HU16" s="360">
        <f t="shared" si="1"/>
        <v>200.4</v>
      </c>
    </row>
    <row r="17" spans="1:231" x14ac:dyDescent="0.25">
      <c r="A17" s="2">
        <v>9</v>
      </c>
      <c r="B17" s="474"/>
      <c r="C17" s="23" t="s">
        <v>9</v>
      </c>
      <c r="D17" s="29" t="s">
        <v>19</v>
      </c>
      <c r="E17" s="26"/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23">
        <f t="shared" si="0"/>
        <v>0</v>
      </c>
      <c r="N17" s="142"/>
      <c r="O17" s="7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6</v>
      </c>
      <c r="V17" s="13">
        <v>0</v>
      </c>
      <c r="W17" s="13">
        <v>0</v>
      </c>
      <c r="X17" s="64">
        <v>9.1</v>
      </c>
      <c r="Y17" s="13">
        <v>0</v>
      </c>
      <c r="Z17" s="13">
        <v>0</v>
      </c>
      <c r="AA17" s="13">
        <v>0</v>
      </c>
      <c r="AB17" s="13">
        <v>13.2</v>
      </c>
      <c r="AC17" s="64">
        <v>4.5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01">
        <v>0</v>
      </c>
      <c r="AQ17" s="162"/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62"/>
      <c r="BX17" s="68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265">
        <v>0</v>
      </c>
      <c r="CO17" s="265">
        <v>0</v>
      </c>
      <c r="CP17" s="265">
        <v>0</v>
      </c>
      <c r="CQ17" s="265">
        <v>0</v>
      </c>
      <c r="CR17" s="265">
        <v>0</v>
      </c>
      <c r="CS17" s="265">
        <v>0</v>
      </c>
      <c r="CT17" s="265">
        <v>0</v>
      </c>
      <c r="CU17" s="265">
        <v>0</v>
      </c>
      <c r="CV17" s="265">
        <v>0</v>
      </c>
      <c r="CW17" s="265">
        <v>0</v>
      </c>
      <c r="CX17" s="265">
        <v>0</v>
      </c>
      <c r="CY17" s="265">
        <v>0</v>
      </c>
      <c r="CZ17" s="265">
        <v>0</v>
      </c>
      <c r="DA17" s="101">
        <v>0</v>
      </c>
      <c r="DB17" s="7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265">
        <v>0</v>
      </c>
      <c r="DI17" s="265">
        <v>0</v>
      </c>
      <c r="DJ17" s="265">
        <v>0</v>
      </c>
      <c r="DK17" s="265">
        <v>0</v>
      </c>
      <c r="DL17" s="265">
        <v>0</v>
      </c>
      <c r="DM17" s="265">
        <v>0</v>
      </c>
      <c r="DN17" s="265">
        <v>0</v>
      </c>
      <c r="DO17" s="265">
        <v>0</v>
      </c>
      <c r="DP17" s="265">
        <v>0</v>
      </c>
      <c r="DQ17" s="265">
        <v>0</v>
      </c>
      <c r="DR17" s="265">
        <v>0</v>
      </c>
      <c r="DS17" s="265">
        <v>0</v>
      </c>
      <c r="DT17" s="265">
        <v>0</v>
      </c>
      <c r="DU17" s="265">
        <v>0</v>
      </c>
      <c r="DV17" s="265">
        <v>0</v>
      </c>
      <c r="DW17" s="265">
        <v>0</v>
      </c>
      <c r="DX17" s="265">
        <v>0</v>
      </c>
      <c r="DY17" s="265">
        <v>0</v>
      </c>
      <c r="DZ17" s="265">
        <v>0</v>
      </c>
      <c r="EA17" s="265">
        <v>0</v>
      </c>
      <c r="EB17" s="265">
        <v>0</v>
      </c>
      <c r="EC17" s="265">
        <v>0</v>
      </c>
      <c r="ED17" s="265">
        <v>0</v>
      </c>
      <c r="EE17" s="265">
        <v>0</v>
      </c>
      <c r="EF17" s="269">
        <v>0</v>
      </c>
      <c r="EG17" s="278">
        <v>0</v>
      </c>
      <c r="EH17" s="265">
        <v>0</v>
      </c>
      <c r="EI17" s="265">
        <v>0</v>
      </c>
      <c r="EJ17" s="265">
        <v>0</v>
      </c>
      <c r="EK17" s="265">
        <v>0</v>
      </c>
      <c r="EL17" s="265">
        <v>0</v>
      </c>
      <c r="EM17" s="265">
        <v>0</v>
      </c>
      <c r="EN17" s="265">
        <v>0</v>
      </c>
      <c r="EO17" s="265">
        <v>0</v>
      </c>
      <c r="EP17" s="265">
        <v>0</v>
      </c>
      <c r="EQ17" s="265">
        <v>0</v>
      </c>
      <c r="ER17" s="265">
        <v>0</v>
      </c>
      <c r="ES17" s="265">
        <v>0</v>
      </c>
      <c r="ET17" s="265">
        <v>0</v>
      </c>
      <c r="EU17" s="265">
        <v>0</v>
      </c>
      <c r="EV17" s="265">
        <v>0</v>
      </c>
      <c r="EW17" s="265">
        <v>0</v>
      </c>
      <c r="EX17" s="265">
        <v>0</v>
      </c>
      <c r="EY17" s="265">
        <v>0</v>
      </c>
      <c r="EZ17" s="265">
        <v>0</v>
      </c>
      <c r="FA17" s="265">
        <v>0</v>
      </c>
      <c r="FB17" s="265">
        <v>0</v>
      </c>
      <c r="FC17" s="265">
        <v>0</v>
      </c>
      <c r="FD17" s="265">
        <v>0</v>
      </c>
      <c r="FE17" s="265">
        <v>0</v>
      </c>
      <c r="FF17" s="265">
        <v>0</v>
      </c>
      <c r="FG17" s="265">
        <v>0</v>
      </c>
      <c r="FH17" s="265">
        <v>0</v>
      </c>
      <c r="FI17" s="265">
        <v>0</v>
      </c>
      <c r="FJ17" s="269">
        <v>0</v>
      </c>
      <c r="FK17" s="278">
        <v>0</v>
      </c>
      <c r="FL17" s="265">
        <v>0</v>
      </c>
      <c r="FM17" s="265">
        <v>0</v>
      </c>
      <c r="FN17" s="265">
        <v>0</v>
      </c>
      <c r="FO17" s="265">
        <v>0</v>
      </c>
      <c r="FP17" s="265">
        <v>0</v>
      </c>
      <c r="FQ17" s="265">
        <v>0</v>
      </c>
      <c r="FR17" s="265">
        <v>0</v>
      </c>
      <c r="FS17" s="265">
        <v>0</v>
      </c>
      <c r="FT17" s="265">
        <v>0</v>
      </c>
      <c r="FU17" s="265">
        <v>0</v>
      </c>
      <c r="FV17" s="265">
        <v>0</v>
      </c>
      <c r="FW17" s="265">
        <v>0</v>
      </c>
      <c r="FX17" s="265">
        <v>0</v>
      </c>
      <c r="FY17" s="265">
        <v>0</v>
      </c>
      <c r="FZ17" s="265">
        <v>0</v>
      </c>
      <c r="GA17" s="265">
        <v>0</v>
      </c>
      <c r="GB17" s="265">
        <v>0</v>
      </c>
      <c r="GC17" s="265">
        <v>0</v>
      </c>
      <c r="GD17" s="265">
        <v>0</v>
      </c>
      <c r="GE17" s="265">
        <v>0</v>
      </c>
      <c r="GF17" s="265">
        <v>0</v>
      </c>
      <c r="GG17" s="265">
        <v>0</v>
      </c>
      <c r="GH17" s="265">
        <v>0</v>
      </c>
      <c r="GI17" s="265">
        <v>0</v>
      </c>
      <c r="GJ17" s="265">
        <v>0</v>
      </c>
      <c r="GK17" s="265">
        <v>0</v>
      </c>
      <c r="GL17" s="265">
        <v>0</v>
      </c>
      <c r="GM17" s="265">
        <v>0</v>
      </c>
      <c r="GN17" s="265">
        <v>0</v>
      </c>
      <c r="GO17" s="269">
        <v>0</v>
      </c>
      <c r="GP17" s="278">
        <v>0</v>
      </c>
      <c r="GQ17" s="265">
        <v>0</v>
      </c>
      <c r="GR17" s="265">
        <v>0</v>
      </c>
      <c r="GS17" s="265">
        <v>0</v>
      </c>
      <c r="GT17" s="265">
        <v>0</v>
      </c>
      <c r="GU17" s="265">
        <v>0</v>
      </c>
      <c r="GV17" s="265">
        <v>0</v>
      </c>
      <c r="GW17" s="272">
        <v>23.2</v>
      </c>
      <c r="GX17" s="265">
        <v>0</v>
      </c>
      <c r="GY17" s="265">
        <v>0</v>
      </c>
      <c r="GZ17" s="265">
        <v>0</v>
      </c>
      <c r="HA17" s="265">
        <v>0</v>
      </c>
      <c r="HB17" s="265">
        <v>0</v>
      </c>
      <c r="HC17" s="265">
        <v>0</v>
      </c>
      <c r="HD17" s="265">
        <v>0</v>
      </c>
      <c r="HE17" s="265">
        <v>0</v>
      </c>
      <c r="HF17" s="265">
        <v>0</v>
      </c>
      <c r="HG17" s="265">
        <v>0</v>
      </c>
      <c r="HH17" s="265">
        <v>0</v>
      </c>
      <c r="HI17" s="265"/>
      <c r="HJ17" s="265"/>
      <c r="HK17" s="265"/>
      <c r="HL17" s="265"/>
      <c r="HM17" s="265"/>
      <c r="HN17" s="265"/>
      <c r="HO17" s="265"/>
      <c r="HP17" s="265"/>
      <c r="HQ17" s="265"/>
      <c r="HR17" s="265"/>
      <c r="HS17" s="265"/>
      <c r="HT17" s="368"/>
      <c r="HU17" s="360">
        <f t="shared" si="1"/>
        <v>56</v>
      </c>
    </row>
    <row r="18" spans="1:231" x14ac:dyDescent="0.25">
      <c r="A18" s="2">
        <v>10</v>
      </c>
      <c r="B18" s="474"/>
      <c r="C18" s="23" t="s">
        <v>10</v>
      </c>
      <c r="D18" s="29" t="s">
        <v>19</v>
      </c>
      <c r="E18" s="26"/>
      <c r="F18" s="13">
        <v>0</v>
      </c>
      <c r="G18" s="5">
        <v>8.42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23">
        <f t="shared" si="0"/>
        <v>8.42</v>
      </c>
      <c r="N18" s="142"/>
      <c r="O18" s="151">
        <v>28.2</v>
      </c>
      <c r="P18" s="13">
        <v>0</v>
      </c>
      <c r="Q18" s="13">
        <v>0</v>
      </c>
      <c r="R18" s="150">
        <v>37.5</v>
      </c>
      <c r="S18" s="13">
        <v>0</v>
      </c>
      <c r="T18" s="13">
        <v>0</v>
      </c>
      <c r="U18" s="64">
        <v>34.9</v>
      </c>
      <c r="V18" s="13">
        <v>0</v>
      </c>
      <c r="W18" s="64">
        <v>16</v>
      </c>
      <c r="X18" s="13">
        <v>0</v>
      </c>
      <c r="Y18" s="5">
        <v>17.66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01">
        <v>0</v>
      </c>
      <c r="AQ18" s="162"/>
      <c r="AR18" s="13">
        <v>0</v>
      </c>
      <c r="AS18" s="13">
        <v>0</v>
      </c>
      <c r="AT18" s="64">
        <v>11.5</v>
      </c>
      <c r="AU18" s="13">
        <v>0</v>
      </c>
      <c r="AV18" s="13">
        <v>0</v>
      </c>
      <c r="AW18" s="13">
        <v>0</v>
      </c>
      <c r="AX18" s="13">
        <v>0</v>
      </c>
      <c r="AY18" s="64">
        <v>8.6999999999999993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64">
        <v>23.3</v>
      </c>
      <c r="BP18" s="13">
        <v>0</v>
      </c>
      <c r="BQ18" s="13">
        <v>0</v>
      </c>
      <c r="BR18" s="13">
        <v>0</v>
      </c>
      <c r="BS18" s="64">
        <v>4.5</v>
      </c>
      <c r="BT18" s="13">
        <v>0</v>
      </c>
      <c r="BU18" s="13">
        <v>0</v>
      </c>
      <c r="BV18" s="13">
        <v>0</v>
      </c>
      <c r="BW18" s="162"/>
      <c r="BX18" s="68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265">
        <v>0</v>
      </c>
      <c r="CO18" s="265">
        <v>0</v>
      </c>
      <c r="CP18" s="265">
        <v>0</v>
      </c>
      <c r="CQ18" s="265">
        <v>0</v>
      </c>
      <c r="CR18" s="265">
        <v>0</v>
      </c>
      <c r="CS18" s="265">
        <v>0</v>
      </c>
      <c r="CT18" s="265">
        <v>0</v>
      </c>
      <c r="CU18" s="265">
        <v>0</v>
      </c>
      <c r="CV18" s="265">
        <v>0</v>
      </c>
      <c r="CW18" s="265">
        <v>0</v>
      </c>
      <c r="CX18" s="265">
        <v>0</v>
      </c>
      <c r="CY18" s="265">
        <v>0</v>
      </c>
      <c r="CZ18" s="265">
        <v>0</v>
      </c>
      <c r="DA18" s="101">
        <v>0</v>
      </c>
      <c r="DB18" s="7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265">
        <v>0</v>
      </c>
      <c r="DI18" s="265">
        <v>0</v>
      </c>
      <c r="DJ18" s="265">
        <v>0</v>
      </c>
      <c r="DK18" s="265">
        <v>0</v>
      </c>
      <c r="DL18" s="265">
        <v>0</v>
      </c>
      <c r="DM18" s="265">
        <v>0</v>
      </c>
      <c r="DN18" s="265">
        <v>0</v>
      </c>
      <c r="DO18" s="265">
        <v>0</v>
      </c>
      <c r="DP18" s="265">
        <v>0</v>
      </c>
      <c r="DQ18" s="265">
        <v>0</v>
      </c>
      <c r="DR18" s="265">
        <v>0</v>
      </c>
      <c r="DS18" s="265">
        <v>0</v>
      </c>
      <c r="DT18" s="265">
        <v>0</v>
      </c>
      <c r="DU18" s="265">
        <v>0</v>
      </c>
      <c r="DV18" s="265">
        <v>0</v>
      </c>
      <c r="DW18" s="265">
        <v>0</v>
      </c>
      <c r="DX18" s="265">
        <v>0</v>
      </c>
      <c r="DY18" s="265">
        <v>0</v>
      </c>
      <c r="DZ18" s="265">
        <v>0</v>
      </c>
      <c r="EA18" s="265">
        <v>0</v>
      </c>
      <c r="EB18" s="265">
        <v>0</v>
      </c>
      <c r="EC18" s="265">
        <v>0</v>
      </c>
      <c r="ED18" s="265">
        <v>0</v>
      </c>
      <c r="EE18" s="265">
        <v>0</v>
      </c>
      <c r="EF18" s="269">
        <v>0</v>
      </c>
      <c r="EG18" s="278">
        <v>0</v>
      </c>
      <c r="EH18" s="265">
        <v>0</v>
      </c>
      <c r="EI18" s="265">
        <v>0</v>
      </c>
      <c r="EJ18" s="265">
        <v>0</v>
      </c>
      <c r="EK18" s="265">
        <v>0</v>
      </c>
      <c r="EL18" s="265">
        <v>0</v>
      </c>
      <c r="EM18" s="265">
        <v>0</v>
      </c>
      <c r="EN18" s="265">
        <v>0</v>
      </c>
      <c r="EO18" s="265">
        <v>0</v>
      </c>
      <c r="EP18" s="265">
        <v>0</v>
      </c>
      <c r="EQ18" s="265">
        <v>0</v>
      </c>
      <c r="ER18" s="265">
        <v>0</v>
      </c>
      <c r="ES18" s="265">
        <v>0</v>
      </c>
      <c r="ET18" s="265">
        <v>0</v>
      </c>
      <c r="EU18" s="265">
        <v>0</v>
      </c>
      <c r="EV18" s="265">
        <v>0</v>
      </c>
      <c r="EW18" s="265">
        <v>0</v>
      </c>
      <c r="EX18" s="265">
        <v>0</v>
      </c>
      <c r="EY18" s="265">
        <v>0</v>
      </c>
      <c r="EZ18" s="265">
        <v>0</v>
      </c>
      <c r="FA18" s="265">
        <v>0</v>
      </c>
      <c r="FB18" s="265">
        <v>0</v>
      </c>
      <c r="FC18" s="265">
        <v>0</v>
      </c>
      <c r="FD18" s="265">
        <v>0</v>
      </c>
      <c r="FE18" s="265">
        <v>0</v>
      </c>
      <c r="FF18" s="265">
        <v>0</v>
      </c>
      <c r="FG18" s="265">
        <v>0</v>
      </c>
      <c r="FH18" s="265">
        <v>0</v>
      </c>
      <c r="FI18" s="265">
        <v>0</v>
      </c>
      <c r="FJ18" s="269">
        <v>0</v>
      </c>
      <c r="FK18" s="278">
        <v>0</v>
      </c>
      <c r="FL18" s="265">
        <v>0</v>
      </c>
      <c r="FM18" s="265">
        <v>0</v>
      </c>
      <c r="FN18" s="265">
        <v>0</v>
      </c>
      <c r="FO18" s="265">
        <v>0</v>
      </c>
      <c r="FP18" s="265">
        <v>0</v>
      </c>
      <c r="FQ18" s="265">
        <v>0</v>
      </c>
      <c r="FR18" s="265">
        <v>0</v>
      </c>
      <c r="FS18" s="265">
        <v>0</v>
      </c>
      <c r="FT18" s="265">
        <v>0</v>
      </c>
      <c r="FU18" s="265">
        <v>0</v>
      </c>
      <c r="FV18" s="265">
        <v>0</v>
      </c>
      <c r="FW18" s="265">
        <v>0</v>
      </c>
      <c r="FX18" s="265">
        <v>0</v>
      </c>
      <c r="FY18" s="265">
        <v>0</v>
      </c>
      <c r="FZ18" s="265">
        <v>0</v>
      </c>
      <c r="GA18" s="265">
        <v>0</v>
      </c>
      <c r="GB18" s="265">
        <v>15</v>
      </c>
      <c r="GC18" s="265">
        <v>0</v>
      </c>
      <c r="GD18" s="265">
        <v>0</v>
      </c>
      <c r="GE18" s="265">
        <v>0</v>
      </c>
      <c r="GF18" s="265">
        <v>0</v>
      </c>
      <c r="GG18" s="265">
        <v>0</v>
      </c>
      <c r="GH18" s="265">
        <v>0</v>
      </c>
      <c r="GI18" s="265">
        <v>0</v>
      </c>
      <c r="GJ18" s="265">
        <v>0</v>
      </c>
      <c r="GK18" s="265">
        <v>0</v>
      </c>
      <c r="GL18" s="265">
        <v>0</v>
      </c>
      <c r="GM18" s="265">
        <v>28</v>
      </c>
      <c r="GN18" s="265">
        <v>0</v>
      </c>
      <c r="GO18" s="269">
        <v>0</v>
      </c>
      <c r="GP18" s="278">
        <v>0</v>
      </c>
      <c r="GQ18" s="265">
        <v>0</v>
      </c>
      <c r="GR18" s="265">
        <v>0</v>
      </c>
      <c r="GS18" s="265">
        <v>0</v>
      </c>
      <c r="GT18" s="265">
        <v>0</v>
      </c>
      <c r="GU18" s="265">
        <v>0</v>
      </c>
      <c r="GV18" s="265">
        <v>0</v>
      </c>
      <c r="GW18" s="265">
        <v>0</v>
      </c>
      <c r="GX18" s="265">
        <v>0</v>
      </c>
      <c r="GY18" s="265">
        <v>0</v>
      </c>
      <c r="GZ18" s="272">
        <v>13.1</v>
      </c>
      <c r="HA18" s="265">
        <v>0</v>
      </c>
      <c r="HB18" s="265">
        <v>0</v>
      </c>
      <c r="HC18" s="265">
        <v>0</v>
      </c>
      <c r="HD18" s="265">
        <v>0</v>
      </c>
      <c r="HE18" s="265">
        <v>0</v>
      </c>
      <c r="HF18" s="265">
        <v>0</v>
      </c>
      <c r="HG18" s="265">
        <v>0</v>
      </c>
      <c r="HH18" s="265">
        <v>0</v>
      </c>
      <c r="HI18" s="265"/>
      <c r="HJ18" s="265"/>
      <c r="HK18" s="265"/>
      <c r="HL18" s="265"/>
      <c r="HM18" s="265"/>
      <c r="HN18" s="265"/>
      <c r="HO18" s="265"/>
      <c r="HP18" s="265"/>
      <c r="HQ18" s="265"/>
      <c r="HR18" s="265"/>
      <c r="HS18" s="265"/>
      <c r="HT18" s="368"/>
      <c r="HU18" s="360">
        <f t="shared" si="1"/>
        <v>238.35999999999999</v>
      </c>
    </row>
    <row r="19" spans="1:231" ht="15.75" thickBot="1" x14ac:dyDescent="0.3">
      <c r="A19" s="2">
        <v>11</v>
      </c>
      <c r="B19" s="496"/>
      <c r="C19" s="23" t="s">
        <v>11</v>
      </c>
      <c r="D19" s="29" t="s">
        <v>19</v>
      </c>
      <c r="E19" s="26"/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23">
        <f t="shared" si="0"/>
        <v>0</v>
      </c>
      <c r="N19" s="142"/>
      <c r="O19" s="7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01">
        <v>0</v>
      </c>
      <c r="AQ19" s="162"/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64">
        <v>7.2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62"/>
      <c r="BX19" s="68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64">
        <v>0</v>
      </c>
      <c r="CJ19" s="13">
        <v>0</v>
      </c>
      <c r="CK19" s="13">
        <v>0</v>
      </c>
      <c r="CL19" s="13">
        <v>0</v>
      </c>
      <c r="CM19" s="13">
        <v>0</v>
      </c>
      <c r="CN19" s="265">
        <v>0</v>
      </c>
      <c r="CO19" s="265">
        <v>0</v>
      </c>
      <c r="CP19" s="265">
        <v>0</v>
      </c>
      <c r="CQ19" s="265">
        <v>0</v>
      </c>
      <c r="CR19" s="265">
        <v>0</v>
      </c>
      <c r="CS19" s="265">
        <v>0</v>
      </c>
      <c r="CT19" s="265">
        <v>0</v>
      </c>
      <c r="CU19" s="265">
        <v>0</v>
      </c>
      <c r="CV19" s="265">
        <v>0</v>
      </c>
      <c r="CW19" s="265">
        <v>0</v>
      </c>
      <c r="CX19" s="265">
        <v>0</v>
      </c>
      <c r="CY19" s="265">
        <v>0</v>
      </c>
      <c r="CZ19" s="265">
        <v>0</v>
      </c>
      <c r="DA19" s="101">
        <v>0</v>
      </c>
      <c r="DB19" s="197">
        <v>0</v>
      </c>
      <c r="DC19" s="198">
        <v>0</v>
      </c>
      <c r="DD19" s="198">
        <v>0</v>
      </c>
      <c r="DE19" s="198">
        <v>0</v>
      </c>
      <c r="DF19" s="198">
        <v>0</v>
      </c>
      <c r="DG19" s="198">
        <v>0</v>
      </c>
      <c r="DH19" s="311">
        <v>0</v>
      </c>
      <c r="DI19" s="311">
        <v>0</v>
      </c>
      <c r="DJ19" s="311">
        <v>0</v>
      </c>
      <c r="DK19" s="311">
        <v>0</v>
      </c>
      <c r="DL19" s="311">
        <v>0</v>
      </c>
      <c r="DM19" s="311">
        <v>0</v>
      </c>
      <c r="DN19" s="311">
        <v>0</v>
      </c>
      <c r="DO19" s="311">
        <v>0</v>
      </c>
      <c r="DP19" s="311">
        <v>0</v>
      </c>
      <c r="DQ19" s="311">
        <v>0</v>
      </c>
      <c r="DR19" s="311">
        <v>0</v>
      </c>
      <c r="DS19" s="311">
        <v>0</v>
      </c>
      <c r="DT19" s="311">
        <v>0</v>
      </c>
      <c r="DU19" s="311">
        <v>0</v>
      </c>
      <c r="DV19" s="311">
        <v>0</v>
      </c>
      <c r="DW19" s="311">
        <v>0</v>
      </c>
      <c r="DX19" s="311">
        <v>0</v>
      </c>
      <c r="DY19" s="311">
        <v>0</v>
      </c>
      <c r="DZ19" s="311">
        <v>0</v>
      </c>
      <c r="EA19" s="311">
        <v>0</v>
      </c>
      <c r="EB19" s="311">
        <v>0</v>
      </c>
      <c r="EC19" s="311">
        <v>0</v>
      </c>
      <c r="ED19" s="311">
        <v>0</v>
      </c>
      <c r="EE19" s="311">
        <v>0</v>
      </c>
      <c r="EF19" s="331">
        <v>0</v>
      </c>
      <c r="EG19" s="366">
        <v>0</v>
      </c>
      <c r="EH19" s="376">
        <v>0</v>
      </c>
      <c r="EI19" s="376">
        <v>0</v>
      </c>
      <c r="EJ19" s="376">
        <v>0</v>
      </c>
      <c r="EK19" s="376">
        <v>0</v>
      </c>
      <c r="EL19" s="376">
        <v>0</v>
      </c>
      <c r="EM19" s="376">
        <v>0</v>
      </c>
      <c r="EN19" s="376">
        <v>0</v>
      </c>
      <c r="EO19" s="376">
        <v>0</v>
      </c>
      <c r="EP19" s="376">
        <v>0</v>
      </c>
      <c r="EQ19" s="376">
        <v>0</v>
      </c>
      <c r="ER19" s="376">
        <v>0</v>
      </c>
      <c r="ES19" s="376">
        <v>0</v>
      </c>
      <c r="ET19" s="376">
        <v>0</v>
      </c>
      <c r="EU19" s="376">
        <v>0</v>
      </c>
      <c r="EV19" s="376">
        <v>0</v>
      </c>
      <c r="EW19" s="376">
        <v>0</v>
      </c>
      <c r="EX19" s="376">
        <v>0</v>
      </c>
      <c r="EY19" s="376">
        <v>0</v>
      </c>
      <c r="EZ19" s="376">
        <v>0</v>
      </c>
      <c r="FA19" s="376">
        <v>0</v>
      </c>
      <c r="FB19" s="376">
        <v>0</v>
      </c>
      <c r="FC19" s="376">
        <v>0</v>
      </c>
      <c r="FD19" s="376">
        <v>0</v>
      </c>
      <c r="FE19" s="376">
        <v>0</v>
      </c>
      <c r="FF19" s="376">
        <v>0</v>
      </c>
      <c r="FG19" s="376">
        <v>0</v>
      </c>
      <c r="FH19" s="376">
        <v>0</v>
      </c>
      <c r="FI19" s="376">
        <v>0</v>
      </c>
      <c r="FJ19" s="392">
        <v>17.600000000000001</v>
      </c>
      <c r="FK19" s="366">
        <v>0</v>
      </c>
      <c r="FL19" s="376">
        <v>0</v>
      </c>
      <c r="FM19" s="376">
        <v>0</v>
      </c>
      <c r="FN19" s="376">
        <v>0</v>
      </c>
      <c r="FO19" s="376">
        <v>0</v>
      </c>
      <c r="FP19" s="376">
        <v>0</v>
      </c>
      <c r="FQ19" s="376">
        <v>0</v>
      </c>
      <c r="FR19" s="376">
        <v>0</v>
      </c>
      <c r="FS19" s="376">
        <v>0</v>
      </c>
      <c r="FT19" s="376">
        <v>0</v>
      </c>
      <c r="FU19" s="376">
        <v>0</v>
      </c>
      <c r="FV19" s="376">
        <v>0</v>
      </c>
      <c r="FW19" s="376">
        <v>0</v>
      </c>
      <c r="FX19" s="376">
        <v>0</v>
      </c>
      <c r="FY19" s="376">
        <v>0</v>
      </c>
      <c r="FZ19" s="376">
        <v>0</v>
      </c>
      <c r="GA19" s="376">
        <v>0</v>
      </c>
      <c r="GB19" s="376">
        <v>0</v>
      </c>
      <c r="GC19" s="376">
        <v>0</v>
      </c>
      <c r="GD19" s="376">
        <v>0</v>
      </c>
      <c r="GE19" s="376">
        <v>0</v>
      </c>
      <c r="GF19" s="376">
        <v>0</v>
      </c>
      <c r="GG19" s="376">
        <v>0</v>
      </c>
      <c r="GH19" s="376">
        <v>0</v>
      </c>
      <c r="GI19" s="376">
        <v>0</v>
      </c>
      <c r="GJ19" s="376">
        <v>0</v>
      </c>
      <c r="GK19" s="376">
        <v>0</v>
      </c>
      <c r="GL19" s="376">
        <v>0</v>
      </c>
      <c r="GM19" s="376">
        <v>0</v>
      </c>
      <c r="GN19" s="376">
        <v>0</v>
      </c>
      <c r="GO19" s="415">
        <v>0</v>
      </c>
      <c r="GP19" s="366">
        <v>0</v>
      </c>
      <c r="GQ19" s="376">
        <v>0</v>
      </c>
      <c r="GR19" s="376">
        <v>0</v>
      </c>
      <c r="GS19" s="376">
        <v>0</v>
      </c>
      <c r="GT19" s="376">
        <v>0</v>
      </c>
      <c r="GU19" s="376">
        <v>0</v>
      </c>
      <c r="GV19" s="376">
        <v>0</v>
      </c>
      <c r="GW19" s="376">
        <v>0</v>
      </c>
      <c r="GX19" s="376">
        <v>0</v>
      </c>
      <c r="GY19" s="376">
        <v>0</v>
      </c>
      <c r="GZ19" s="376">
        <v>0</v>
      </c>
      <c r="HA19" s="376">
        <v>0</v>
      </c>
      <c r="HB19" s="376">
        <v>0</v>
      </c>
      <c r="HC19" s="376">
        <v>0</v>
      </c>
      <c r="HD19" s="376">
        <v>0</v>
      </c>
      <c r="HE19" s="376">
        <v>0</v>
      </c>
      <c r="HF19" s="376">
        <v>0</v>
      </c>
      <c r="HG19" s="376">
        <v>0</v>
      </c>
      <c r="HH19" s="376">
        <v>0</v>
      </c>
      <c r="HI19" s="376"/>
      <c r="HJ19" s="376"/>
      <c r="HK19" s="376"/>
      <c r="HL19" s="376"/>
      <c r="HM19" s="376"/>
      <c r="HN19" s="376"/>
      <c r="HO19" s="376"/>
      <c r="HP19" s="376"/>
      <c r="HQ19" s="376"/>
      <c r="HR19" s="376"/>
      <c r="HS19" s="376"/>
      <c r="HT19" s="433"/>
      <c r="HU19" s="360">
        <f t="shared" si="1"/>
        <v>24.8</v>
      </c>
    </row>
    <row r="20" spans="1:231" s="7" customFormat="1" ht="24.75" customHeight="1" thickBot="1" x14ac:dyDescent="0.3">
      <c r="A20" s="90"/>
      <c r="B20" s="90"/>
      <c r="C20" s="91" t="s">
        <v>12</v>
      </c>
      <c r="D20" s="113" t="s">
        <v>19</v>
      </c>
      <c r="E20" s="114">
        <f t="shared" ref="E20:L20" si="2">SUM(E9:E19)</f>
        <v>64.5</v>
      </c>
      <c r="F20" s="114">
        <f t="shared" si="2"/>
        <v>0</v>
      </c>
      <c r="G20" s="114">
        <f t="shared" si="2"/>
        <v>8.42</v>
      </c>
      <c r="H20" s="115">
        <f t="shared" si="2"/>
        <v>15.8</v>
      </c>
      <c r="I20" s="115">
        <f t="shared" si="2"/>
        <v>34.6</v>
      </c>
      <c r="J20" s="115">
        <f>SUM(J9:J19)</f>
        <v>16</v>
      </c>
      <c r="K20" s="115">
        <f t="shared" si="2"/>
        <v>0</v>
      </c>
      <c r="L20" s="115">
        <f t="shared" si="2"/>
        <v>0</v>
      </c>
      <c r="M20" s="116">
        <f>SUM(M9:M19)</f>
        <v>139.32</v>
      </c>
      <c r="N20" s="130"/>
      <c r="O20" s="83">
        <f t="shared" ref="O20:AP20" si="3">SUM(O9:O19)</f>
        <v>28.2</v>
      </c>
      <c r="P20" s="20">
        <f t="shared" si="3"/>
        <v>10.199999999999999</v>
      </c>
      <c r="Q20" s="20">
        <f t="shared" si="3"/>
        <v>0</v>
      </c>
      <c r="R20" s="20">
        <f t="shared" si="3"/>
        <v>37.5</v>
      </c>
      <c r="S20" s="20">
        <f t="shared" si="3"/>
        <v>0</v>
      </c>
      <c r="T20" s="20">
        <f t="shared" si="3"/>
        <v>0</v>
      </c>
      <c r="U20" s="20">
        <f t="shared" si="3"/>
        <v>40.9</v>
      </c>
      <c r="V20" s="20">
        <f t="shared" si="3"/>
        <v>78.2</v>
      </c>
      <c r="W20" s="20">
        <f t="shared" si="3"/>
        <v>33.1</v>
      </c>
      <c r="X20" s="20">
        <f t="shared" si="3"/>
        <v>13.25</v>
      </c>
      <c r="Y20" s="20">
        <f t="shared" si="3"/>
        <v>17.66</v>
      </c>
      <c r="Z20" s="20">
        <f t="shared" si="3"/>
        <v>2</v>
      </c>
      <c r="AA20" s="20">
        <f t="shared" si="3"/>
        <v>0</v>
      </c>
      <c r="AB20" s="20">
        <f t="shared" si="3"/>
        <v>27.799999999999997</v>
      </c>
      <c r="AC20" s="153">
        <f t="shared" si="3"/>
        <v>14</v>
      </c>
      <c r="AD20" s="153">
        <f t="shared" si="3"/>
        <v>23</v>
      </c>
      <c r="AE20" s="153">
        <f t="shared" si="3"/>
        <v>12.4</v>
      </c>
      <c r="AF20" s="20">
        <f t="shared" si="3"/>
        <v>0</v>
      </c>
      <c r="AG20" s="20">
        <f t="shared" si="3"/>
        <v>88</v>
      </c>
      <c r="AH20" s="20">
        <f t="shared" si="3"/>
        <v>0</v>
      </c>
      <c r="AI20" s="20">
        <f t="shared" si="3"/>
        <v>15</v>
      </c>
      <c r="AJ20" s="20">
        <f t="shared" si="3"/>
        <v>0</v>
      </c>
      <c r="AK20" s="20">
        <f t="shared" si="3"/>
        <v>10</v>
      </c>
      <c r="AL20" s="20">
        <f t="shared" si="3"/>
        <v>0</v>
      </c>
      <c r="AM20" s="20">
        <f t="shared" si="3"/>
        <v>19</v>
      </c>
      <c r="AN20" s="20">
        <f t="shared" si="3"/>
        <v>84.1</v>
      </c>
      <c r="AO20" s="20">
        <f t="shared" si="3"/>
        <v>0</v>
      </c>
      <c r="AP20" s="159">
        <f t="shared" si="3"/>
        <v>6</v>
      </c>
      <c r="AQ20" s="177"/>
      <c r="AR20" s="20">
        <f t="shared" ref="AR20:BF20" si="4">SUM(AR9:AR19)</f>
        <v>4.5</v>
      </c>
      <c r="AS20" s="20">
        <f t="shared" si="4"/>
        <v>15.7</v>
      </c>
      <c r="AT20" s="20">
        <f t="shared" si="4"/>
        <v>29</v>
      </c>
      <c r="AU20" s="20">
        <f t="shared" si="4"/>
        <v>6.1</v>
      </c>
      <c r="AV20" s="20">
        <f t="shared" si="4"/>
        <v>4</v>
      </c>
      <c r="AW20" s="20">
        <f t="shared" si="4"/>
        <v>0</v>
      </c>
      <c r="AX20" s="20">
        <f t="shared" si="4"/>
        <v>16</v>
      </c>
      <c r="AY20" s="20">
        <f t="shared" si="4"/>
        <v>78.8</v>
      </c>
      <c r="AZ20" s="20">
        <f t="shared" si="4"/>
        <v>0</v>
      </c>
      <c r="BA20" s="20">
        <f t="shared" si="4"/>
        <v>19.5</v>
      </c>
      <c r="BB20" s="20">
        <f t="shared" si="4"/>
        <v>35.6</v>
      </c>
      <c r="BC20" s="20">
        <f t="shared" si="4"/>
        <v>44.2</v>
      </c>
      <c r="BD20" s="20">
        <f t="shared" si="4"/>
        <v>0</v>
      </c>
      <c r="BE20" s="20">
        <f t="shared" si="4"/>
        <v>0</v>
      </c>
      <c r="BF20" s="20">
        <f t="shared" si="4"/>
        <v>37.700000000000003</v>
      </c>
      <c r="BG20" s="20">
        <f t="shared" ref="BG20:BV20" si="5">SUM(BG9:BG19)</f>
        <v>16.399999999999999</v>
      </c>
      <c r="BH20" s="20">
        <f t="shared" si="5"/>
        <v>27.900000000000002</v>
      </c>
      <c r="BI20" s="20">
        <f t="shared" si="5"/>
        <v>44.2</v>
      </c>
      <c r="BJ20" s="20">
        <f t="shared" si="5"/>
        <v>0</v>
      </c>
      <c r="BK20" s="20">
        <f t="shared" si="5"/>
        <v>0</v>
      </c>
      <c r="BL20" s="20">
        <f t="shared" si="5"/>
        <v>0</v>
      </c>
      <c r="BM20" s="20">
        <f t="shared" si="5"/>
        <v>0</v>
      </c>
      <c r="BN20" s="20">
        <f t="shared" si="5"/>
        <v>0</v>
      </c>
      <c r="BO20" s="20">
        <f t="shared" si="5"/>
        <v>39.700000000000003</v>
      </c>
      <c r="BP20" s="20">
        <f t="shared" si="5"/>
        <v>11</v>
      </c>
      <c r="BQ20" s="20">
        <f t="shared" si="5"/>
        <v>11</v>
      </c>
      <c r="BR20" s="20">
        <f t="shared" si="5"/>
        <v>0</v>
      </c>
      <c r="BS20" s="20">
        <f t="shared" si="5"/>
        <v>35.799999999999997</v>
      </c>
      <c r="BT20" s="20">
        <f t="shared" si="5"/>
        <v>0</v>
      </c>
      <c r="BU20" s="20">
        <f t="shared" si="5"/>
        <v>93.7</v>
      </c>
      <c r="BV20" s="20">
        <f t="shared" si="5"/>
        <v>18.5</v>
      </c>
      <c r="BW20" s="177"/>
      <c r="BX20" s="20">
        <f>SUM(BX9:BX19)</f>
        <v>46.900000000000006</v>
      </c>
      <c r="BY20" s="20">
        <f>SUM(BY9:BY19)</f>
        <v>10.1</v>
      </c>
      <c r="BZ20" s="20">
        <f>SUM(BZ9:BZ19)</f>
        <v>0</v>
      </c>
      <c r="CA20" s="20">
        <f t="shared" ref="CA20:CK20" si="6">SUM(CA9:CA19)</f>
        <v>23</v>
      </c>
      <c r="CB20" s="20">
        <f t="shared" si="6"/>
        <v>10</v>
      </c>
      <c r="CC20" s="20">
        <f t="shared" si="6"/>
        <v>23.4</v>
      </c>
      <c r="CD20" s="20">
        <f t="shared" si="6"/>
        <v>94</v>
      </c>
      <c r="CE20" s="20">
        <f t="shared" si="6"/>
        <v>16.3</v>
      </c>
      <c r="CF20" s="20">
        <f t="shared" si="6"/>
        <v>0</v>
      </c>
      <c r="CG20" s="20">
        <f t="shared" si="6"/>
        <v>0</v>
      </c>
      <c r="CH20" s="20">
        <f t="shared" si="6"/>
        <v>11</v>
      </c>
      <c r="CI20" s="20">
        <f t="shared" si="6"/>
        <v>0</v>
      </c>
      <c r="CJ20" s="20">
        <f t="shared" si="6"/>
        <v>12.9</v>
      </c>
      <c r="CK20" s="20">
        <f t="shared" si="6"/>
        <v>0</v>
      </c>
      <c r="CL20" s="20">
        <f>SUM(CL9:CL19)</f>
        <v>70.2</v>
      </c>
      <c r="CM20" s="20">
        <f t="shared" ref="CM20:CZ20" si="7">SUM(CM9:CM19)</f>
        <v>40</v>
      </c>
      <c r="CN20" s="20">
        <f t="shared" si="7"/>
        <v>0</v>
      </c>
      <c r="CO20" s="20">
        <f t="shared" si="7"/>
        <v>16</v>
      </c>
      <c r="CP20" s="20">
        <f t="shared" si="7"/>
        <v>15.8</v>
      </c>
      <c r="CQ20" s="20">
        <f t="shared" si="7"/>
        <v>15</v>
      </c>
      <c r="CR20" s="20">
        <f t="shared" si="7"/>
        <v>0</v>
      </c>
      <c r="CS20" s="20">
        <f t="shared" si="7"/>
        <v>15.1</v>
      </c>
      <c r="CT20" s="20">
        <f t="shared" si="7"/>
        <v>32.9</v>
      </c>
      <c r="CU20" s="20">
        <f t="shared" si="7"/>
        <v>0</v>
      </c>
      <c r="CV20" s="20">
        <f t="shared" si="7"/>
        <v>10</v>
      </c>
      <c r="CW20" s="20">
        <f t="shared" si="7"/>
        <v>5</v>
      </c>
      <c r="CX20" s="20">
        <f t="shared" si="7"/>
        <v>0</v>
      </c>
      <c r="CY20" s="20">
        <f t="shared" si="7"/>
        <v>4</v>
      </c>
      <c r="CZ20" s="20">
        <f t="shared" si="7"/>
        <v>0</v>
      </c>
      <c r="DA20" s="159">
        <f t="shared" ref="DA20:DE20" si="8">SUM(DA9:DA19)</f>
        <v>47</v>
      </c>
      <c r="DB20" s="280">
        <f t="shared" si="8"/>
        <v>0</v>
      </c>
      <c r="DC20" s="263">
        <f t="shared" si="8"/>
        <v>0</v>
      </c>
      <c r="DD20" s="263">
        <f t="shared" si="8"/>
        <v>5</v>
      </c>
      <c r="DE20" s="263">
        <f t="shared" si="8"/>
        <v>8</v>
      </c>
      <c r="DF20" s="325">
        <f t="shared" ref="DF20:DH20" si="9">SUM(DF9:DF19)</f>
        <v>7</v>
      </c>
      <c r="DG20" s="263">
        <f t="shared" si="9"/>
        <v>21.7</v>
      </c>
      <c r="DH20" s="263">
        <f t="shared" si="9"/>
        <v>0</v>
      </c>
      <c r="DI20" s="263">
        <f t="shared" ref="DI20:DK20" si="10">SUM(DI9:DI19)</f>
        <v>0</v>
      </c>
      <c r="DJ20" s="263">
        <f>SUM(DJ9:DJ19)</f>
        <v>16</v>
      </c>
      <c r="DK20" s="263">
        <f t="shared" si="10"/>
        <v>0</v>
      </c>
      <c r="DL20" s="263">
        <f t="shared" ref="DL20:DQ20" si="11">SUM(DL9:DL19)</f>
        <v>0</v>
      </c>
      <c r="DM20" s="263">
        <f t="shared" si="11"/>
        <v>12</v>
      </c>
      <c r="DN20" s="263">
        <f t="shared" si="11"/>
        <v>0</v>
      </c>
      <c r="DO20" s="263">
        <f t="shared" si="11"/>
        <v>0</v>
      </c>
      <c r="DP20" s="263">
        <f t="shared" si="11"/>
        <v>0</v>
      </c>
      <c r="DQ20" s="263">
        <f t="shared" si="11"/>
        <v>12</v>
      </c>
      <c r="DR20" s="263">
        <f t="shared" ref="DR20:DW20" si="12">SUM(DR9:DR19)</f>
        <v>0</v>
      </c>
      <c r="DS20" s="263">
        <f t="shared" si="12"/>
        <v>7</v>
      </c>
      <c r="DT20" s="263">
        <f t="shared" si="12"/>
        <v>0</v>
      </c>
      <c r="DU20" s="263">
        <f t="shared" si="12"/>
        <v>0</v>
      </c>
      <c r="DV20" s="263">
        <f t="shared" si="12"/>
        <v>6</v>
      </c>
      <c r="DW20" s="263">
        <f t="shared" si="12"/>
        <v>0</v>
      </c>
      <c r="DX20" s="263">
        <f t="shared" ref="DX20:GI20" si="13">SUM(DX9:DX19)</f>
        <v>0</v>
      </c>
      <c r="DY20" s="263">
        <f t="shared" si="13"/>
        <v>12</v>
      </c>
      <c r="DZ20" s="263">
        <f t="shared" si="13"/>
        <v>0</v>
      </c>
      <c r="EA20" s="263">
        <f t="shared" si="13"/>
        <v>0</v>
      </c>
      <c r="EB20" s="263">
        <f t="shared" si="13"/>
        <v>0</v>
      </c>
      <c r="EC20" s="263">
        <f t="shared" si="13"/>
        <v>0</v>
      </c>
      <c r="ED20" s="263">
        <f t="shared" si="13"/>
        <v>0</v>
      </c>
      <c r="EE20" s="263">
        <f t="shared" si="13"/>
        <v>0</v>
      </c>
      <c r="EF20" s="263">
        <f t="shared" si="13"/>
        <v>0</v>
      </c>
      <c r="EG20" s="263">
        <f t="shared" si="13"/>
        <v>0</v>
      </c>
      <c r="EH20" s="263">
        <f t="shared" si="13"/>
        <v>0</v>
      </c>
      <c r="EI20" s="263">
        <f t="shared" si="13"/>
        <v>0</v>
      </c>
      <c r="EJ20" s="263">
        <f t="shared" si="13"/>
        <v>0</v>
      </c>
      <c r="EK20" s="263">
        <f t="shared" si="13"/>
        <v>0</v>
      </c>
      <c r="EL20" s="263">
        <f t="shared" si="13"/>
        <v>0</v>
      </c>
      <c r="EM20" s="263">
        <f t="shared" si="13"/>
        <v>0</v>
      </c>
      <c r="EN20" s="263">
        <f t="shared" si="13"/>
        <v>0</v>
      </c>
      <c r="EO20" s="263">
        <f t="shared" si="13"/>
        <v>0</v>
      </c>
      <c r="EP20" s="263">
        <f t="shared" si="13"/>
        <v>0</v>
      </c>
      <c r="EQ20" s="263">
        <f t="shared" si="13"/>
        <v>0</v>
      </c>
      <c r="ER20" s="263">
        <f t="shared" si="13"/>
        <v>0</v>
      </c>
      <c r="ES20" s="263">
        <f t="shared" si="13"/>
        <v>0</v>
      </c>
      <c r="ET20" s="263">
        <f t="shared" si="13"/>
        <v>10</v>
      </c>
      <c r="EU20" s="263">
        <f t="shared" si="13"/>
        <v>0</v>
      </c>
      <c r="EV20" s="263">
        <f t="shared" si="13"/>
        <v>0</v>
      </c>
      <c r="EW20" s="263">
        <f t="shared" si="13"/>
        <v>0</v>
      </c>
      <c r="EX20" s="263">
        <f t="shared" si="13"/>
        <v>0</v>
      </c>
      <c r="EY20" s="263">
        <f t="shared" si="13"/>
        <v>0</v>
      </c>
      <c r="EZ20" s="263">
        <f t="shared" si="13"/>
        <v>12.3</v>
      </c>
      <c r="FA20" s="263">
        <f t="shared" si="13"/>
        <v>0</v>
      </c>
      <c r="FB20" s="263">
        <f t="shared" si="13"/>
        <v>0</v>
      </c>
      <c r="FC20" s="263">
        <f t="shared" si="13"/>
        <v>0</v>
      </c>
      <c r="FD20" s="263">
        <f t="shared" si="13"/>
        <v>0</v>
      </c>
      <c r="FE20" s="263">
        <f t="shared" si="13"/>
        <v>0</v>
      </c>
      <c r="FF20" s="263">
        <f t="shared" si="13"/>
        <v>0</v>
      </c>
      <c r="FG20" s="263">
        <f t="shared" si="13"/>
        <v>0</v>
      </c>
      <c r="FH20" s="263">
        <f t="shared" si="13"/>
        <v>0</v>
      </c>
      <c r="FI20" s="263">
        <f t="shared" si="13"/>
        <v>0</v>
      </c>
      <c r="FJ20" s="263">
        <f t="shared" si="13"/>
        <v>17.600000000000001</v>
      </c>
      <c r="FK20" s="263">
        <f t="shared" si="13"/>
        <v>0</v>
      </c>
      <c r="FL20" s="263">
        <f t="shared" si="13"/>
        <v>0</v>
      </c>
      <c r="FM20" s="263">
        <f t="shared" si="13"/>
        <v>0</v>
      </c>
      <c r="FN20" s="263">
        <f t="shared" si="13"/>
        <v>0</v>
      </c>
      <c r="FO20" s="263">
        <f t="shared" si="13"/>
        <v>0</v>
      </c>
      <c r="FP20" s="263">
        <f t="shared" si="13"/>
        <v>0</v>
      </c>
      <c r="FQ20" s="263">
        <f t="shared" si="13"/>
        <v>0</v>
      </c>
      <c r="FR20" s="263">
        <f t="shared" si="13"/>
        <v>0</v>
      </c>
      <c r="FS20" s="263">
        <f t="shared" si="13"/>
        <v>0</v>
      </c>
      <c r="FT20" s="263">
        <f t="shared" si="13"/>
        <v>0</v>
      </c>
      <c r="FU20" s="263">
        <f t="shared" si="13"/>
        <v>0</v>
      </c>
      <c r="FV20" s="263">
        <f t="shared" si="13"/>
        <v>0</v>
      </c>
      <c r="FW20" s="263">
        <f t="shared" si="13"/>
        <v>0</v>
      </c>
      <c r="FX20" s="263">
        <f t="shared" si="13"/>
        <v>0</v>
      </c>
      <c r="FY20" s="263">
        <f t="shared" si="13"/>
        <v>0</v>
      </c>
      <c r="FZ20" s="263">
        <f t="shared" si="13"/>
        <v>0</v>
      </c>
      <c r="GA20" s="263">
        <f t="shared" si="13"/>
        <v>0</v>
      </c>
      <c r="GB20" s="263">
        <f t="shared" si="13"/>
        <v>15</v>
      </c>
      <c r="GC20" s="263">
        <f t="shared" si="13"/>
        <v>0</v>
      </c>
      <c r="GD20" s="263">
        <f t="shared" si="13"/>
        <v>0</v>
      </c>
      <c r="GE20" s="263">
        <f t="shared" si="13"/>
        <v>0</v>
      </c>
      <c r="GF20" s="263">
        <f t="shared" si="13"/>
        <v>0</v>
      </c>
      <c r="GG20" s="263">
        <f t="shared" si="13"/>
        <v>0</v>
      </c>
      <c r="GH20" s="263">
        <f t="shared" si="13"/>
        <v>0</v>
      </c>
      <c r="GI20" s="263">
        <f t="shared" si="13"/>
        <v>0</v>
      </c>
      <c r="GJ20" s="263">
        <f t="shared" ref="GJ20:GO20" si="14">SUM(GJ9:GJ19)</f>
        <v>0</v>
      </c>
      <c r="GK20" s="263">
        <f t="shared" si="14"/>
        <v>0</v>
      </c>
      <c r="GL20" s="263">
        <f t="shared" si="14"/>
        <v>0</v>
      </c>
      <c r="GM20" s="263">
        <f t="shared" si="14"/>
        <v>28</v>
      </c>
      <c r="GN20" s="263">
        <f t="shared" si="14"/>
        <v>0</v>
      </c>
      <c r="GO20" s="325">
        <f t="shared" si="14"/>
        <v>0</v>
      </c>
      <c r="GP20" s="320">
        <f t="shared" ref="GP20:GW20" si="15">SUM(GP9:GP19)</f>
        <v>0</v>
      </c>
      <c r="GQ20" s="321">
        <f t="shared" si="15"/>
        <v>0</v>
      </c>
      <c r="GR20" s="321">
        <f t="shared" si="15"/>
        <v>0</v>
      </c>
      <c r="GS20" s="321">
        <f t="shared" si="15"/>
        <v>0</v>
      </c>
      <c r="GT20" s="321">
        <f t="shared" si="15"/>
        <v>0</v>
      </c>
      <c r="GU20" s="321">
        <f t="shared" si="15"/>
        <v>0</v>
      </c>
      <c r="GV20" s="321">
        <f t="shared" si="15"/>
        <v>0</v>
      </c>
      <c r="GW20" s="321">
        <f t="shared" si="15"/>
        <v>23.2</v>
      </c>
      <c r="GX20" s="321">
        <f t="shared" ref="GX20:GZ20" si="16">SUM(GX9:GX19)</f>
        <v>0</v>
      </c>
      <c r="GY20" s="321">
        <f t="shared" si="16"/>
        <v>0</v>
      </c>
      <c r="GZ20" s="321">
        <f t="shared" si="16"/>
        <v>13.1</v>
      </c>
      <c r="HA20" s="321">
        <f t="shared" ref="HA20:HB20" si="17">SUM(HA9:HA19)</f>
        <v>0</v>
      </c>
      <c r="HB20" s="321">
        <f t="shared" si="17"/>
        <v>0</v>
      </c>
      <c r="HC20" s="321">
        <f t="shared" ref="HC20:HE20" si="18">SUM(HC9:HC19)</f>
        <v>0</v>
      </c>
      <c r="HD20" s="321">
        <f t="shared" si="18"/>
        <v>0</v>
      </c>
      <c r="HE20" s="321">
        <f t="shared" si="18"/>
        <v>0</v>
      </c>
      <c r="HF20" s="321">
        <f t="shared" ref="HF20:HG20" si="19">SUM(HF9:HF19)</f>
        <v>0</v>
      </c>
      <c r="HG20" s="321">
        <f t="shared" si="19"/>
        <v>0</v>
      </c>
      <c r="HH20" s="321">
        <f t="shared" ref="HH20" si="20">SUM(HH9:HH19)</f>
        <v>0</v>
      </c>
      <c r="HI20" s="321"/>
      <c r="HJ20" s="321"/>
      <c r="HK20" s="321"/>
      <c r="HL20" s="321"/>
      <c r="HM20" s="321"/>
      <c r="HN20" s="321"/>
      <c r="HO20" s="321"/>
      <c r="HP20" s="321"/>
      <c r="HQ20" s="321"/>
      <c r="HR20" s="321"/>
      <c r="HS20" s="321"/>
      <c r="HT20" s="434"/>
      <c r="HU20" s="362">
        <f>SUM(HU9:HU19)</f>
        <v>1894.1099999999997</v>
      </c>
    </row>
    <row r="21" spans="1:231" ht="15.75" thickBot="1" x14ac:dyDescent="0.3">
      <c r="A21" s="97"/>
      <c r="B21" s="98"/>
      <c r="C21" s="99"/>
      <c r="D21" s="98"/>
      <c r="E21" s="98"/>
      <c r="F21" s="98"/>
      <c r="G21" s="98"/>
      <c r="H21" s="98"/>
      <c r="I21" s="98"/>
      <c r="J21" s="98"/>
      <c r="K21" s="98"/>
      <c r="L21" s="98"/>
      <c r="M21" s="117"/>
      <c r="N21" s="143"/>
      <c r="O21" s="18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78"/>
      <c r="AR21" s="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W21" s="178"/>
      <c r="BX21" s="21"/>
      <c r="DB21" s="315"/>
      <c r="DC21" s="316"/>
      <c r="DD21" s="316"/>
      <c r="DE21" s="316"/>
      <c r="DF21" s="316"/>
      <c r="DG21" s="317"/>
      <c r="EG21" s="97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7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275"/>
      <c r="GQ21" s="275"/>
      <c r="GR21" s="121"/>
      <c r="GS21" s="121"/>
      <c r="GT21" s="121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275"/>
      <c r="HJ21" s="275"/>
      <c r="HK21" s="275"/>
      <c r="HL21" s="275"/>
      <c r="HM21" s="275"/>
      <c r="HN21" s="275"/>
      <c r="HO21" s="275"/>
      <c r="HP21" s="275"/>
      <c r="HQ21" s="275"/>
      <c r="HR21" s="275"/>
      <c r="HS21" s="275"/>
      <c r="HT21" s="357"/>
      <c r="HU21" s="377"/>
    </row>
    <row r="22" spans="1:231" x14ac:dyDescent="0.25">
      <c r="A22" s="32">
        <v>1</v>
      </c>
      <c r="B22" s="481" t="s">
        <v>16</v>
      </c>
      <c r="C22" s="25" t="s">
        <v>1</v>
      </c>
      <c r="D22" s="189" t="s">
        <v>19</v>
      </c>
      <c r="E22" s="190"/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191">
        <f>SUM(E22:L22)</f>
        <v>0</v>
      </c>
      <c r="N22" s="237"/>
      <c r="O22" s="71">
        <v>0</v>
      </c>
      <c r="P22" s="37">
        <v>0</v>
      </c>
      <c r="Q22" s="157">
        <v>0</v>
      </c>
      <c r="R22" s="157">
        <v>0</v>
      </c>
      <c r="S22" s="157">
        <v>0</v>
      </c>
      <c r="T22" s="157">
        <v>0</v>
      </c>
      <c r="U22" s="157">
        <v>0</v>
      </c>
      <c r="V22" s="157">
        <v>0</v>
      </c>
      <c r="W22" s="157">
        <v>0</v>
      </c>
      <c r="X22" s="157">
        <v>0</v>
      </c>
      <c r="Y22" s="157">
        <v>0</v>
      </c>
      <c r="Z22" s="157">
        <v>0</v>
      </c>
      <c r="AA22" s="157">
        <v>0</v>
      </c>
      <c r="AB22" s="157">
        <v>0</v>
      </c>
      <c r="AC22" s="157">
        <v>0</v>
      </c>
      <c r="AD22" s="157">
        <v>0</v>
      </c>
      <c r="AE22" s="157">
        <v>0</v>
      </c>
      <c r="AF22" s="157">
        <v>0</v>
      </c>
      <c r="AG22" s="157">
        <v>0</v>
      </c>
      <c r="AH22" s="157">
        <v>0</v>
      </c>
      <c r="AI22" s="157">
        <v>0</v>
      </c>
      <c r="AJ22" s="157">
        <v>0</v>
      </c>
      <c r="AK22" s="157">
        <v>0</v>
      </c>
      <c r="AL22" s="157">
        <v>0</v>
      </c>
      <c r="AM22" s="157">
        <v>0</v>
      </c>
      <c r="AN22" s="157">
        <v>0</v>
      </c>
      <c r="AO22" s="157">
        <v>0</v>
      </c>
      <c r="AP22" s="157">
        <v>0</v>
      </c>
      <c r="AQ22" s="165"/>
      <c r="AR22" s="71">
        <v>0</v>
      </c>
      <c r="AS22" s="37">
        <v>0</v>
      </c>
      <c r="AT22" s="157">
        <v>0</v>
      </c>
      <c r="AU22" s="157">
        <v>0</v>
      </c>
      <c r="AV22" s="157">
        <v>0</v>
      </c>
      <c r="AW22" s="157">
        <v>0</v>
      </c>
      <c r="AX22" s="157">
        <v>0</v>
      </c>
      <c r="AY22" s="157">
        <v>0</v>
      </c>
      <c r="AZ22" s="157">
        <v>0</v>
      </c>
      <c r="BA22" s="157">
        <v>0</v>
      </c>
      <c r="BB22" s="157">
        <v>0</v>
      </c>
      <c r="BC22" s="157">
        <v>0</v>
      </c>
      <c r="BD22" s="157">
        <v>0</v>
      </c>
      <c r="BE22" s="157">
        <v>0</v>
      </c>
      <c r="BF22" s="157">
        <v>0</v>
      </c>
      <c r="BG22" s="157">
        <v>0</v>
      </c>
      <c r="BH22" s="157">
        <v>0</v>
      </c>
      <c r="BI22" s="157">
        <v>0</v>
      </c>
      <c r="BJ22" s="157">
        <v>0</v>
      </c>
      <c r="BK22" s="157">
        <v>0</v>
      </c>
      <c r="BL22" s="157">
        <v>0</v>
      </c>
      <c r="BM22" s="157">
        <v>0</v>
      </c>
      <c r="BN22" s="157">
        <v>0</v>
      </c>
      <c r="BO22" s="157">
        <v>0</v>
      </c>
      <c r="BP22" s="157">
        <v>0</v>
      </c>
      <c r="BQ22" s="157">
        <v>0</v>
      </c>
      <c r="BR22" s="157">
        <v>0</v>
      </c>
      <c r="BS22" s="37">
        <v>0</v>
      </c>
      <c r="BT22" s="37">
        <v>0</v>
      </c>
      <c r="BU22" s="37">
        <v>0</v>
      </c>
      <c r="BV22" s="37">
        <v>0</v>
      </c>
      <c r="BW22" s="165"/>
      <c r="BX22" s="71">
        <v>0</v>
      </c>
      <c r="BY22" s="37">
        <v>0</v>
      </c>
      <c r="BZ22" s="157">
        <v>0</v>
      </c>
      <c r="CA22" s="157">
        <v>0</v>
      </c>
      <c r="CB22" s="157">
        <v>0</v>
      </c>
      <c r="CC22" s="157">
        <v>0</v>
      </c>
      <c r="CD22" s="157">
        <v>0</v>
      </c>
      <c r="CE22" s="157">
        <v>0</v>
      </c>
      <c r="CF22" s="157">
        <v>0</v>
      </c>
      <c r="CG22" s="157">
        <v>0</v>
      </c>
      <c r="CH22" s="157">
        <v>0</v>
      </c>
      <c r="CI22" s="157">
        <v>0</v>
      </c>
      <c r="CJ22" s="157">
        <v>0</v>
      </c>
      <c r="CK22" s="157">
        <v>0</v>
      </c>
      <c r="CL22" s="157">
        <v>0</v>
      </c>
      <c r="CM22" s="157">
        <v>0</v>
      </c>
      <c r="CN22" s="268">
        <v>0</v>
      </c>
      <c r="CO22" s="268">
        <v>12</v>
      </c>
      <c r="CP22" s="268">
        <v>0</v>
      </c>
      <c r="CQ22" s="268">
        <v>0</v>
      </c>
      <c r="CR22" s="268">
        <v>0</v>
      </c>
      <c r="CS22" s="268">
        <v>0</v>
      </c>
      <c r="CT22" s="268">
        <v>0</v>
      </c>
      <c r="CU22" s="268">
        <v>0</v>
      </c>
      <c r="CV22" s="268">
        <v>0</v>
      </c>
      <c r="CW22" s="268">
        <v>0</v>
      </c>
      <c r="CX22" s="268">
        <v>0</v>
      </c>
      <c r="CY22" s="267">
        <v>0</v>
      </c>
      <c r="CZ22" s="267">
        <v>0</v>
      </c>
      <c r="DA22" s="157">
        <v>0</v>
      </c>
      <c r="DB22" s="71">
        <v>0</v>
      </c>
      <c r="DC22" s="37">
        <v>0</v>
      </c>
      <c r="DD22" s="37">
        <v>0</v>
      </c>
      <c r="DE22" s="37">
        <v>43</v>
      </c>
      <c r="DF22" s="157">
        <v>0</v>
      </c>
      <c r="DG22" s="37">
        <v>0</v>
      </c>
      <c r="DH22" s="268">
        <v>0</v>
      </c>
      <c r="DI22" s="268">
        <v>0</v>
      </c>
      <c r="DJ22" s="268">
        <v>26</v>
      </c>
      <c r="DK22" s="267">
        <v>0</v>
      </c>
      <c r="DL22" s="268">
        <v>21</v>
      </c>
      <c r="DM22" s="268">
        <v>0</v>
      </c>
      <c r="DN22" s="337">
        <v>12.1</v>
      </c>
      <c r="DO22" s="337">
        <v>27.5</v>
      </c>
      <c r="DP22" s="268">
        <v>0</v>
      </c>
      <c r="DQ22" s="268">
        <v>9</v>
      </c>
      <c r="DR22" s="268">
        <v>3</v>
      </c>
      <c r="DS22" s="268">
        <v>0</v>
      </c>
      <c r="DT22" s="268">
        <v>0</v>
      </c>
      <c r="DU22" s="337">
        <v>13.2</v>
      </c>
      <c r="DV22" s="268">
        <v>0</v>
      </c>
      <c r="DW22" s="268">
        <v>0</v>
      </c>
      <c r="DX22" s="337">
        <v>67.2</v>
      </c>
      <c r="DY22" s="268">
        <v>0</v>
      </c>
      <c r="DZ22" s="268">
        <v>0</v>
      </c>
      <c r="EA22" s="268">
        <v>0</v>
      </c>
      <c r="EB22" s="268">
        <v>0</v>
      </c>
      <c r="EC22" s="268">
        <v>0</v>
      </c>
      <c r="ED22" s="268">
        <v>0</v>
      </c>
      <c r="EE22" s="268">
        <v>0</v>
      </c>
      <c r="EF22" s="337">
        <v>28.6</v>
      </c>
      <c r="EG22" s="342">
        <v>12</v>
      </c>
      <c r="EH22" s="283">
        <v>24.5</v>
      </c>
      <c r="EI22" s="266">
        <v>0</v>
      </c>
      <c r="EJ22" s="319">
        <v>22.1</v>
      </c>
      <c r="EK22" s="266">
        <v>0</v>
      </c>
      <c r="EL22" s="266">
        <v>19</v>
      </c>
      <c r="EM22" s="319">
        <v>19.7</v>
      </c>
      <c r="EN22" s="319">
        <v>28</v>
      </c>
      <c r="EO22" s="266">
        <v>6</v>
      </c>
      <c r="EP22" s="266">
        <v>0</v>
      </c>
      <c r="EQ22" s="266">
        <v>28</v>
      </c>
      <c r="ER22" s="266">
        <v>0</v>
      </c>
      <c r="ES22" s="266">
        <v>0</v>
      </c>
      <c r="ET22" s="266">
        <v>0</v>
      </c>
      <c r="EU22" s="266">
        <v>0</v>
      </c>
      <c r="EV22" s="319">
        <v>49.1</v>
      </c>
      <c r="EW22" s="319">
        <v>22.8</v>
      </c>
      <c r="EX22" s="319">
        <v>27</v>
      </c>
      <c r="EY22" s="266">
        <v>0</v>
      </c>
      <c r="EZ22" s="266">
        <v>15</v>
      </c>
      <c r="FA22" s="266">
        <v>0</v>
      </c>
      <c r="FB22" s="266">
        <v>12</v>
      </c>
      <c r="FC22" s="266">
        <v>2</v>
      </c>
      <c r="FD22" s="319">
        <v>17.5</v>
      </c>
      <c r="FE22" s="266">
        <v>7</v>
      </c>
      <c r="FF22" s="266">
        <v>0</v>
      </c>
      <c r="FG22" s="266">
        <v>21</v>
      </c>
      <c r="FH22" s="266">
        <v>0</v>
      </c>
      <c r="FI22" s="266">
        <v>0</v>
      </c>
      <c r="FJ22" s="283">
        <v>20.8</v>
      </c>
      <c r="FK22" s="342">
        <v>0</v>
      </c>
      <c r="FL22" s="266">
        <v>15</v>
      </c>
      <c r="FM22" s="266">
        <v>0</v>
      </c>
      <c r="FN22" s="266">
        <v>0</v>
      </c>
      <c r="FO22" s="266">
        <v>0</v>
      </c>
      <c r="FP22" s="266">
        <v>0</v>
      </c>
      <c r="FQ22" s="266">
        <v>0</v>
      </c>
      <c r="FR22" s="266">
        <v>20</v>
      </c>
      <c r="FS22" s="266">
        <v>0</v>
      </c>
      <c r="FT22" s="266">
        <v>0</v>
      </c>
      <c r="FU22" s="266">
        <v>0</v>
      </c>
      <c r="FV22" s="266">
        <v>0</v>
      </c>
      <c r="FW22" s="266">
        <v>0</v>
      </c>
      <c r="FX22" s="319">
        <v>17.5</v>
      </c>
      <c r="FY22" s="266">
        <v>0</v>
      </c>
      <c r="FZ22" s="266">
        <v>0</v>
      </c>
      <c r="GA22" s="319">
        <v>9.5</v>
      </c>
      <c r="GB22" s="266">
        <v>0</v>
      </c>
      <c r="GC22" s="266">
        <v>0</v>
      </c>
      <c r="GD22" s="266">
        <v>0</v>
      </c>
      <c r="GE22" s="266">
        <v>0</v>
      </c>
      <c r="GF22" s="319">
        <v>15.5</v>
      </c>
      <c r="GG22" s="319">
        <v>11</v>
      </c>
      <c r="GH22" s="319">
        <v>0</v>
      </c>
      <c r="GI22" s="319">
        <v>0</v>
      </c>
      <c r="GJ22" s="319">
        <v>0</v>
      </c>
      <c r="GK22" s="319">
        <v>0</v>
      </c>
      <c r="GL22" s="319">
        <v>0</v>
      </c>
      <c r="GM22" s="319">
        <v>0</v>
      </c>
      <c r="GN22" s="319">
        <v>0</v>
      </c>
      <c r="GO22" s="283">
        <v>0</v>
      </c>
      <c r="GP22" s="395">
        <v>0</v>
      </c>
      <c r="GQ22" s="281">
        <v>20.399999999999999</v>
      </c>
      <c r="GR22" s="281">
        <v>0</v>
      </c>
      <c r="GS22" s="319">
        <v>0</v>
      </c>
      <c r="GT22" s="319">
        <v>0</v>
      </c>
      <c r="GU22" s="319">
        <v>2.8</v>
      </c>
      <c r="GV22" s="319">
        <v>0</v>
      </c>
      <c r="GW22" s="319">
        <v>0</v>
      </c>
      <c r="GX22" s="319">
        <v>0</v>
      </c>
      <c r="GY22" s="319">
        <v>0</v>
      </c>
      <c r="GZ22" s="319">
        <v>0</v>
      </c>
      <c r="HA22" s="319">
        <v>0</v>
      </c>
      <c r="HB22" s="319">
        <v>0</v>
      </c>
      <c r="HC22" s="319">
        <v>0</v>
      </c>
      <c r="HD22" s="319">
        <v>0</v>
      </c>
      <c r="HE22" s="319">
        <v>0</v>
      </c>
      <c r="HF22" s="319">
        <v>0</v>
      </c>
      <c r="HG22" s="319">
        <v>0</v>
      </c>
      <c r="HH22" s="319">
        <v>0</v>
      </c>
      <c r="HI22" s="267"/>
      <c r="HJ22" s="267"/>
      <c r="HK22" s="267"/>
      <c r="HL22" s="267"/>
      <c r="HM22" s="267"/>
      <c r="HN22" s="267"/>
      <c r="HO22" s="267"/>
      <c r="HP22" s="267"/>
      <c r="HQ22" s="267"/>
      <c r="HR22" s="267"/>
      <c r="HS22" s="267"/>
      <c r="HT22" s="367"/>
      <c r="HU22" s="360">
        <f>SUM(O22:HT22)</f>
        <v>727.8</v>
      </c>
    </row>
    <row r="23" spans="1:231" x14ac:dyDescent="0.25">
      <c r="A23" s="2">
        <v>2</v>
      </c>
      <c r="B23" s="474"/>
      <c r="C23" s="23" t="s">
        <v>2</v>
      </c>
      <c r="D23" s="29" t="s">
        <v>19</v>
      </c>
      <c r="E23" s="82">
        <v>13</v>
      </c>
      <c r="F23" s="13">
        <v>0</v>
      </c>
      <c r="G23" s="13">
        <v>0</v>
      </c>
      <c r="H23" s="64">
        <v>34.5</v>
      </c>
      <c r="I23" s="64">
        <v>15</v>
      </c>
      <c r="J23" s="64">
        <v>18.7</v>
      </c>
      <c r="K23" s="13">
        <v>0</v>
      </c>
      <c r="L23" s="67">
        <v>17</v>
      </c>
      <c r="M23" s="124">
        <f t="shared" ref="M23:M32" si="21">SUM(E23:L23)</f>
        <v>98.2</v>
      </c>
      <c r="N23" s="238"/>
      <c r="O23" s="88">
        <v>0</v>
      </c>
      <c r="P23" s="68">
        <v>0</v>
      </c>
      <c r="Q23" s="149">
        <v>9.5</v>
      </c>
      <c r="R23" s="100">
        <v>0</v>
      </c>
      <c r="S23" s="149">
        <v>10</v>
      </c>
      <c r="T23" s="100">
        <v>0</v>
      </c>
      <c r="U23" s="149">
        <v>17.600000000000001</v>
      </c>
      <c r="V23" s="100">
        <v>0</v>
      </c>
      <c r="W23" s="100">
        <v>0</v>
      </c>
      <c r="X23" s="100">
        <v>0</v>
      </c>
      <c r="Y23" s="100">
        <v>0</v>
      </c>
      <c r="Z23" s="100">
        <v>0</v>
      </c>
      <c r="AA23" s="100">
        <v>0</v>
      </c>
      <c r="AB23" s="100">
        <v>0</v>
      </c>
      <c r="AC23" s="100">
        <v>0</v>
      </c>
      <c r="AD23" s="100">
        <v>0</v>
      </c>
      <c r="AE23" s="100">
        <v>0</v>
      </c>
      <c r="AF23" s="100">
        <v>0</v>
      </c>
      <c r="AG23" s="100">
        <v>0</v>
      </c>
      <c r="AH23" s="100">
        <v>0</v>
      </c>
      <c r="AI23" s="100">
        <v>0</v>
      </c>
      <c r="AJ23" s="100">
        <v>0</v>
      </c>
      <c r="AK23" s="100">
        <v>0</v>
      </c>
      <c r="AL23" s="100">
        <v>0</v>
      </c>
      <c r="AM23" s="100">
        <v>0</v>
      </c>
      <c r="AN23" s="100">
        <v>0</v>
      </c>
      <c r="AO23" s="100">
        <v>0</v>
      </c>
      <c r="AP23" s="100">
        <v>0</v>
      </c>
      <c r="AQ23" s="179"/>
      <c r="AR23" s="73">
        <v>0</v>
      </c>
      <c r="AS23" s="13">
        <v>0</v>
      </c>
      <c r="AT23" s="100">
        <v>0</v>
      </c>
      <c r="AU23" s="100">
        <v>0</v>
      </c>
      <c r="AV23" s="100">
        <v>0</v>
      </c>
      <c r="AW23" s="100">
        <v>0</v>
      </c>
      <c r="AX23" s="100">
        <v>0</v>
      </c>
      <c r="AY23" s="100">
        <v>0</v>
      </c>
      <c r="AZ23" s="100">
        <v>0</v>
      </c>
      <c r="BA23" s="100">
        <v>0</v>
      </c>
      <c r="BB23" s="100">
        <v>0</v>
      </c>
      <c r="BC23" s="100">
        <v>0</v>
      </c>
      <c r="BD23" s="100">
        <v>0</v>
      </c>
      <c r="BE23" s="100">
        <v>0</v>
      </c>
      <c r="BF23" s="100">
        <v>0</v>
      </c>
      <c r="BG23" s="100">
        <v>0</v>
      </c>
      <c r="BH23" s="100">
        <v>0</v>
      </c>
      <c r="BI23" s="100">
        <v>0</v>
      </c>
      <c r="BJ23" s="100">
        <v>0</v>
      </c>
      <c r="BK23" s="100">
        <v>0</v>
      </c>
      <c r="BL23" s="100">
        <v>0</v>
      </c>
      <c r="BM23" s="100">
        <v>0</v>
      </c>
      <c r="BN23" s="100">
        <v>0</v>
      </c>
      <c r="BO23" s="100">
        <v>0</v>
      </c>
      <c r="BP23" s="100">
        <v>0</v>
      </c>
      <c r="BQ23" s="100">
        <v>0</v>
      </c>
      <c r="BR23" s="100">
        <v>0</v>
      </c>
      <c r="BS23" s="13">
        <v>0</v>
      </c>
      <c r="BT23" s="13">
        <v>0</v>
      </c>
      <c r="BU23" s="13">
        <v>0</v>
      </c>
      <c r="BV23" s="13">
        <v>0</v>
      </c>
      <c r="BW23" s="179"/>
      <c r="BX23" s="88">
        <v>0</v>
      </c>
      <c r="BY23" s="13">
        <v>0</v>
      </c>
      <c r="BZ23" s="100">
        <v>0</v>
      </c>
      <c r="CA23" s="100">
        <v>0</v>
      </c>
      <c r="CB23" s="100">
        <v>0</v>
      </c>
      <c r="CC23" s="100">
        <v>0</v>
      </c>
      <c r="CD23" s="100">
        <v>0</v>
      </c>
      <c r="CE23" s="100">
        <v>0</v>
      </c>
      <c r="CF23" s="100">
        <v>0</v>
      </c>
      <c r="CG23" s="100">
        <v>0</v>
      </c>
      <c r="CH23" s="100">
        <v>0</v>
      </c>
      <c r="CI23" s="100">
        <v>0</v>
      </c>
      <c r="CJ23" s="100">
        <v>0</v>
      </c>
      <c r="CK23" s="100">
        <v>0</v>
      </c>
      <c r="CL23" s="100">
        <v>0</v>
      </c>
      <c r="CM23" s="100">
        <v>0</v>
      </c>
      <c r="CN23" s="270">
        <v>0</v>
      </c>
      <c r="CO23" s="270">
        <v>0</v>
      </c>
      <c r="CP23" s="270">
        <v>0</v>
      </c>
      <c r="CQ23" s="270">
        <v>0</v>
      </c>
      <c r="CR23" s="270">
        <v>0</v>
      </c>
      <c r="CS23" s="270">
        <v>0</v>
      </c>
      <c r="CT23" s="270">
        <v>0</v>
      </c>
      <c r="CU23" s="270">
        <v>0</v>
      </c>
      <c r="CV23" s="270">
        <v>0</v>
      </c>
      <c r="CW23" s="270">
        <v>0</v>
      </c>
      <c r="CX23" s="270">
        <v>0</v>
      </c>
      <c r="CY23" s="265">
        <v>0</v>
      </c>
      <c r="CZ23" s="265">
        <v>0</v>
      </c>
      <c r="DA23" s="101">
        <v>0</v>
      </c>
      <c r="DB23" s="73">
        <v>0</v>
      </c>
      <c r="DC23" s="13">
        <v>0</v>
      </c>
      <c r="DD23" s="13">
        <v>0</v>
      </c>
      <c r="DE23" s="13">
        <v>0</v>
      </c>
      <c r="DF23" s="101">
        <v>0</v>
      </c>
      <c r="DG23" s="13">
        <v>0</v>
      </c>
      <c r="DH23" s="270">
        <v>0</v>
      </c>
      <c r="DI23" s="270">
        <v>0</v>
      </c>
      <c r="DJ23" s="270">
        <v>0</v>
      </c>
      <c r="DK23" s="265">
        <v>0</v>
      </c>
      <c r="DL23" s="270">
        <v>0</v>
      </c>
      <c r="DM23" s="270">
        <v>0</v>
      </c>
      <c r="DN23" s="270">
        <v>0</v>
      </c>
      <c r="DO23" s="270">
        <v>0</v>
      </c>
      <c r="DP23" s="270">
        <v>0</v>
      </c>
      <c r="DQ23" s="270">
        <v>0</v>
      </c>
      <c r="DR23" s="270">
        <v>0</v>
      </c>
      <c r="DS23" s="270">
        <v>0</v>
      </c>
      <c r="DT23" s="270">
        <v>0</v>
      </c>
      <c r="DU23" s="270">
        <v>0</v>
      </c>
      <c r="DV23" s="270">
        <v>0</v>
      </c>
      <c r="DW23" s="270">
        <v>0</v>
      </c>
      <c r="DX23" s="270">
        <v>0</v>
      </c>
      <c r="DY23" s="270">
        <v>0</v>
      </c>
      <c r="DZ23" s="270">
        <v>0</v>
      </c>
      <c r="EA23" s="270">
        <v>0</v>
      </c>
      <c r="EB23" s="270">
        <v>0</v>
      </c>
      <c r="EC23" s="270">
        <v>0</v>
      </c>
      <c r="ED23" s="270">
        <v>0</v>
      </c>
      <c r="EE23" s="270">
        <v>0</v>
      </c>
      <c r="EF23" s="270">
        <v>0</v>
      </c>
      <c r="EG23" s="342">
        <v>0</v>
      </c>
      <c r="EH23" s="270">
        <v>0</v>
      </c>
      <c r="EI23" s="265">
        <v>0</v>
      </c>
      <c r="EJ23" s="265">
        <v>0</v>
      </c>
      <c r="EK23" s="265">
        <v>0</v>
      </c>
      <c r="EL23" s="265">
        <v>0</v>
      </c>
      <c r="EM23" s="265">
        <v>0</v>
      </c>
      <c r="EN23" s="265">
        <v>0</v>
      </c>
      <c r="EO23" s="265">
        <v>0</v>
      </c>
      <c r="EP23" s="265">
        <v>0</v>
      </c>
      <c r="EQ23" s="265">
        <v>0</v>
      </c>
      <c r="ER23" s="265">
        <v>0</v>
      </c>
      <c r="ES23" s="265">
        <v>0</v>
      </c>
      <c r="ET23" s="265">
        <v>0</v>
      </c>
      <c r="EU23" s="265">
        <v>0</v>
      </c>
      <c r="EV23" s="265">
        <v>0</v>
      </c>
      <c r="EW23" s="265">
        <v>0</v>
      </c>
      <c r="EX23" s="265">
        <v>0</v>
      </c>
      <c r="EY23" s="265">
        <v>0</v>
      </c>
      <c r="EZ23" s="265">
        <v>0</v>
      </c>
      <c r="FA23" s="265">
        <v>0</v>
      </c>
      <c r="FB23" s="265">
        <v>0</v>
      </c>
      <c r="FC23" s="265">
        <v>0</v>
      </c>
      <c r="FD23" s="265">
        <v>0</v>
      </c>
      <c r="FE23" s="265">
        <v>0</v>
      </c>
      <c r="FF23" s="265">
        <v>0</v>
      </c>
      <c r="FG23" s="265">
        <v>0</v>
      </c>
      <c r="FH23" s="265">
        <v>0</v>
      </c>
      <c r="FI23" s="265">
        <v>0</v>
      </c>
      <c r="FJ23" s="269">
        <v>0</v>
      </c>
      <c r="FK23" s="278">
        <v>0</v>
      </c>
      <c r="FL23" s="265">
        <v>0</v>
      </c>
      <c r="FM23" s="265">
        <v>0</v>
      </c>
      <c r="FN23" s="265">
        <v>0</v>
      </c>
      <c r="FO23" s="265">
        <v>0</v>
      </c>
      <c r="FP23" s="265">
        <v>0</v>
      </c>
      <c r="FQ23" s="265">
        <v>0</v>
      </c>
      <c r="FR23" s="265">
        <v>0</v>
      </c>
      <c r="FS23" s="265">
        <v>0</v>
      </c>
      <c r="FT23" s="265">
        <v>0</v>
      </c>
      <c r="FU23" s="265">
        <v>0</v>
      </c>
      <c r="FV23" s="265">
        <v>0</v>
      </c>
      <c r="FW23" s="265">
        <v>0</v>
      </c>
      <c r="FX23" s="265">
        <v>0</v>
      </c>
      <c r="FY23" s="265">
        <v>0</v>
      </c>
      <c r="FZ23" s="265">
        <v>0</v>
      </c>
      <c r="GA23" s="265">
        <v>0</v>
      </c>
      <c r="GB23" s="265">
        <v>0</v>
      </c>
      <c r="GC23" s="265">
        <v>0</v>
      </c>
      <c r="GD23" s="265">
        <v>0</v>
      </c>
      <c r="GE23" s="265">
        <v>0</v>
      </c>
      <c r="GF23" s="265">
        <v>0</v>
      </c>
      <c r="GG23" s="265">
        <v>0</v>
      </c>
      <c r="GH23" s="265">
        <v>0</v>
      </c>
      <c r="GI23" s="265">
        <v>0</v>
      </c>
      <c r="GJ23" s="265">
        <v>0</v>
      </c>
      <c r="GK23" s="265">
        <v>0</v>
      </c>
      <c r="GL23" s="265">
        <v>0</v>
      </c>
      <c r="GM23" s="265">
        <v>0</v>
      </c>
      <c r="GN23" s="265">
        <v>0</v>
      </c>
      <c r="GO23" s="269">
        <v>0</v>
      </c>
      <c r="GP23" s="278">
        <v>0</v>
      </c>
      <c r="GQ23" s="265">
        <v>0</v>
      </c>
      <c r="GR23" s="265">
        <v>0</v>
      </c>
      <c r="GS23" s="265">
        <v>0</v>
      </c>
      <c r="GT23" s="265">
        <v>0</v>
      </c>
      <c r="GU23" s="265">
        <v>0</v>
      </c>
      <c r="GV23" s="265">
        <v>0</v>
      </c>
      <c r="GW23" s="265">
        <v>0</v>
      </c>
      <c r="GX23" s="265">
        <v>0</v>
      </c>
      <c r="GY23" s="265">
        <v>0</v>
      </c>
      <c r="GZ23" s="265">
        <v>0</v>
      </c>
      <c r="HA23" s="265">
        <v>0</v>
      </c>
      <c r="HB23" s="265">
        <v>0</v>
      </c>
      <c r="HC23" s="265">
        <v>0</v>
      </c>
      <c r="HD23" s="265">
        <v>0</v>
      </c>
      <c r="HE23" s="265">
        <v>0</v>
      </c>
      <c r="HF23" s="265">
        <v>0</v>
      </c>
      <c r="HG23" s="265">
        <v>0</v>
      </c>
      <c r="HH23" s="265">
        <v>0</v>
      </c>
      <c r="HI23" s="265"/>
      <c r="HJ23" s="265"/>
      <c r="HK23" s="265"/>
      <c r="HL23" s="265"/>
      <c r="HM23" s="265"/>
      <c r="HN23" s="265"/>
      <c r="HO23" s="265"/>
      <c r="HP23" s="265"/>
      <c r="HQ23" s="265"/>
      <c r="HR23" s="265"/>
      <c r="HS23" s="265"/>
      <c r="HT23" s="368"/>
      <c r="HU23" s="361">
        <f>SUM(O23:HT23)</f>
        <v>37.1</v>
      </c>
      <c r="HW23" s="347"/>
    </row>
    <row r="24" spans="1:231" x14ac:dyDescent="0.25">
      <c r="A24" s="2">
        <v>3</v>
      </c>
      <c r="B24" s="474"/>
      <c r="C24" s="23" t="s">
        <v>3</v>
      </c>
      <c r="D24" s="29" t="s">
        <v>19</v>
      </c>
      <c r="E24" s="82"/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24">
        <f t="shared" si="21"/>
        <v>0</v>
      </c>
      <c r="N24" s="239"/>
      <c r="O24" s="73">
        <v>0</v>
      </c>
      <c r="P24" s="13">
        <v>0</v>
      </c>
      <c r="Q24" s="101">
        <v>0</v>
      </c>
      <c r="R24" s="101">
        <v>0</v>
      </c>
      <c r="S24" s="101">
        <v>0</v>
      </c>
      <c r="T24" s="100">
        <v>0</v>
      </c>
      <c r="U24" s="101">
        <v>0</v>
      </c>
      <c r="V24" s="100">
        <v>0</v>
      </c>
      <c r="W24" s="100">
        <v>0</v>
      </c>
      <c r="X24" s="100">
        <v>0</v>
      </c>
      <c r="Y24" s="149">
        <v>27.8</v>
      </c>
      <c r="Z24" s="100">
        <v>0</v>
      </c>
      <c r="AA24" s="100">
        <v>0</v>
      </c>
      <c r="AB24" s="100">
        <v>0</v>
      </c>
      <c r="AC24" s="100">
        <v>0</v>
      </c>
      <c r="AD24" s="100">
        <v>0</v>
      </c>
      <c r="AE24" s="100">
        <v>0</v>
      </c>
      <c r="AF24" s="100">
        <v>0</v>
      </c>
      <c r="AG24" s="100">
        <v>19</v>
      </c>
      <c r="AH24" s="100">
        <v>0</v>
      </c>
      <c r="AI24" s="100">
        <v>0</v>
      </c>
      <c r="AJ24" s="100">
        <v>0</v>
      </c>
      <c r="AK24" s="100">
        <v>0</v>
      </c>
      <c r="AL24" s="149">
        <v>25.5</v>
      </c>
      <c r="AM24" s="149">
        <v>16.5</v>
      </c>
      <c r="AN24" s="100">
        <v>0</v>
      </c>
      <c r="AO24" s="100">
        <v>0</v>
      </c>
      <c r="AP24" s="149">
        <v>16.5</v>
      </c>
      <c r="AQ24" s="180"/>
      <c r="AR24" s="73">
        <v>0</v>
      </c>
      <c r="AS24" s="13">
        <v>0</v>
      </c>
      <c r="AT24" s="100">
        <v>21</v>
      </c>
      <c r="AU24" s="100">
        <v>0</v>
      </c>
      <c r="AV24" s="100">
        <v>0</v>
      </c>
      <c r="AW24" s="100">
        <v>0</v>
      </c>
      <c r="AX24" s="100">
        <v>20</v>
      </c>
      <c r="AY24" s="149">
        <v>9.8000000000000007</v>
      </c>
      <c r="AZ24" s="100">
        <v>0</v>
      </c>
      <c r="BA24" s="100">
        <v>0</v>
      </c>
      <c r="BB24" s="100">
        <v>0</v>
      </c>
      <c r="BC24" s="100">
        <v>0</v>
      </c>
      <c r="BD24" s="100">
        <v>0</v>
      </c>
      <c r="BE24" s="100">
        <v>0</v>
      </c>
      <c r="BF24" s="100">
        <v>0</v>
      </c>
      <c r="BG24" s="100">
        <v>0</v>
      </c>
      <c r="BH24" s="100">
        <v>0</v>
      </c>
      <c r="BI24" s="100">
        <v>0</v>
      </c>
      <c r="BJ24" s="100">
        <v>0</v>
      </c>
      <c r="BK24" s="100">
        <v>0</v>
      </c>
      <c r="BL24" s="100">
        <v>0</v>
      </c>
      <c r="BM24" s="100">
        <v>0</v>
      </c>
      <c r="BN24" s="100">
        <v>0</v>
      </c>
      <c r="BO24" s="100">
        <v>0</v>
      </c>
      <c r="BP24" s="100">
        <v>0</v>
      </c>
      <c r="BQ24" s="100">
        <v>0</v>
      </c>
      <c r="BR24" s="100">
        <v>0</v>
      </c>
      <c r="BS24" s="13">
        <v>0</v>
      </c>
      <c r="BT24" s="13">
        <v>0</v>
      </c>
      <c r="BU24" s="13">
        <v>0</v>
      </c>
      <c r="BV24" s="13">
        <v>0</v>
      </c>
      <c r="BW24" s="180"/>
      <c r="BX24" s="88">
        <v>0</v>
      </c>
      <c r="BY24" s="13">
        <v>0</v>
      </c>
      <c r="BZ24" s="100">
        <v>0</v>
      </c>
      <c r="CA24" s="100">
        <v>0</v>
      </c>
      <c r="CB24" s="100">
        <v>0</v>
      </c>
      <c r="CC24" s="100">
        <v>0</v>
      </c>
      <c r="CD24" s="100">
        <v>0</v>
      </c>
      <c r="CE24" s="100">
        <v>0</v>
      </c>
      <c r="CF24" s="100">
        <v>0</v>
      </c>
      <c r="CG24" s="100">
        <v>0</v>
      </c>
      <c r="CH24" s="100">
        <v>0</v>
      </c>
      <c r="CI24" s="100">
        <v>0</v>
      </c>
      <c r="CJ24" s="100">
        <v>0</v>
      </c>
      <c r="CK24" s="100">
        <v>0</v>
      </c>
      <c r="CL24" s="100">
        <v>0</v>
      </c>
      <c r="CM24" s="100">
        <v>0</v>
      </c>
      <c r="CN24" s="270">
        <v>0</v>
      </c>
      <c r="CO24" s="270">
        <v>0</v>
      </c>
      <c r="CP24" s="270">
        <v>0</v>
      </c>
      <c r="CQ24" s="270">
        <v>0</v>
      </c>
      <c r="CR24" s="270">
        <v>0</v>
      </c>
      <c r="CS24" s="270">
        <v>0</v>
      </c>
      <c r="CT24" s="270">
        <v>0</v>
      </c>
      <c r="CU24" s="270">
        <v>0</v>
      </c>
      <c r="CV24" s="270">
        <v>0</v>
      </c>
      <c r="CW24" s="270">
        <v>0</v>
      </c>
      <c r="CX24" s="270">
        <v>0</v>
      </c>
      <c r="CY24" s="265">
        <v>0</v>
      </c>
      <c r="CZ24" s="265">
        <v>0</v>
      </c>
      <c r="DA24" s="101">
        <v>0</v>
      </c>
      <c r="DB24" s="73">
        <v>0</v>
      </c>
      <c r="DC24" s="13">
        <v>0</v>
      </c>
      <c r="DD24" s="13">
        <v>0</v>
      </c>
      <c r="DE24" s="13">
        <v>0</v>
      </c>
      <c r="DF24" s="101">
        <v>0</v>
      </c>
      <c r="DG24" s="13">
        <v>0</v>
      </c>
      <c r="DH24" s="270">
        <v>0</v>
      </c>
      <c r="DI24" s="270">
        <v>0</v>
      </c>
      <c r="DJ24" s="270">
        <v>0</v>
      </c>
      <c r="DK24" s="265">
        <v>0</v>
      </c>
      <c r="DL24" s="270">
        <v>0</v>
      </c>
      <c r="DM24" s="270">
        <v>0</v>
      </c>
      <c r="DN24" s="270">
        <v>0</v>
      </c>
      <c r="DO24" s="270">
        <v>0</v>
      </c>
      <c r="DP24" s="270">
        <v>0</v>
      </c>
      <c r="DQ24" s="270">
        <v>0</v>
      </c>
      <c r="DR24" s="270">
        <v>0</v>
      </c>
      <c r="DS24" s="270">
        <v>0</v>
      </c>
      <c r="DT24" s="270">
        <v>0</v>
      </c>
      <c r="DU24" s="270">
        <v>0</v>
      </c>
      <c r="DV24" s="270">
        <v>0</v>
      </c>
      <c r="DW24" s="270">
        <v>0</v>
      </c>
      <c r="DX24" s="270">
        <v>0</v>
      </c>
      <c r="DY24" s="270">
        <v>0</v>
      </c>
      <c r="DZ24" s="270">
        <v>0</v>
      </c>
      <c r="EA24" s="270">
        <v>0</v>
      </c>
      <c r="EB24" s="270">
        <v>0</v>
      </c>
      <c r="EC24" s="270">
        <v>0</v>
      </c>
      <c r="ED24" s="270">
        <v>0</v>
      </c>
      <c r="EE24" s="270">
        <v>0</v>
      </c>
      <c r="EF24" s="270">
        <v>0</v>
      </c>
      <c r="EG24" s="342">
        <v>0</v>
      </c>
      <c r="EH24" s="270">
        <v>0</v>
      </c>
      <c r="EI24" s="265">
        <v>0</v>
      </c>
      <c r="EJ24" s="265">
        <v>0</v>
      </c>
      <c r="EK24" s="265">
        <v>0</v>
      </c>
      <c r="EL24" s="265">
        <v>0</v>
      </c>
      <c r="EM24" s="265">
        <v>0</v>
      </c>
      <c r="EN24" s="265">
        <v>0</v>
      </c>
      <c r="EO24" s="265">
        <v>0</v>
      </c>
      <c r="EP24" s="265">
        <v>0</v>
      </c>
      <c r="EQ24" s="265">
        <v>0</v>
      </c>
      <c r="ER24" s="265">
        <v>0</v>
      </c>
      <c r="ES24" s="265">
        <v>0</v>
      </c>
      <c r="ET24" s="265">
        <v>0</v>
      </c>
      <c r="EU24" s="265">
        <v>0</v>
      </c>
      <c r="EV24" s="265">
        <v>0</v>
      </c>
      <c r="EW24" s="265">
        <v>0</v>
      </c>
      <c r="EX24" s="265">
        <v>0</v>
      </c>
      <c r="EY24" s="265">
        <v>0</v>
      </c>
      <c r="EZ24" s="265">
        <v>0</v>
      </c>
      <c r="FA24" s="265">
        <v>0</v>
      </c>
      <c r="FB24" s="265">
        <v>0</v>
      </c>
      <c r="FC24" s="265">
        <v>0</v>
      </c>
      <c r="FD24" s="265">
        <v>0</v>
      </c>
      <c r="FE24" s="265">
        <v>0</v>
      </c>
      <c r="FF24" s="265">
        <v>0</v>
      </c>
      <c r="FG24" s="265">
        <v>0</v>
      </c>
      <c r="FH24" s="265">
        <v>0</v>
      </c>
      <c r="FI24" s="265">
        <v>0</v>
      </c>
      <c r="FJ24" s="269">
        <v>0</v>
      </c>
      <c r="FK24" s="278">
        <v>0</v>
      </c>
      <c r="FL24" s="265">
        <v>0</v>
      </c>
      <c r="FM24" s="265">
        <v>0</v>
      </c>
      <c r="FN24" s="265">
        <v>0</v>
      </c>
      <c r="FO24" s="265">
        <v>0</v>
      </c>
      <c r="FP24" s="265">
        <v>0</v>
      </c>
      <c r="FQ24" s="265">
        <v>0</v>
      </c>
      <c r="FR24" s="265">
        <v>0</v>
      </c>
      <c r="FS24" s="265">
        <v>0</v>
      </c>
      <c r="FT24" s="265">
        <v>0</v>
      </c>
      <c r="FU24" s="265">
        <v>0</v>
      </c>
      <c r="FV24" s="265">
        <v>0</v>
      </c>
      <c r="FW24" s="265">
        <v>0</v>
      </c>
      <c r="FX24" s="265">
        <v>0</v>
      </c>
      <c r="FY24" s="265">
        <v>0</v>
      </c>
      <c r="FZ24" s="265">
        <v>0</v>
      </c>
      <c r="GA24" s="265">
        <v>0</v>
      </c>
      <c r="GB24" s="265">
        <v>0</v>
      </c>
      <c r="GC24" s="265">
        <v>0</v>
      </c>
      <c r="GD24" s="265">
        <v>0</v>
      </c>
      <c r="GE24" s="265">
        <v>0</v>
      </c>
      <c r="GF24" s="265">
        <v>0</v>
      </c>
      <c r="GG24" s="265">
        <v>0</v>
      </c>
      <c r="GH24" s="265">
        <v>0</v>
      </c>
      <c r="GI24" s="265">
        <v>0</v>
      </c>
      <c r="GJ24" s="265">
        <v>0</v>
      </c>
      <c r="GK24" s="265">
        <v>0</v>
      </c>
      <c r="GL24" s="265">
        <v>0</v>
      </c>
      <c r="GM24" s="265">
        <v>0</v>
      </c>
      <c r="GN24" s="265">
        <v>0</v>
      </c>
      <c r="GO24" s="269">
        <v>0</v>
      </c>
      <c r="GP24" s="278">
        <v>0</v>
      </c>
      <c r="GQ24" s="265">
        <v>0</v>
      </c>
      <c r="GR24" s="265">
        <v>0</v>
      </c>
      <c r="GS24" s="265">
        <v>0</v>
      </c>
      <c r="GT24" s="265">
        <v>0</v>
      </c>
      <c r="GU24" s="265">
        <v>0</v>
      </c>
      <c r="GV24" s="265">
        <v>0</v>
      </c>
      <c r="GW24" s="265">
        <v>0</v>
      </c>
      <c r="GX24" s="265">
        <v>0</v>
      </c>
      <c r="GY24" s="265">
        <v>0</v>
      </c>
      <c r="GZ24" s="265">
        <v>0</v>
      </c>
      <c r="HA24" s="265">
        <v>0</v>
      </c>
      <c r="HB24" s="265">
        <v>0</v>
      </c>
      <c r="HC24" s="265">
        <v>0</v>
      </c>
      <c r="HD24" s="265">
        <v>0</v>
      </c>
      <c r="HE24" s="265">
        <v>0</v>
      </c>
      <c r="HF24" s="265">
        <v>0</v>
      </c>
      <c r="HG24" s="265">
        <v>0</v>
      </c>
      <c r="HH24" s="265">
        <v>0</v>
      </c>
      <c r="HI24" s="265"/>
      <c r="HJ24" s="265"/>
      <c r="HK24" s="265"/>
      <c r="HL24" s="265"/>
      <c r="HM24" s="265"/>
      <c r="HN24" s="265"/>
      <c r="HO24" s="265"/>
      <c r="HP24" s="265"/>
      <c r="HQ24" s="265"/>
      <c r="HR24" s="265"/>
      <c r="HS24" s="265"/>
      <c r="HT24" s="368"/>
      <c r="HU24" s="361">
        <f t="shared" ref="HU24:HU32" si="22">SUM(O24:HT24)</f>
        <v>156.10000000000002</v>
      </c>
      <c r="HW24" s="347"/>
    </row>
    <row r="25" spans="1:231" x14ac:dyDescent="0.25">
      <c r="A25" s="2">
        <v>4</v>
      </c>
      <c r="B25" s="474"/>
      <c r="C25" s="23" t="s">
        <v>4</v>
      </c>
      <c r="D25" s="29" t="s">
        <v>19</v>
      </c>
      <c r="E25" s="82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24">
        <f t="shared" si="21"/>
        <v>0</v>
      </c>
      <c r="N25" s="239"/>
      <c r="O25" s="73">
        <v>0</v>
      </c>
      <c r="P25" s="13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  <c r="W25" s="101">
        <v>0</v>
      </c>
      <c r="X25" s="101">
        <v>0</v>
      </c>
      <c r="Y25" s="101">
        <v>0</v>
      </c>
      <c r="Z25" s="101">
        <v>0</v>
      </c>
      <c r="AA25" s="101">
        <v>0</v>
      </c>
      <c r="AB25" s="101">
        <v>0</v>
      </c>
      <c r="AC25" s="101">
        <v>0</v>
      </c>
      <c r="AD25" s="101">
        <v>0</v>
      </c>
      <c r="AE25" s="101">
        <v>0</v>
      </c>
      <c r="AF25" s="101">
        <v>0</v>
      </c>
      <c r="AG25" s="101">
        <v>0</v>
      </c>
      <c r="AH25" s="101">
        <v>0</v>
      </c>
      <c r="AI25" s="101">
        <v>0</v>
      </c>
      <c r="AJ25" s="101">
        <v>0</v>
      </c>
      <c r="AK25" s="101">
        <v>0</v>
      </c>
      <c r="AL25" s="101">
        <v>0</v>
      </c>
      <c r="AM25" s="101">
        <v>0</v>
      </c>
      <c r="AN25" s="101">
        <v>0</v>
      </c>
      <c r="AO25" s="101">
        <v>0</v>
      </c>
      <c r="AP25" s="101">
        <v>0</v>
      </c>
      <c r="AQ25" s="162"/>
      <c r="AR25" s="73">
        <v>0</v>
      </c>
      <c r="AS25" s="13">
        <v>0</v>
      </c>
      <c r="AT25" s="101">
        <v>0</v>
      </c>
      <c r="AU25" s="101">
        <v>0</v>
      </c>
      <c r="AV25" s="101">
        <v>0</v>
      </c>
      <c r="AW25" s="101">
        <v>0</v>
      </c>
      <c r="AX25" s="101">
        <v>0</v>
      </c>
      <c r="AY25" s="101">
        <v>0</v>
      </c>
      <c r="AZ25" s="101">
        <v>0</v>
      </c>
      <c r="BA25" s="101">
        <v>0</v>
      </c>
      <c r="BB25" s="101">
        <v>0</v>
      </c>
      <c r="BC25" s="101">
        <v>0</v>
      </c>
      <c r="BD25" s="101">
        <v>0</v>
      </c>
      <c r="BE25" s="101">
        <v>0</v>
      </c>
      <c r="BF25" s="122">
        <v>16.399999999999999</v>
      </c>
      <c r="BG25" s="101">
        <v>0</v>
      </c>
      <c r="BH25" s="101">
        <v>0</v>
      </c>
      <c r="BI25" s="101">
        <v>0</v>
      </c>
      <c r="BJ25" s="101">
        <v>0</v>
      </c>
      <c r="BK25" s="101">
        <v>0</v>
      </c>
      <c r="BL25" s="101">
        <v>0</v>
      </c>
      <c r="BM25" s="101">
        <v>0</v>
      </c>
      <c r="BN25" s="101">
        <v>0</v>
      </c>
      <c r="BO25" s="101">
        <v>0</v>
      </c>
      <c r="BP25" s="101">
        <v>0</v>
      </c>
      <c r="BQ25" s="101">
        <v>0</v>
      </c>
      <c r="BR25" s="101">
        <v>0</v>
      </c>
      <c r="BS25" s="13">
        <v>0</v>
      </c>
      <c r="BT25" s="13">
        <v>0</v>
      </c>
      <c r="BU25" s="13">
        <v>0</v>
      </c>
      <c r="BV25" s="101">
        <v>16</v>
      </c>
      <c r="BW25" s="162"/>
      <c r="BX25" s="73">
        <v>15</v>
      </c>
      <c r="BY25" s="13">
        <v>14</v>
      </c>
      <c r="BZ25" s="101">
        <v>0</v>
      </c>
      <c r="CA25" s="101">
        <v>0</v>
      </c>
      <c r="CB25" s="101">
        <v>28</v>
      </c>
      <c r="CC25" s="101">
        <v>0</v>
      </c>
      <c r="CD25" s="101">
        <v>0</v>
      </c>
      <c r="CE25" s="101">
        <v>0</v>
      </c>
      <c r="CF25" s="122">
        <v>16.5</v>
      </c>
      <c r="CG25" s="101">
        <v>0</v>
      </c>
      <c r="CH25" s="101">
        <v>0</v>
      </c>
      <c r="CI25" s="101">
        <v>0</v>
      </c>
      <c r="CJ25" s="122">
        <v>24.1</v>
      </c>
      <c r="CK25" s="101">
        <v>0</v>
      </c>
      <c r="CL25" s="122">
        <v>10</v>
      </c>
      <c r="CM25" s="122">
        <v>6.9</v>
      </c>
      <c r="CN25" s="269">
        <v>0</v>
      </c>
      <c r="CO25" s="269">
        <v>0</v>
      </c>
      <c r="CP25" s="282">
        <v>43.2</v>
      </c>
      <c r="CQ25" s="269">
        <v>0</v>
      </c>
      <c r="CR25" s="282">
        <v>19.5</v>
      </c>
      <c r="CS25" s="282">
        <v>25.8</v>
      </c>
      <c r="CT25" s="269">
        <v>0</v>
      </c>
      <c r="CU25" s="269">
        <v>0</v>
      </c>
      <c r="CV25" s="269">
        <v>24</v>
      </c>
      <c r="CW25" s="269">
        <v>6</v>
      </c>
      <c r="CX25" s="269">
        <v>0</v>
      </c>
      <c r="CY25" s="265">
        <v>0</v>
      </c>
      <c r="CZ25" s="265">
        <v>0</v>
      </c>
      <c r="DA25" s="101">
        <v>0</v>
      </c>
      <c r="DB25" s="73">
        <v>0</v>
      </c>
      <c r="DC25" s="64">
        <v>17.899999999999999</v>
      </c>
      <c r="DD25" s="13">
        <v>0</v>
      </c>
      <c r="DE25" s="13">
        <v>0</v>
      </c>
      <c r="DF25" s="101">
        <v>0</v>
      </c>
      <c r="DG25" s="265">
        <v>16</v>
      </c>
      <c r="DH25" s="269">
        <v>0</v>
      </c>
      <c r="DI25" s="269">
        <v>0</v>
      </c>
      <c r="DJ25" s="269">
        <v>0</v>
      </c>
      <c r="DK25" s="265">
        <v>0</v>
      </c>
      <c r="DL25" s="269">
        <v>0</v>
      </c>
      <c r="DM25" s="269">
        <v>0</v>
      </c>
      <c r="DN25" s="269">
        <v>0</v>
      </c>
      <c r="DO25" s="269">
        <v>0</v>
      </c>
      <c r="DP25" s="269">
        <v>0</v>
      </c>
      <c r="DQ25" s="282">
        <v>39.6</v>
      </c>
      <c r="DR25" s="282">
        <v>7.8</v>
      </c>
      <c r="DS25" s="269">
        <v>9</v>
      </c>
      <c r="DT25" s="269">
        <v>14</v>
      </c>
      <c r="DU25" s="269">
        <v>0</v>
      </c>
      <c r="DV25" s="269">
        <v>0</v>
      </c>
      <c r="DW25" s="269">
        <v>0</v>
      </c>
      <c r="DX25" s="269">
        <v>0</v>
      </c>
      <c r="DY25" s="269">
        <v>0</v>
      </c>
      <c r="DZ25" s="269">
        <v>0</v>
      </c>
      <c r="EA25" s="269">
        <v>0</v>
      </c>
      <c r="EB25" s="269">
        <v>0</v>
      </c>
      <c r="EC25" s="269">
        <v>0</v>
      </c>
      <c r="ED25" s="269">
        <v>0</v>
      </c>
      <c r="EE25" s="269">
        <v>0</v>
      </c>
      <c r="EF25" s="269">
        <v>0</v>
      </c>
      <c r="EG25" s="278">
        <v>0</v>
      </c>
      <c r="EH25" s="269">
        <v>0</v>
      </c>
      <c r="EI25" s="265">
        <v>0</v>
      </c>
      <c r="EJ25" s="265">
        <v>0</v>
      </c>
      <c r="EK25" s="265">
        <v>0</v>
      </c>
      <c r="EL25" s="265">
        <v>0</v>
      </c>
      <c r="EM25" s="265">
        <v>0</v>
      </c>
      <c r="EN25" s="265">
        <v>0</v>
      </c>
      <c r="EO25" s="265">
        <v>0</v>
      </c>
      <c r="EP25" s="265">
        <v>0</v>
      </c>
      <c r="EQ25" s="265">
        <v>0</v>
      </c>
      <c r="ER25" s="265">
        <v>0</v>
      </c>
      <c r="ES25" s="265">
        <v>0</v>
      </c>
      <c r="ET25" s="265">
        <v>0</v>
      </c>
      <c r="EU25" s="265">
        <v>0</v>
      </c>
      <c r="EV25" s="265">
        <v>0</v>
      </c>
      <c r="EW25" s="265">
        <v>0</v>
      </c>
      <c r="EX25" s="265">
        <v>0</v>
      </c>
      <c r="EY25" s="265">
        <v>0</v>
      </c>
      <c r="EZ25" s="265">
        <v>0</v>
      </c>
      <c r="FA25" s="265">
        <v>0</v>
      </c>
      <c r="FB25" s="265">
        <v>0</v>
      </c>
      <c r="FC25" s="265">
        <v>0</v>
      </c>
      <c r="FD25" s="265">
        <v>0</v>
      </c>
      <c r="FE25" s="265">
        <v>2</v>
      </c>
      <c r="FF25" s="265">
        <v>0</v>
      </c>
      <c r="FG25" s="265">
        <v>0</v>
      </c>
      <c r="FH25" s="265">
        <v>0</v>
      </c>
      <c r="FI25" s="265">
        <v>0</v>
      </c>
      <c r="FJ25" s="269">
        <v>0</v>
      </c>
      <c r="FK25" s="278">
        <v>0</v>
      </c>
      <c r="FL25" s="265">
        <v>0</v>
      </c>
      <c r="FM25" s="265">
        <v>0</v>
      </c>
      <c r="FN25" s="265">
        <v>0</v>
      </c>
      <c r="FO25" s="265">
        <v>0</v>
      </c>
      <c r="FP25" s="265">
        <v>0</v>
      </c>
      <c r="FQ25" s="265">
        <v>0</v>
      </c>
      <c r="FR25" s="265">
        <v>0</v>
      </c>
      <c r="FS25" s="265">
        <v>0</v>
      </c>
      <c r="FT25" s="265">
        <v>0</v>
      </c>
      <c r="FU25" s="265">
        <v>0</v>
      </c>
      <c r="FV25" s="265">
        <v>0</v>
      </c>
      <c r="FW25" s="265">
        <v>0</v>
      </c>
      <c r="FX25" s="265">
        <v>0</v>
      </c>
      <c r="FY25" s="265">
        <v>0</v>
      </c>
      <c r="FZ25" s="265">
        <v>0</v>
      </c>
      <c r="GA25" s="265">
        <v>0</v>
      </c>
      <c r="GB25" s="265">
        <v>0</v>
      </c>
      <c r="GC25" s="265">
        <v>0</v>
      </c>
      <c r="GD25" s="265">
        <v>0</v>
      </c>
      <c r="GE25" s="265">
        <v>0</v>
      </c>
      <c r="GF25" s="265">
        <v>0</v>
      </c>
      <c r="GG25" s="265">
        <v>0</v>
      </c>
      <c r="GH25" s="265">
        <v>0</v>
      </c>
      <c r="GI25" s="265">
        <v>0</v>
      </c>
      <c r="GJ25" s="265">
        <v>0</v>
      </c>
      <c r="GK25" s="265">
        <v>0</v>
      </c>
      <c r="GL25" s="265">
        <v>0</v>
      </c>
      <c r="GM25" s="265">
        <v>0</v>
      </c>
      <c r="GN25" s="265">
        <v>0</v>
      </c>
      <c r="GO25" s="269">
        <v>0</v>
      </c>
      <c r="GP25" s="278">
        <v>0</v>
      </c>
      <c r="GQ25" s="265">
        <v>0</v>
      </c>
      <c r="GR25" s="265">
        <v>0</v>
      </c>
      <c r="GS25" s="265">
        <v>0</v>
      </c>
      <c r="GT25" s="265">
        <v>0</v>
      </c>
      <c r="GU25" s="265">
        <v>0</v>
      </c>
      <c r="GV25" s="265">
        <v>0</v>
      </c>
      <c r="GW25" s="265">
        <v>0</v>
      </c>
      <c r="GX25" s="265">
        <v>0</v>
      </c>
      <c r="GY25" s="265">
        <v>0</v>
      </c>
      <c r="GZ25" s="265">
        <v>0</v>
      </c>
      <c r="HA25" s="265">
        <v>0</v>
      </c>
      <c r="HB25" s="265">
        <v>0</v>
      </c>
      <c r="HC25" s="265">
        <v>0</v>
      </c>
      <c r="HD25" s="265">
        <v>0</v>
      </c>
      <c r="HE25" s="265">
        <v>0</v>
      </c>
      <c r="HF25" s="265">
        <v>0</v>
      </c>
      <c r="HG25" s="265">
        <v>0</v>
      </c>
      <c r="HH25" s="265">
        <v>0</v>
      </c>
      <c r="HI25" s="265"/>
      <c r="HJ25" s="265"/>
      <c r="HK25" s="265"/>
      <c r="HL25" s="265"/>
      <c r="HM25" s="265"/>
      <c r="HN25" s="265"/>
      <c r="HO25" s="265"/>
      <c r="HP25" s="265"/>
      <c r="HQ25" s="265"/>
      <c r="HR25" s="265"/>
      <c r="HS25" s="265"/>
      <c r="HT25" s="368"/>
      <c r="HU25" s="361">
        <f t="shared" si="22"/>
        <v>371.70000000000005</v>
      </c>
    </row>
    <row r="26" spans="1:231" x14ac:dyDescent="0.25">
      <c r="A26" s="2">
        <v>5</v>
      </c>
      <c r="B26" s="474"/>
      <c r="C26" s="23" t="s">
        <v>5</v>
      </c>
      <c r="D26" s="29" t="s">
        <v>19</v>
      </c>
      <c r="E26" s="82"/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24">
        <f t="shared" si="21"/>
        <v>0</v>
      </c>
      <c r="N26" s="239"/>
      <c r="O26" s="73">
        <v>0</v>
      </c>
      <c r="P26" s="13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101">
        <v>0</v>
      </c>
      <c r="AD26" s="101">
        <v>0</v>
      </c>
      <c r="AE26" s="101">
        <v>0</v>
      </c>
      <c r="AF26" s="101">
        <v>0</v>
      </c>
      <c r="AG26" s="101">
        <v>0</v>
      </c>
      <c r="AH26" s="101">
        <v>0</v>
      </c>
      <c r="AI26" s="101">
        <v>0</v>
      </c>
      <c r="AJ26" s="101">
        <v>0</v>
      </c>
      <c r="AK26" s="101">
        <v>0</v>
      </c>
      <c r="AL26" s="101">
        <v>0</v>
      </c>
      <c r="AM26" s="101">
        <v>0</v>
      </c>
      <c r="AN26" s="101">
        <v>0</v>
      </c>
      <c r="AO26" s="101">
        <v>0</v>
      </c>
      <c r="AP26" s="101">
        <v>0</v>
      </c>
      <c r="AQ26" s="162"/>
      <c r="AR26" s="73">
        <v>0</v>
      </c>
      <c r="AS26" s="13">
        <v>0</v>
      </c>
      <c r="AT26" s="101">
        <v>0</v>
      </c>
      <c r="AU26" s="101">
        <v>0</v>
      </c>
      <c r="AV26" s="101">
        <v>0</v>
      </c>
      <c r="AW26" s="101">
        <v>0</v>
      </c>
      <c r="AX26" s="101">
        <v>0</v>
      </c>
      <c r="AY26" s="101">
        <v>0</v>
      </c>
      <c r="AZ26" s="101">
        <v>0</v>
      </c>
      <c r="BA26" s="101">
        <v>0</v>
      </c>
      <c r="BB26" s="101">
        <v>0</v>
      </c>
      <c r="BC26" s="101">
        <v>0</v>
      </c>
      <c r="BD26" s="101">
        <v>0</v>
      </c>
      <c r="BE26" s="101">
        <v>0</v>
      </c>
      <c r="BF26" s="101">
        <v>0</v>
      </c>
      <c r="BG26" s="101">
        <v>0</v>
      </c>
      <c r="BH26" s="101">
        <v>0</v>
      </c>
      <c r="BI26" s="101">
        <v>0</v>
      </c>
      <c r="BJ26" s="101">
        <v>0</v>
      </c>
      <c r="BK26" s="101">
        <v>0</v>
      </c>
      <c r="BL26" s="101">
        <v>0</v>
      </c>
      <c r="BM26" s="101">
        <v>0</v>
      </c>
      <c r="BN26" s="101">
        <v>0</v>
      </c>
      <c r="BO26" s="101">
        <v>0</v>
      </c>
      <c r="BP26" s="101">
        <v>0</v>
      </c>
      <c r="BQ26" s="101">
        <v>0</v>
      </c>
      <c r="BR26" s="101">
        <v>0</v>
      </c>
      <c r="BS26" s="13">
        <v>0</v>
      </c>
      <c r="BT26" s="13">
        <v>0</v>
      </c>
      <c r="BU26" s="13">
        <v>0</v>
      </c>
      <c r="BV26" s="13">
        <v>0</v>
      </c>
      <c r="BW26" s="162"/>
      <c r="BX26" s="88">
        <v>0</v>
      </c>
      <c r="BY26" s="13">
        <v>0</v>
      </c>
      <c r="BZ26" s="101">
        <v>0</v>
      </c>
      <c r="CA26" s="101">
        <v>0</v>
      </c>
      <c r="CB26" s="101">
        <v>0</v>
      </c>
      <c r="CC26" s="101">
        <v>0</v>
      </c>
      <c r="CD26" s="101">
        <v>0</v>
      </c>
      <c r="CE26" s="101">
        <v>0</v>
      </c>
      <c r="CF26" s="101">
        <v>0</v>
      </c>
      <c r="CG26" s="101">
        <v>0</v>
      </c>
      <c r="CH26" s="101">
        <v>0</v>
      </c>
      <c r="CI26" s="122">
        <v>20.5</v>
      </c>
      <c r="CJ26" s="101">
        <v>0</v>
      </c>
      <c r="CK26" s="101">
        <v>0</v>
      </c>
      <c r="CL26" s="101">
        <v>0</v>
      </c>
      <c r="CM26" s="101">
        <v>45</v>
      </c>
      <c r="CN26" s="269">
        <v>0</v>
      </c>
      <c r="CO26" s="269">
        <v>31</v>
      </c>
      <c r="CP26" s="282">
        <v>17.7</v>
      </c>
      <c r="CQ26" s="269">
        <v>0</v>
      </c>
      <c r="CR26" s="269">
        <v>0</v>
      </c>
      <c r="CS26" s="269">
        <v>0</v>
      </c>
      <c r="CT26" s="269">
        <v>0</v>
      </c>
      <c r="CU26" s="269">
        <v>0</v>
      </c>
      <c r="CV26" s="269">
        <v>0</v>
      </c>
      <c r="CW26" s="269">
        <v>0</v>
      </c>
      <c r="CX26" s="269">
        <v>0</v>
      </c>
      <c r="CY26" s="265">
        <v>0</v>
      </c>
      <c r="CZ26" s="265">
        <v>0</v>
      </c>
      <c r="DA26" s="101">
        <v>0</v>
      </c>
      <c r="DB26" s="73">
        <v>0</v>
      </c>
      <c r="DC26" s="64">
        <v>15.5</v>
      </c>
      <c r="DD26" s="13">
        <v>0</v>
      </c>
      <c r="DE26" s="13">
        <v>0</v>
      </c>
      <c r="DF26" s="101">
        <v>0</v>
      </c>
      <c r="DG26" s="265">
        <v>0</v>
      </c>
      <c r="DH26" s="282">
        <v>20.100000000000001</v>
      </c>
      <c r="DI26" s="269">
        <v>0</v>
      </c>
      <c r="DJ26" s="269">
        <v>0</v>
      </c>
      <c r="DK26" s="265">
        <v>0</v>
      </c>
      <c r="DL26" s="282">
        <v>23.3</v>
      </c>
      <c r="DM26" s="269">
        <v>0</v>
      </c>
      <c r="DN26" s="269">
        <v>0</v>
      </c>
      <c r="DO26" s="282">
        <v>17.5</v>
      </c>
      <c r="DP26" s="269">
        <v>0</v>
      </c>
      <c r="DQ26" s="282">
        <v>7.6</v>
      </c>
      <c r="DR26" s="269">
        <v>0</v>
      </c>
      <c r="DS26" s="269">
        <v>0</v>
      </c>
      <c r="DT26" s="282">
        <v>53.7</v>
      </c>
      <c r="DU26" s="269">
        <v>0</v>
      </c>
      <c r="DV26" s="269">
        <v>0</v>
      </c>
      <c r="DW26" s="269">
        <v>0</v>
      </c>
      <c r="DX26" s="269">
        <v>0</v>
      </c>
      <c r="DY26" s="282">
        <v>63.4</v>
      </c>
      <c r="DZ26" s="269">
        <v>0</v>
      </c>
      <c r="EA26" s="269">
        <v>0</v>
      </c>
      <c r="EB26" s="269">
        <v>0</v>
      </c>
      <c r="EC26" s="269">
        <v>0</v>
      </c>
      <c r="ED26" s="269">
        <v>0</v>
      </c>
      <c r="EE26" s="269">
        <v>0</v>
      </c>
      <c r="EF26" s="269">
        <v>0</v>
      </c>
      <c r="EG26" s="278">
        <v>0</v>
      </c>
      <c r="EH26" s="269">
        <v>0</v>
      </c>
      <c r="EI26" s="265">
        <v>0</v>
      </c>
      <c r="EJ26" s="272">
        <v>7.1</v>
      </c>
      <c r="EK26" s="265">
        <v>0</v>
      </c>
      <c r="EL26" s="265">
        <v>0</v>
      </c>
      <c r="EM26" s="265">
        <v>0</v>
      </c>
      <c r="EN26" s="265">
        <v>0</v>
      </c>
      <c r="EO26" s="265">
        <v>0</v>
      </c>
      <c r="EP26" s="265">
        <v>0</v>
      </c>
      <c r="EQ26" s="265">
        <v>0</v>
      </c>
      <c r="ER26" s="265">
        <v>0</v>
      </c>
      <c r="ES26" s="265">
        <v>0</v>
      </c>
      <c r="ET26" s="265">
        <v>0</v>
      </c>
      <c r="EU26" s="265">
        <v>0</v>
      </c>
      <c r="EV26" s="265">
        <v>0</v>
      </c>
      <c r="EW26" s="265">
        <v>0</v>
      </c>
      <c r="EX26" s="265">
        <v>0</v>
      </c>
      <c r="EY26" s="265">
        <v>0</v>
      </c>
      <c r="EZ26" s="265">
        <v>0</v>
      </c>
      <c r="FA26" s="265">
        <v>0</v>
      </c>
      <c r="FB26" s="265">
        <v>0</v>
      </c>
      <c r="FC26" s="265">
        <v>0</v>
      </c>
      <c r="FD26" s="265">
        <v>0</v>
      </c>
      <c r="FE26" s="265">
        <v>0</v>
      </c>
      <c r="FF26" s="265">
        <v>0</v>
      </c>
      <c r="FG26" s="265">
        <v>0</v>
      </c>
      <c r="FH26" s="265">
        <v>0</v>
      </c>
      <c r="FI26" s="265">
        <v>0</v>
      </c>
      <c r="FJ26" s="269">
        <v>0</v>
      </c>
      <c r="FK26" s="278">
        <v>0</v>
      </c>
      <c r="FL26" s="265">
        <v>0</v>
      </c>
      <c r="FM26" s="265">
        <v>0</v>
      </c>
      <c r="FN26" s="265">
        <v>0</v>
      </c>
      <c r="FO26" s="265">
        <v>0</v>
      </c>
      <c r="FP26" s="265">
        <v>0</v>
      </c>
      <c r="FQ26" s="265">
        <v>0</v>
      </c>
      <c r="FR26" s="265">
        <v>0</v>
      </c>
      <c r="FS26" s="265">
        <v>0</v>
      </c>
      <c r="FT26" s="265">
        <v>0</v>
      </c>
      <c r="FU26" s="265">
        <v>0</v>
      </c>
      <c r="FV26" s="265">
        <v>0</v>
      </c>
      <c r="FW26" s="265">
        <v>0</v>
      </c>
      <c r="FX26" s="265">
        <v>0</v>
      </c>
      <c r="FY26" s="265">
        <v>0</v>
      </c>
      <c r="FZ26" s="265">
        <v>0</v>
      </c>
      <c r="GA26" s="265">
        <v>0</v>
      </c>
      <c r="GB26" s="265">
        <v>0</v>
      </c>
      <c r="GC26" s="265">
        <v>0</v>
      </c>
      <c r="GD26" s="265">
        <v>0</v>
      </c>
      <c r="GE26" s="265">
        <v>0</v>
      </c>
      <c r="GF26" s="265">
        <v>0</v>
      </c>
      <c r="GG26" s="265">
        <v>0</v>
      </c>
      <c r="GH26" s="265">
        <v>0</v>
      </c>
      <c r="GI26" s="265">
        <v>0</v>
      </c>
      <c r="GJ26" s="265">
        <v>0</v>
      </c>
      <c r="GK26" s="265">
        <v>0</v>
      </c>
      <c r="GL26" s="265">
        <v>0</v>
      </c>
      <c r="GM26" s="265">
        <v>0</v>
      </c>
      <c r="GN26" s="265">
        <v>0</v>
      </c>
      <c r="GO26" s="269">
        <v>0</v>
      </c>
      <c r="GP26" s="278">
        <v>0</v>
      </c>
      <c r="GQ26" s="265">
        <v>0</v>
      </c>
      <c r="GR26" s="265">
        <v>0</v>
      </c>
      <c r="GS26" s="265">
        <v>0</v>
      </c>
      <c r="GT26" s="265">
        <v>0</v>
      </c>
      <c r="GU26" s="265">
        <v>0</v>
      </c>
      <c r="GV26" s="265">
        <v>0</v>
      </c>
      <c r="GW26" s="272">
        <v>2.5</v>
      </c>
      <c r="GX26" s="265">
        <v>0</v>
      </c>
      <c r="GY26" s="265">
        <v>0</v>
      </c>
      <c r="GZ26" s="265">
        <v>0</v>
      </c>
      <c r="HA26" s="265">
        <v>0</v>
      </c>
      <c r="HB26" s="265">
        <v>0</v>
      </c>
      <c r="HC26" s="265">
        <v>0</v>
      </c>
      <c r="HD26" s="265">
        <v>0</v>
      </c>
      <c r="HE26" s="265">
        <v>0</v>
      </c>
      <c r="HF26" s="265">
        <v>0</v>
      </c>
      <c r="HG26" s="265">
        <v>0</v>
      </c>
      <c r="HH26" s="265">
        <v>0</v>
      </c>
      <c r="HI26" s="265"/>
      <c r="HJ26" s="265"/>
      <c r="HK26" s="265"/>
      <c r="HL26" s="265"/>
      <c r="HM26" s="265"/>
      <c r="HN26" s="265"/>
      <c r="HO26" s="265"/>
      <c r="HP26" s="265"/>
      <c r="HQ26" s="265"/>
      <c r="HR26" s="265"/>
      <c r="HS26" s="265"/>
      <c r="HT26" s="368"/>
      <c r="HU26" s="361">
        <f t="shared" si="22"/>
        <v>324.89999999999998</v>
      </c>
    </row>
    <row r="27" spans="1:231" x14ac:dyDescent="0.25">
      <c r="A27" s="2">
        <v>6</v>
      </c>
      <c r="B27" s="474"/>
      <c r="C27" s="23" t="s">
        <v>6</v>
      </c>
      <c r="D27" s="29" t="s">
        <v>19</v>
      </c>
      <c r="E27" s="82"/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24">
        <f t="shared" si="21"/>
        <v>0</v>
      </c>
      <c r="N27" s="239"/>
      <c r="O27" s="73">
        <v>0</v>
      </c>
      <c r="P27" s="13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  <c r="AA27" s="101">
        <v>0</v>
      </c>
      <c r="AB27" s="101">
        <v>0</v>
      </c>
      <c r="AC27" s="101"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  <c r="AI27" s="101">
        <v>0</v>
      </c>
      <c r="AJ27" s="101">
        <v>0</v>
      </c>
      <c r="AK27" s="101">
        <v>0</v>
      </c>
      <c r="AL27" s="101">
        <v>0</v>
      </c>
      <c r="AM27" s="101">
        <v>0</v>
      </c>
      <c r="AN27" s="101">
        <v>0</v>
      </c>
      <c r="AO27" s="101">
        <v>0</v>
      </c>
      <c r="AP27" s="101">
        <v>0</v>
      </c>
      <c r="AQ27" s="162"/>
      <c r="AR27" s="73">
        <v>0</v>
      </c>
      <c r="AS27" s="13">
        <v>0</v>
      </c>
      <c r="AT27" s="101">
        <v>0</v>
      </c>
      <c r="AU27" s="101">
        <v>0</v>
      </c>
      <c r="AV27" s="101">
        <v>0</v>
      </c>
      <c r="AW27" s="101">
        <v>0</v>
      </c>
      <c r="AX27" s="101">
        <v>0</v>
      </c>
      <c r="AY27" s="101">
        <v>0</v>
      </c>
      <c r="AZ27" s="101">
        <v>0</v>
      </c>
      <c r="BA27" s="101">
        <v>0</v>
      </c>
      <c r="BB27" s="101">
        <v>0</v>
      </c>
      <c r="BC27" s="101">
        <v>0</v>
      </c>
      <c r="BD27" s="101">
        <v>0</v>
      </c>
      <c r="BE27" s="101">
        <v>0</v>
      </c>
      <c r="BF27" s="101">
        <v>0</v>
      </c>
      <c r="BG27" s="101">
        <v>0</v>
      </c>
      <c r="BH27" s="101">
        <v>0</v>
      </c>
      <c r="BI27" s="101">
        <v>0</v>
      </c>
      <c r="BJ27" s="101">
        <v>0</v>
      </c>
      <c r="BK27" s="101">
        <v>0</v>
      </c>
      <c r="BL27" s="101">
        <v>0</v>
      </c>
      <c r="BM27" s="101">
        <v>0</v>
      </c>
      <c r="BN27" s="101">
        <v>0</v>
      </c>
      <c r="BO27" s="101">
        <v>0</v>
      </c>
      <c r="BP27" s="101">
        <v>0</v>
      </c>
      <c r="BQ27" s="101">
        <v>0</v>
      </c>
      <c r="BR27" s="101">
        <v>0</v>
      </c>
      <c r="BS27" s="13">
        <v>0</v>
      </c>
      <c r="BT27" s="13">
        <v>0</v>
      </c>
      <c r="BU27" s="13">
        <v>7</v>
      </c>
      <c r="BV27" s="13">
        <v>0</v>
      </c>
      <c r="BW27" s="162"/>
      <c r="BX27" s="88">
        <v>0</v>
      </c>
      <c r="BY27" s="13">
        <v>0</v>
      </c>
      <c r="BZ27" s="101">
        <v>0</v>
      </c>
      <c r="CA27" s="101">
        <v>0</v>
      </c>
      <c r="CB27" s="101">
        <v>22</v>
      </c>
      <c r="CC27" s="101">
        <v>0</v>
      </c>
      <c r="CD27" s="101">
        <v>0</v>
      </c>
      <c r="CE27" s="101">
        <v>0</v>
      </c>
      <c r="CF27" s="101">
        <v>0</v>
      </c>
      <c r="CG27" s="101">
        <v>0</v>
      </c>
      <c r="CH27" s="101">
        <v>0</v>
      </c>
      <c r="CI27" s="101">
        <v>0</v>
      </c>
      <c r="CJ27" s="101">
        <v>0</v>
      </c>
      <c r="CK27" s="101">
        <v>0</v>
      </c>
      <c r="CL27" s="101">
        <v>0</v>
      </c>
      <c r="CM27" s="101">
        <v>0</v>
      </c>
      <c r="CN27" s="269">
        <v>0</v>
      </c>
      <c r="CO27" s="269">
        <v>0</v>
      </c>
      <c r="CP27" s="269">
        <v>0</v>
      </c>
      <c r="CQ27" s="269">
        <v>0</v>
      </c>
      <c r="CR27" s="269">
        <v>0</v>
      </c>
      <c r="CS27" s="269">
        <v>0</v>
      </c>
      <c r="CT27" s="269">
        <v>0</v>
      </c>
      <c r="CU27" s="269">
        <v>0</v>
      </c>
      <c r="CV27" s="269">
        <v>0</v>
      </c>
      <c r="CW27" s="269">
        <v>0</v>
      </c>
      <c r="CX27" s="269">
        <v>0</v>
      </c>
      <c r="CY27" s="265">
        <v>0</v>
      </c>
      <c r="CZ27" s="265">
        <v>0</v>
      </c>
      <c r="DA27" s="101">
        <v>0</v>
      </c>
      <c r="DB27" s="73">
        <v>0</v>
      </c>
      <c r="DC27" s="13">
        <v>0</v>
      </c>
      <c r="DD27" s="13">
        <v>0</v>
      </c>
      <c r="DE27" s="13">
        <v>0</v>
      </c>
      <c r="DF27" s="101">
        <v>0</v>
      </c>
      <c r="DG27" s="13">
        <v>0</v>
      </c>
      <c r="DH27" s="269">
        <v>0</v>
      </c>
      <c r="DI27" s="269">
        <v>0</v>
      </c>
      <c r="DJ27" s="269">
        <v>0</v>
      </c>
      <c r="DK27" s="265">
        <v>0</v>
      </c>
      <c r="DL27" s="269">
        <v>0</v>
      </c>
      <c r="DM27" s="269">
        <v>0</v>
      </c>
      <c r="DN27" s="269">
        <v>0</v>
      </c>
      <c r="DO27" s="269">
        <v>0</v>
      </c>
      <c r="DP27" s="269">
        <v>0</v>
      </c>
      <c r="DQ27" s="269">
        <v>0</v>
      </c>
      <c r="DR27" s="269">
        <v>0</v>
      </c>
      <c r="DS27" s="269">
        <v>0</v>
      </c>
      <c r="DT27" s="269">
        <v>0</v>
      </c>
      <c r="DU27" s="269">
        <v>0</v>
      </c>
      <c r="DV27" s="269">
        <v>0</v>
      </c>
      <c r="DW27" s="269">
        <v>0</v>
      </c>
      <c r="DX27" s="269">
        <v>0</v>
      </c>
      <c r="DY27" s="269">
        <v>0</v>
      </c>
      <c r="DZ27" s="269">
        <v>0</v>
      </c>
      <c r="EA27" s="269">
        <v>0</v>
      </c>
      <c r="EB27" s="269">
        <v>0</v>
      </c>
      <c r="EC27" s="269">
        <v>0</v>
      </c>
      <c r="ED27" s="269">
        <v>0</v>
      </c>
      <c r="EE27" s="269">
        <v>0</v>
      </c>
      <c r="EF27" s="269">
        <v>0</v>
      </c>
      <c r="EG27" s="278">
        <v>0</v>
      </c>
      <c r="EH27" s="269">
        <v>0</v>
      </c>
      <c r="EI27" s="265">
        <v>0</v>
      </c>
      <c r="EJ27" s="265">
        <v>0</v>
      </c>
      <c r="EK27" s="265">
        <v>0</v>
      </c>
      <c r="EL27" s="265">
        <v>0</v>
      </c>
      <c r="EM27" s="265">
        <v>0</v>
      </c>
      <c r="EN27" s="265">
        <v>0</v>
      </c>
      <c r="EO27" s="265">
        <v>0</v>
      </c>
      <c r="EP27" s="265">
        <v>0</v>
      </c>
      <c r="EQ27" s="265">
        <v>0</v>
      </c>
      <c r="ER27" s="265">
        <v>0</v>
      </c>
      <c r="ES27" s="265">
        <v>0</v>
      </c>
      <c r="ET27" s="265">
        <v>0</v>
      </c>
      <c r="EU27" s="265">
        <v>0</v>
      </c>
      <c r="EV27" s="265">
        <v>0</v>
      </c>
      <c r="EW27" s="265">
        <v>0</v>
      </c>
      <c r="EX27" s="265">
        <v>0</v>
      </c>
      <c r="EY27" s="265">
        <v>0</v>
      </c>
      <c r="EZ27" s="265">
        <v>0</v>
      </c>
      <c r="FA27" s="265">
        <v>0</v>
      </c>
      <c r="FB27" s="265">
        <v>0</v>
      </c>
      <c r="FC27" s="265">
        <v>0</v>
      </c>
      <c r="FD27" s="265">
        <v>0</v>
      </c>
      <c r="FE27" s="265">
        <v>0</v>
      </c>
      <c r="FF27" s="265">
        <v>0</v>
      </c>
      <c r="FG27" s="265">
        <v>0</v>
      </c>
      <c r="FH27" s="265">
        <v>0</v>
      </c>
      <c r="FI27" s="265">
        <v>0</v>
      </c>
      <c r="FJ27" s="269">
        <v>0</v>
      </c>
      <c r="FK27" s="278">
        <v>0</v>
      </c>
      <c r="FL27" s="265">
        <v>0</v>
      </c>
      <c r="FM27" s="265">
        <v>0</v>
      </c>
      <c r="FN27" s="265">
        <v>0</v>
      </c>
      <c r="FO27" s="265">
        <v>0</v>
      </c>
      <c r="FP27" s="265">
        <v>0</v>
      </c>
      <c r="FQ27" s="265">
        <v>0</v>
      </c>
      <c r="FR27" s="265">
        <v>0</v>
      </c>
      <c r="FS27" s="265">
        <v>0</v>
      </c>
      <c r="FT27" s="265">
        <v>0</v>
      </c>
      <c r="FU27" s="265">
        <v>0</v>
      </c>
      <c r="FV27" s="265">
        <v>0</v>
      </c>
      <c r="FW27" s="265">
        <v>0</v>
      </c>
      <c r="FX27" s="265">
        <v>0</v>
      </c>
      <c r="FY27" s="265">
        <v>0</v>
      </c>
      <c r="FZ27" s="265">
        <v>0</v>
      </c>
      <c r="GA27" s="265">
        <v>0</v>
      </c>
      <c r="GB27" s="265">
        <v>0</v>
      </c>
      <c r="GC27" s="265">
        <v>0</v>
      </c>
      <c r="GD27" s="265">
        <v>0</v>
      </c>
      <c r="GE27" s="265">
        <v>0</v>
      </c>
      <c r="GF27" s="265">
        <v>0</v>
      </c>
      <c r="GG27" s="265">
        <v>0</v>
      </c>
      <c r="GH27" s="265">
        <v>0</v>
      </c>
      <c r="GI27" s="265">
        <v>0</v>
      </c>
      <c r="GJ27" s="265">
        <v>0</v>
      </c>
      <c r="GK27" s="265">
        <v>0</v>
      </c>
      <c r="GL27" s="265">
        <v>0</v>
      </c>
      <c r="GM27" s="265">
        <v>0</v>
      </c>
      <c r="GN27" s="265">
        <v>0</v>
      </c>
      <c r="GO27" s="269">
        <v>0</v>
      </c>
      <c r="GP27" s="278">
        <v>0</v>
      </c>
      <c r="GQ27" s="265">
        <v>0</v>
      </c>
      <c r="GR27" s="265">
        <v>0</v>
      </c>
      <c r="GS27" s="265">
        <v>0</v>
      </c>
      <c r="GT27" s="265">
        <v>0</v>
      </c>
      <c r="GU27" s="265">
        <v>0</v>
      </c>
      <c r="GV27" s="265">
        <v>0</v>
      </c>
      <c r="GW27" s="265">
        <v>0</v>
      </c>
      <c r="GX27" s="265">
        <v>0</v>
      </c>
      <c r="GY27" s="265">
        <v>0</v>
      </c>
      <c r="GZ27" s="265">
        <v>0</v>
      </c>
      <c r="HA27" s="265">
        <v>0</v>
      </c>
      <c r="HB27" s="265">
        <v>0</v>
      </c>
      <c r="HC27" s="265">
        <v>0</v>
      </c>
      <c r="HD27" s="265">
        <v>0</v>
      </c>
      <c r="HE27" s="265">
        <v>0</v>
      </c>
      <c r="HF27" s="265">
        <v>0</v>
      </c>
      <c r="HG27" s="265">
        <v>0</v>
      </c>
      <c r="HH27" s="265">
        <v>0</v>
      </c>
      <c r="HI27" s="265"/>
      <c r="HJ27" s="265"/>
      <c r="HK27" s="265"/>
      <c r="HL27" s="265"/>
      <c r="HM27" s="265"/>
      <c r="HN27" s="265"/>
      <c r="HO27" s="265"/>
      <c r="HP27" s="265"/>
      <c r="HQ27" s="265"/>
      <c r="HR27" s="265"/>
      <c r="HS27" s="265"/>
      <c r="HT27" s="368"/>
      <c r="HU27" s="361">
        <f t="shared" si="22"/>
        <v>29</v>
      </c>
    </row>
    <row r="28" spans="1:231" x14ac:dyDescent="0.25">
      <c r="A28" s="2">
        <v>7</v>
      </c>
      <c r="B28" s="474"/>
      <c r="C28" s="23" t="s">
        <v>7</v>
      </c>
      <c r="D28" s="29" t="s">
        <v>19</v>
      </c>
      <c r="E28" s="82"/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24">
        <f t="shared" si="21"/>
        <v>0</v>
      </c>
      <c r="N28" s="239"/>
      <c r="O28" s="73">
        <v>0</v>
      </c>
      <c r="P28" s="13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  <c r="AA28" s="101">
        <v>0</v>
      </c>
      <c r="AB28" s="101">
        <v>0</v>
      </c>
      <c r="AC28" s="101">
        <v>0</v>
      </c>
      <c r="AD28" s="101">
        <v>0</v>
      </c>
      <c r="AE28" s="101">
        <v>0</v>
      </c>
      <c r="AF28" s="101">
        <v>0</v>
      </c>
      <c r="AG28" s="101">
        <v>0</v>
      </c>
      <c r="AH28" s="101">
        <v>0</v>
      </c>
      <c r="AI28" s="101">
        <v>0</v>
      </c>
      <c r="AJ28" s="101">
        <v>0</v>
      </c>
      <c r="AK28" s="101">
        <v>0</v>
      </c>
      <c r="AL28" s="101">
        <v>0</v>
      </c>
      <c r="AM28" s="101">
        <v>0</v>
      </c>
      <c r="AN28" s="101">
        <v>0</v>
      </c>
      <c r="AO28" s="101">
        <v>0</v>
      </c>
      <c r="AP28" s="101">
        <v>0</v>
      </c>
      <c r="AQ28" s="162"/>
      <c r="AR28" s="73">
        <v>0</v>
      </c>
      <c r="AS28" s="13">
        <v>0</v>
      </c>
      <c r="AT28" s="101">
        <v>0</v>
      </c>
      <c r="AU28" s="101">
        <v>0</v>
      </c>
      <c r="AV28" s="101">
        <v>0</v>
      </c>
      <c r="AW28" s="101">
        <v>0</v>
      </c>
      <c r="AX28" s="101">
        <v>0</v>
      </c>
      <c r="AY28" s="101">
        <v>0</v>
      </c>
      <c r="AZ28" s="101">
        <v>0</v>
      </c>
      <c r="BA28" s="101">
        <v>0</v>
      </c>
      <c r="BB28" s="101">
        <v>0</v>
      </c>
      <c r="BC28" s="101">
        <v>0</v>
      </c>
      <c r="BD28" s="101">
        <v>0</v>
      </c>
      <c r="BE28" s="101">
        <v>0</v>
      </c>
      <c r="BF28" s="101">
        <v>0</v>
      </c>
      <c r="BG28" s="101">
        <v>0</v>
      </c>
      <c r="BH28" s="101">
        <v>0</v>
      </c>
      <c r="BI28" s="101">
        <v>0</v>
      </c>
      <c r="BJ28" s="101">
        <v>0</v>
      </c>
      <c r="BK28" s="101">
        <v>0</v>
      </c>
      <c r="BL28" s="101">
        <v>0</v>
      </c>
      <c r="BM28" s="101">
        <v>0</v>
      </c>
      <c r="BN28" s="101">
        <v>0</v>
      </c>
      <c r="BO28" s="101">
        <v>0</v>
      </c>
      <c r="BP28" s="101">
        <v>0</v>
      </c>
      <c r="BQ28" s="101">
        <v>0</v>
      </c>
      <c r="BR28" s="101">
        <v>0</v>
      </c>
      <c r="BS28" s="13">
        <v>0</v>
      </c>
      <c r="BT28" s="13">
        <v>0</v>
      </c>
      <c r="BU28" s="13">
        <v>0</v>
      </c>
      <c r="BV28" s="13">
        <v>0</v>
      </c>
      <c r="BW28" s="162"/>
      <c r="BX28" s="88">
        <v>0</v>
      </c>
      <c r="BY28" s="13">
        <v>0</v>
      </c>
      <c r="BZ28" s="101">
        <v>0</v>
      </c>
      <c r="CA28" s="101">
        <v>0</v>
      </c>
      <c r="CB28" s="101">
        <v>0</v>
      </c>
      <c r="CC28" s="101">
        <v>0</v>
      </c>
      <c r="CD28" s="101">
        <v>0</v>
      </c>
      <c r="CE28" s="101">
        <v>0</v>
      </c>
      <c r="CF28" s="101">
        <v>0</v>
      </c>
      <c r="CG28" s="101">
        <v>0</v>
      </c>
      <c r="CH28" s="101">
        <v>0</v>
      </c>
      <c r="CI28" s="101">
        <v>0</v>
      </c>
      <c r="CJ28" s="101">
        <v>0</v>
      </c>
      <c r="CK28" s="101">
        <v>0</v>
      </c>
      <c r="CL28" s="101">
        <v>0</v>
      </c>
      <c r="CM28" s="101">
        <v>0</v>
      </c>
      <c r="CN28" s="269">
        <v>0</v>
      </c>
      <c r="CO28" s="269">
        <v>0</v>
      </c>
      <c r="CP28" s="269">
        <v>0</v>
      </c>
      <c r="CQ28" s="269">
        <v>0</v>
      </c>
      <c r="CR28" s="269">
        <v>0</v>
      </c>
      <c r="CS28" s="269">
        <v>0</v>
      </c>
      <c r="CT28" s="269">
        <v>0</v>
      </c>
      <c r="CU28" s="269">
        <v>0</v>
      </c>
      <c r="CV28" s="269">
        <v>0</v>
      </c>
      <c r="CW28" s="269">
        <v>42</v>
      </c>
      <c r="CX28" s="269">
        <v>0</v>
      </c>
      <c r="CY28" s="265">
        <v>0</v>
      </c>
      <c r="CZ28" s="265">
        <v>0</v>
      </c>
      <c r="DA28" s="269">
        <v>45</v>
      </c>
      <c r="DB28" s="73">
        <v>0</v>
      </c>
      <c r="DC28" s="13">
        <v>0</v>
      </c>
      <c r="DD28" s="13">
        <v>0</v>
      </c>
      <c r="DE28" s="13">
        <v>21.5</v>
      </c>
      <c r="DF28" s="101">
        <v>0</v>
      </c>
      <c r="DG28" s="13">
        <v>0</v>
      </c>
      <c r="DH28" s="269">
        <v>0</v>
      </c>
      <c r="DI28" s="269">
        <v>0</v>
      </c>
      <c r="DJ28" s="269">
        <v>0</v>
      </c>
      <c r="DK28" s="265">
        <v>0</v>
      </c>
      <c r="DL28" s="269">
        <v>0</v>
      </c>
      <c r="DM28" s="269">
        <v>0</v>
      </c>
      <c r="DN28" s="269">
        <v>0</v>
      </c>
      <c r="DO28" s="269">
        <v>0</v>
      </c>
      <c r="DP28" s="269">
        <v>0</v>
      </c>
      <c r="DQ28" s="269">
        <v>0</v>
      </c>
      <c r="DR28" s="269">
        <v>0</v>
      </c>
      <c r="DS28" s="269">
        <v>0</v>
      </c>
      <c r="DT28" s="269">
        <v>0</v>
      </c>
      <c r="DU28" s="269">
        <v>0</v>
      </c>
      <c r="DV28" s="269">
        <v>0</v>
      </c>
      <c r="DW28" s="269">
        <v>0</v>
      </c>
      <c r="DX28" s="269">
        <v>0</v>
      </c>
      <c r="DY28" s="269">
        <v>0</v>
      </c>
      <c r="DZ28" s="269">
        <v>0</v>
      </c>
      <c r="EA28" s="269">
        <v>0</v>
      </c>
      <c r="EB28" s="269">
        <v>0</v>
      </c>
      <c r="EC28" s="269">
        <v>0</v>
      </c>
      <c r="ED28" s="269">
        <v>0</v>
      </c>
      <c r="EE28" s="269">
        <v>0</v>
      </c>
      <c r="EF28" s="269">
        <v>0</v>
      </c>
      <c r="EG28" s="278">
        <v>0</v>
      </c>
      <c r="EH28" s="269">
        <v>0</v>
      </c>
      <c r="EI28" s="265">
        <v>0</v>
      </c>
      <c r="EJ28" s="265">
        <v>0</v>
      </c>
      <c r="EK28" s="265">
        <v>0</v>
      </c>
      <c r="EL28" s="265">
        <v>0</v>
      </c>
      <c r="EM28" s="265">
        <v>0</v>
      </c>
      <c r="EN28" s="265">
        <v>0</v>
      </c>
      <c r="EO28" s="265">
        <v>0</v>
      </c>
      <c r="EP28" s="265">
        <v>0</v>
      </c>
      <c r="EQ28" s="265">
        <v>0</v>
      </c>
      <c r="ER28" s="265">
        <v>0</v>
      </c>
      <c r="ES28" s="265">
        <v>0</v>
      </c>
      <c r="ET28" s="265">
        <v>0</v>
      </c>
      <c r="EU28" s="265">
        <v>0</v>
      </c>
      <c r="EV28" s="265">
        <v>0</v>
      </c>
      <c r="EW28" s="265">
        <v>0</v>
      </c>
      <c r="EX28" s="265">
        <v>0</v>
      </c>
      <c r="EY28" s="265">
        <v>0</v>
      </c>
      <c r="EZ28" s="265">
        <v>0</v>
      </c>
      <c r="FA28" s="265">
        <v>0</v>
      </c>
      <c r="FB28" s="265">
        <v>0</v>
      </c>
      <c r="FC28" s="265">
        <v>0</v>
      </c>
      <c r="FD28" s="265">
        <v>0</v>
      </c>
      <c r="FE28" s="265">
        <v>0</v>
      </c>
      <c r="FF28" s="265">
        <v>0</v>
      </c>
      <c r="FG28" s="265">
        <v>0</v>
      </c>
      <c r="FH28" s="265">
        <v>0</v>
      </c>
      <c r="FI28" s="265">
        <v>0</v>
      </c>
      <c r="FJ28" s="269">
        <v>0</v>
      </c>
      <c r="FK28" s="278">
        <v>0</v>
      </c>
      <c r="FL28" s="265">
        <v>0</v>
      </c>
      <c r="FM28" s="265">
        <v>0</v>
      </c>
      <c r="FN28" s="265">
        <v>0</v>
      </c>
      <c r="FO28" s="265">
        <v>0</v>
      </c>
      <c r="FP28" s="265">
        <v>0</v>
      </c>
      <c r="FQ28" s="265">
        <v>0</v>
      </c>
      <c r="FR28" s="265">
        <v>0</v>
      </c>
      <c r="FS28" s="265">
        <v>0</v>
      </c>
      <c r="FT28" s="265">
        <v>0</v>
      </c>
      <c r="FU28" s="265">
        <v>0</v>
      </c>
      <c r="FV28" s="265">
        <v>0</v>
      </c>
      <c r="FW28" s="265">
        <v>0</v>
      </c>
      <c r="FX28" s="265">
        <v>0</v>
      </c>
      <c r="FY28" s="265">
        <v>0</v>
      </c>
      <c r="FZ28" s="265">
        <v>0</v>
      </c>
      <c r="GA28" s="265">
        <v>0</v>
      </c>
      <c r="GB28" s="265">
        <v>0</v>
      </c>
      <c r="GC28" s="265">
        <v>0</v>
      </c>
      <c r="GD28" s="265">
        <v>0</v>
      </c>
      <c r="GE28" s="265">
        <v>0</v>
      </c>
      <c r="GF28" s="265">
        <v>0</v>
      </c>
      <c r="GG28" s="265">
        <v>0</v>
      </c>
      <c r="GH28" s="265">
        <v>0</v>
      </c>
      <c r="GI28" s="265">
        <v>0</v>
      </c>
      <c r="GJ28" s="265">
        <v>0</v>
      </c>
      <c r="GK28" s="265">
        <v>0</v>
      </c>
      <c r="GL28" s="265">
        <v>0</v>
      </c>
      <c r="GM28" s="265">
        <v>0</v>
      </c>
      <c r="GN28" s="265">
        <v>0</v>
      </c>
      <c r="GO28" s="269">
        <v>0</v>
      </c>
      <c r="GP28" s="278">
        <v>0</v>
      </c>
      <c r="GQ28" s="265">
        <v>0</v>
      </c>
      <c r="GR28" s="265">
        <v>0</v>
      </c>
      <c r="GS28" s="265">
        <v>0</v>
      </c>
      <c r="GT28" s="265">
        <v>0</v>
      </c>
      <c r="GU28" s="265">
        <v>0</v>
      </c>
      <c r="GV28" s="265">
        <v>0</v>
      </c>
      <c r="GW28" s="265">
        <v>0</v>
      </c>
      <c r="GX28" s="265">
        <v>0</v>
      </c>
      <c r="GY28" s="265">
        <v>0</v>
      </c>
      <c r="GZ28" s="265">
        <v>0</v>
      </c>
      <c r="HA28" s="265">
        <v>0</v>
      </c>
      <c r="HB28" s="265">
        <v>0</v>
      </c>
      <c r="HC28" s="265">
        <v>0</v>
      </c>
      <c r="HD28" s="265">
        <v>0</v>
      </c>
      <c r="HE28" s="265">
        <v>0</v>
      </c>
      <c r="HF28" s="265">
        <v>0</v>
      </c>
      <c r="HG28" s="265">
        <v>0</v>
      </c>
      <c r="HH28" s="265">
        <v>0</v>
      </c>
      <c r="HI28" s="265"/>
      <c r="HJ28" s="265"/>
      <c r="HK28" s="265"/>
      <c r="HL28" s="265"/>
      <c r="HM28" s="265"/>
      <c r="HN28" s="265"/>
      <c r="HO28" s="265"/>
      <c r="HP28" s="265"/>
      <c r="HQ28" s="265"/>
      <c r="HR28" s="265"/>
      <c r="HS28" s="265"/>
      <c r="HT28" s="368"/>
      <c r="HU28" s="361">
        <f t="shared" si="22"/>
        <v>108.5</v>
      </c>
    </row>
    <row r="29" spans="1:231" x14ac:dyDescent="0.25">
      <c r="A29" s="2">
        <v>8</v>
      </c>
      <c r="B29" s="474"/>
      <c r="C29" s="23" t="s">
        <v>8</v>
      </c>
      <c r="D29" s="29" t="s">
        <v>19</v>
      </c>
      <c r="E29" s="82"/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24">
        <f t="shared" si="21"/>
        <v>0</v>
      </c>
      <c r="N29" s="239"/>
      <c r="O29" s="73">
        <v>0</v>
      </c>
      <c r="P29" s="13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01">
        <v>0</v>
      </c>
      <c r="AA29" s="101">
        <v>0</v>
      </c>
      <c r="AB29" s="101">
        <v>0</v>
      </c>
      <c r="AC29" s="101">
        <v>0</v>
      </c>
      <c r="AD29" s="101">
        <v>0</v>
      </c>
      <c r="AE29" s="101">
        <v>0</v>
      </c>
      <c r="AF29" s="101">
        <v>0</v>
      </c>
      <c r="AG29" s="101">
        <v>0</v>
      </c>
      <c r="AH29" s="101">
        <v>0</v>
      </c>
      <c r="AI29" s="101">
        <v>0</v>
      </c>
      <c r="AJ29" s="101">
        <v>0</v>
      </c>
      <c r="AK29" s="101">
        <v>24</v>
      </c>
      <c r="AL29" s="101">
        <v>0</v>
      </c>
      <c r="AM29" s="101">
        <v>0</v>
      </c>
      <c r="AN29" s="101">
        <v>21</v>
      </c>
      <c r="AO29" s="101">
        <v>0</v>
      </c>
      <c r="AP29" s="101">
        <v>0</v>
      </c>
      <c r="AQ29" s="162"/>
      <c r="AR29" s="73">
        <v>0</v>
      </c>
      <c r="AS29" s="13">
        <v>0</v>
      </c>
      <c r="AT29" s="101">
        <v>0</v>
      </c>
      <c r="AU29" s="101">
        <v>0</v>
      </c>
      <c r="AV29" s="101">
        <v>6</v>
      </c>
      <c r="AW29" s="101">
        <v>0</v>
      </c>
      <c r="AX29" s="101">
        <v>0</v>
      </c>
      <c r="AY29" s="101">
        <v>0</v>
      </c>
      <c r="AZ29" s="101">
        <v>0</v>
      </c>
      <c r="BA29" s="122">
        <v>14</v>
      </c>
      <c r="BB29" s="101">
        <v>0</v>
      </c>
      <c r="BC29" s="101">
        <v>0</v>
      </c>
      <c r="BD29" s="101">
        <v>0</v>
      </c>
      <c r="BE29" s="122">
        <v>36</v>
      </c>
      <c r="BF29" s="101">
        <v>0</v>
      </c>
      <c r="BG29" s="101">
        <v>0</v>
      </c>
      <c r="BH29" s="101">
        <v>0</v>
      </c>
      <c r="BI29" s="101">
        <v>0</v>
      </c>
      <c r="BJ29" s="101">
        <v>0</v>
      </c>
      <c r="BK29" s="101">
        <v>0</v>
      </c>
      <c r="BL29" s="101">
        <v>0</v>
      </c>
      <c r="BM29" s="101">
        <v>0</v>
      </c>
      <c r="BN29" s="101">
        <v>0</v>
      </c>
      <c r="BO29" s="101">
        <v>0</v>
      </c>
      <c r="BP29" s="101">
        <v>0</v>
      </c>
      <c r="BQ29" s="101">
        <v>0</v>
      </c>
      <c r="BR29" s="101">
        <v>0</v>
      </c>
      <c r="BS29" s="64">
        <v>3.5</v>
      </c>
      <c r="BT29" s="13">
        <v>8</v>
      </c>
      <c r="BU29" s="13">
        <v>0</v>
      </c>
      <c r="BV29" s="13">
        <v>0</v>
      </c>
      <c r="BW29" s="162"/>
      <c r="BX29" s="88">
        <v>0</v>
      </c>
      <c r="BY29" s="64">
        <v>23.4</v>
      </c>
      <c r="BZ29" s="101">
        <v>0</v>
      </c>
      <c r="CA29" s="101">
        <v>0</v>
      </c>
      <c r="CB29" s="101">
        <v>0</v>
      </c>
      <c r="CC29" s="101">
        <v>0</v>
      </c>
      <c r="CD29" s="101">
        <v>0</v>
      </c>
      <c r="CE29" s="101">
        <v>0</v>
      </c>
      <c r="CF29" s="101">
        <v>0</v>
      </c>
      <c r="CG29" s="101">
        <v>0</v>
      </c>
      <c r="CH29" s="101">
        <v>0</v>
      </c>
      <c r="CI29" s="122">
        <v>70.599999999999994</v>
      </c>
      <c r="CJ29" s="101">
        <v>0</v>
      </c>
      <c r="CK29" s="122">
        <v>0</v>
      </c>
      <c r="CL29" s="101">
        <v>0</v>
      </c>
      <c r="CM29" s="101">
        <v>7</v>
      </c>
      <c r="CN29" s="269">
        <v>0</v>
      </c>
      <c r="CO29" s="269">
        <v>7</v>
      </c>
      <c r="CP29" s="269">
        <v>0</v>
      </c>
      <c r="CQ29" s="269">
        <v>0</v>
      </c>
      <c r="CR29" s="269">
        <v>0</v>
      </c>
      <c r="CS29" s="269">
        <v>0</v>
      </c>
      <c r="CT29" s="269">
        <v>0</v>
      </c>
      <c r="CU29" s="269">
        <v>0</v>
      </c>
      <c r="CV29" s="269">
        <v>0</v>
      </c>
      <c r="CW29" s="269">
        <v>0</v>
      </c>
      <c r="CX29" s="269">
        <v>25</v>
      </c>
      <c r="CY29" s="265">
        <v>0</v>
      </c>
      <c r="CZ29" s="272">
        <v>50.6</v>
      </c>
      <c r="DA29" s="101">
        <v>0</v>
      </c>
      <c r="DB29" s="73">
        <v>0</v>
      </c>
      <c r="DC29" s="13">
        <v>0</v>
      </c>
      <c r="DD29" s="13">
        <v>0</v>
      </c>
      <c r="DE29" s="13">
        <v>0</v>
      </c>
      <c r="DF29" s="101">
        <v>0</v>
      </c>
      <c r="DG29" s="13">
        <v>0</v>
      </c>
      <c r="DH29" s="269">
        <v>0</v>
      </c>
      <c r="DI29" s="269">
        <v>0</v>
      </c>
      <c r="DJ29" s="269">
        <v>5</v>
      </c>
      <c r="DK29" s="265">
        <v>21</v>
      </c>
      <c r="DL29" s="269">
        <v>0</v>
      </c>
      <c r="DM29" s="269">
        <v>12</v>
      </c>
      <c r="DN29" s="269">
        <v>0</v>
      </c>
      <c r="DO29" s="269">
        <v>0</v>
      </c>
      <c r="DP29" s="269">
        <v>0</v>
      </c>
      <c r="DQ29" s="269">
        <v>13</v>
      </c>
      <c r="DR29" s="269">
        <v>0</v>
      </c>
      <c r="DS29" s="269">
        <v>0</v>
      </c>
      <c r="DT29" s="269">
        <v>0</v>
      </c>
      <c r="DU29" s="269">
        <v>0</v>
      </c>
      <c r="DV29" s="269">
        <v>0</v>
      </c>
      <c r="DW29" s="269">
        <v>0</v>
      </c>
      <c r="DX29" s="269">
        <v>0</v>
      </c>
      <c r="DY29" s="269">
        <v>0</v>
      </c>
      <c r="DZ29" s="282">
        <v>23.2</v>
      </c>
      <c r="EA29" s="269">
        <v>0</v>
      </c>
      <c r="EB29" s="269">
        <v>0</v>
      </c>
      <c r="EC29" s="269">
        <v>0</v>
      </c>
      <c r="ED29" s="269">
        <v>0</v>
      </c>
      <c r="EE29" s="269">
        <v>0</v>
      </c>
      <c r="EF29" s="269">
        <v>0</v>
      </c>
      <c r="EG29" s="278">
        <v>4</v>
      </c>
      <c r="EH29" s="269">
        <v>0</v>
      </c>
      <c r="EI29" s="265">
        <v>0</v>
      </c>
      <c r="EJ29" s="265">
        <v>0</v>
      </c>
      <c r="EK29" s="265">
        <v>0</v>
      </c>
      <c r="EL29" s="265">
        <v>0</v>
      </c>
      <c r="EM29" s="265">
        <v>0</v>
      </c>
      <c r="EN29" s="265">
        <v>0</v>
      </c>
      <c r="EO29" s="265">
        <v>0</v>
      </c>
      <c r="EP29" s="265">
        <v>0</v>
      </c>
      <c r="EQ29" s="265">
        <v>0</v>
      </c>
      <c r="ER29" s="265">
        <v>0</v>
      </c>
      <c r="ES29" s="265">
        <v>0</v>
      </c>
      <c r="ET29" s="265">
        <v>0</v>
      </c>
      <c r="EU29" s="265">
        <v>0</v>
      </c>
      <c r="EV29" s="265">
        <v>0</v>
      </c>
      <c r="EW29" s="265">
        <v>0</v>
      </c>
      <c r="EX29" s="265">
        <v>0</v>
      </c>
      <c r="EY29" s="265">
        <v>0</v>
      </c>
      <c r="EZ29" s="265">
        <v>0</v>
      </c>
      <c r="FA29" s="265">
        <v>0</v>
      </c>
      <c r="FB29" s="265">
        <v>0</v>
      </c>
      <c r="FC29" s="265">
        <v>0</v>
      </c>
      <c r="FD29" s="265">
        <v>0</v>
      </c>
      <c r="FE29" s="265">
        <v>0</v>
      </c>
      <c r="FF29" s="265">
        <v>0</v>
      </c>
      <c r="FG29" s="272">
        <v>22.8</v>
      </c>
      <c r="FH29" s="265">
        <v>0</v>
      </c>
      <c r="FI29" s="265">
        <v>0</v>
      </c>
      <c r="FJ29" s="269">
        <v>0</v>
      </c>
      <c r="FK29" s="278">
        <v>0</v>
      </c>
      <c r="FL29" s="265">
        <v>0</v>
      </c>
      <c r="FM29" s="265">
        <v>0</v>
      </c>
      <c r="FN29" s="272">
        <v>9.5</v>
      </c>
      <c r="FO29" s="265">
        <v>0</v>
      </c>
      <c r="FP29" s="265">
        <v>0</v>
      </c>
      <c r="FQ29" s="265">
        <v>0</v>
      </c>
      <c r="FR29" s="265">
        <v>0</v>
      </c>
      <c r="FS29" s="265">
        <v>0</v>
      </c>
      <c r="FT29" s="265">
        <v>0</v>
      </c>
      <c r="FU29" s="265">
        <v>0</v>
      </c>
      <c r="FV29" s="265">
        <v>0</v>
      </c>
      <c r="FW29" s="265">
        <v>0</v>
      </c>
      <c r="FX29" s="265">
        <v>0</v>
      </c>
      <c r="FY29" s="265">
        <v>0</v>
      </c>
      <c r="FZ29" s="265">
        <v>0</v>
      </c>
      <c r="GA29" s="265">
        <v>0</v>
      </c>
      <c r="GB29" s="265">
        <v>0</v>
      </c>
      <c r="GC29" s="265">
        <v>0</v>
      </c>
      <c r="GD29" s="265">
        <v>0</v>
      </c>
      <c r="GE29" s="265">
        <v>0</v>
      </c>
      <c r="GF29" s="265">
        <v>0</v>
      </c>
      <c r="GG29" s="265">
        <v>0</v>
      </c>
      <c r="GH29" s="265">
        <v>0</v>
      </c>
      <c r="GI29" s="265">
        <v>0</v>
      </c>
      <c r="GJ29" s="265">
        <v>0</v>
      </c>
      <c r="GK29" s="265">
        <v>0</v>
      </c>
      <c r="GL29" s="265">
        <v>0</v>
      </c>
      <c r="GM29" s="265">
        <v>0</v>
      </c>
      <c r="GN29" s="265">
        <v>0</v>
      </c>
      <c r="GO29" s="269">
        <v>0</v>
      </c>
      <c r="GP29" s="278">
        <v>0</v>
      </c>
      <c r="GQ29" s="265">
        <v>0</v>
      </c>
      <c r="GR29" s="265">
        <v>0</v>
      </c>
      <c r="GS29" s="265">
        <v>0</v>
      </c>
      <c r="GT29" s="265">
        <v>0</v>
      </c>
      <c r="GU29" s="265">
        <v>0</v>
      </c>
      <c r="GV29" s="265">
        <v>0</v>
      </c>
      <c r="GW29" s="265">
        <v>0</v>
      </c>
      <c r="GX29" s="265">
        <v>0</v>
      </c>
      <c r="GY29" s="265">
        <v>0</v>
      </c>
      <c r="GZ29" s="265">
        <v>0</v>
      </c>
      <c r="HA29" s="265">
        <v>0</v>
      </c>
      <c r="HB29" s="265">
        <v>0</v>
      </c>
      <c r="HC29" s="265">
        <v>0</v>
      </c>
      <c r="HD29" s="265">
        <v>0</v>
      </c>
      <c r="HE29" s="265">
        <v>0</v>
      </c>
      <c r="HF29" s="265">
        <v>0</v>
      </c>
      <c r="HG29" s="265">
        <v>0</v>
      </c>
      <c r="HH29" s="265">
        <v>0</v>
      </c>
      <c r="HI29" s="265"/>
      <c r="HJ29" s="265"/>
      <c r="HK29" s="265"/>
      <c r="HL29" s="265"/>
      <c r="HM29" s="265"/>
      <c r="HN29" s="265"/>
      <c r="HO29" s="265"/>
      <c r="HP29" s="265"/>
      <c r="HQ29" s="265"/>
      <c r="HR29" s="265"/>
      <c r="HS29" s="265"/>
      <c r="HT29" s="368"/>
      <c r="HU29" s="361">
        <f t="shared" si="22"/>
        <v>406.6</v>
      </c>
    </row>
    <row r="30" spans="1:231" x14ac:dyDescent="0.25">
      <c r="A30" s="2">
        <v>9</v>
      </c>
      <c r="B30" s="474"/>
      <c r="C30" s="23" t="s">
        <v>9</v>
      </c>
      <c r="D30" s="29" t="s">
        <v>19</v>
      </c>
      <c r="E30" s="82"/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24">
        <f t="shared" si="21"/>
        <v>0</v>
      </c>
      <c r="N30" s="239"/>
      <c r="O30" s="73">
        <v>0</v>
      </c>
      <c r="P30" s="13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>
        <v>0</v>
      </c>
      <c r="AB30" s="101">
        <v>0</v>
      </c>
      <c r="AC30" s="101">
        <v>0</v>
      </c>
      <c r="AD30" s="101">
        <v>0</v>
      </c>
      <c r="AE30" s="101">
        <v>0</v>
      </c>
      <c r="AF30" s="101">
        <v>0</v>
      </c>
      <c r="AG30" s="101">
        <v>0</v>
      </c>
      <c r="AH30" s="101">
        <v>0</v>
      </c>
      <c r="AI30" s="101">
        <v>0</v>
      </c>
      <c r="AJ30" s="101">
        <v>0</v>
      </c>
      <c r="AK30" s="101">
        <v>0</v>
      </c>
      <c r="AL30" s="101">
        <v>0</v>
      </c>
      <c r="AM30" s="101">
        <v>0</v>
      </c>
      <c r="AN30" s="101">
        <v>0</v>
      </c>
      <c r="AO30" s="101">
        <v>0</v>
      </c>
      <c r="AP30" s="101">
        <v>0</v>
      </c>
      <c r="AQ30" s="162"/>
      <c r="AR30" s="73">
        <v>0</v>
      </c>
      <c r="AS30" s="13">
        <v>0</v>
      </c>
      <c r="AT30" s="101">
        <v>0</v>
      </c>
      <c r="AU30" s="101">
        <v>0</v>
      </c>
      <c r="AV30" s="101">
        <v>0</v>
      </c>
      <c r="AW30" s="101">
        <v>0</v>
      </c>
      <c r="AX30" s="101">
        <v>0</v>
      </c>
      <c r="AY30" s="101">
        <v>0</v>
      </c>
      <c r="AZ30" s="101">
        <v>0</v>
      </c>
      <c r="BA30" s="101">
        <v>0</v>
      </c>
      <c r="BB30" s="101">
        <v>0</v>
      </c>
      <c r="BC30" s="101">
        <v>0</v>
      </c>
      <c r="BD30" s="101">
        <v>0</v>
      </c>
      <c r="BE30" s="101">
        <v>0</v>
      </c>
      <c r="BF30" s="101">
        <v>0</v>
      </c>
      <c r="BG30" s="101">
        <v>0</v>
      </c>
      <c r="BH30" s="101">
        <v>0</v>
      </c>
      <c r="BI30" s="101">
        <v>0</v>
      </c>
      <c r="BJ30" s="101">
        <v>0</v>
      </c>
      <c r="BK30" s="101">
        <v>0</v>
      </c>
      <c r="BL30" s="101">
        <v>0</v>
      </c>
      <c r="BM30" s="101">
        <v>0</v>
      </c>
      <c r="BN30" s="101">
        <v>0</v>
      </c>
      <c r="BO30" s="101">
        <v>0</v>
      </c>
      <c r="BP30" s="101">
        <v>0</v>
      </c>
      <c r="BQ30" s="101">
        <v>0</v>
      </c>
      <c r="BR30" s="101">
        <v>0</v>
      </c>
      <c r="BS30" s="13">
        <v>0</v>
      </c>
      <c r="BT30" s="13">
        <v>0</v>
      </c>
      <c r="BU30" s="13">
        <v>0</v>
      </c>
      <c r="BV30" s="13">
        <v>0</v>
      </c>
      <c r="BW30" s="162"/>
      <c r="BX30" s="88">
        <v>0</v>
      </c>
      <c r="BY30" s="13">
        <v>0</v>
      </c>
      <c r="BZ30" s="101">
        <v>0</v>
      </c>
      <c r="CA30" s="101">
        <v>0</v>
      </c>
      <c r="CB30" s="101">
        <v>0</v>
      </c>
      <c r="CC30" s="101">
        <v>0</v>
      </c>
      <c r="CD30" s="101">
        <v>0</v>
      </c>
      <c r="CE30" s="101">
        <v>0</v>
      </c>
      <c r="CF30" s="101">
        <v>0</v>
      </c>
      <c r="CG30" s="101">
        <v>0</v>
      </c>
      <c r="CH30" s="101">
        <v>0</v>
      </c>
      <c r="CI30" s="101">
        <v>0</v>
      </c>
      <c r="CJ30" s="101">
        <v>0</v>
      </c>
      <c r="CK30" s="101">
        <v>0</v>
      </c>
      <c r="CL30" s="101">
        <v>0</v>
      </c>
      <c r="CM30" s="101">
        <v>0</v>
      </c>
      <c r="CN30" s="269">
        <v>0</v>
      </c>
      <c r="CO30" s="269">
        <v>0</v>
      </c>
      <c r="CP30" s="269">
        <v>0</v>
      </c>
      <c r="CQ30" s="269">
        <v>0</v>
      </c>
      <c r="CR30" s="269">
        <v>0</v>
      </c>
      <c r="CS30" s="269">
        <v>0</v>
      </c>
      <c r="CT30" s="269">
        <v>0</v>
      </c>
      <c r="CU30" s="269">
        <v>0</v>
      </c>
      <c r="CV30" s="269">
        <v>0</v>
      </c>
      <c r="CW30" s="269">
        <v>0</v>
      </c>
      <c r="CX30" s="269">
        <v>0</v>
      </c>
      <c r="CY30" s="265">
        <v>0</v>
      </c>
      <c r="CZ30" s="265">
        <v>0</v>
      </c>
      <c r="DA30" s="101">
        <v>0</v>
      </c>
      <c r="DB30" s="73">
        <v>0</v>
      </c>
      <c r="DC30" s="13">
        <v>0</v>
      </c>
      <c r="DD30" s="13">
        <v>0</v>
      </c>
      <c r="DE30" s="13">
        <v>0</v>
      </c>
      <c r="DF30" s="101">
        <v>0</v>
      </c>
      <c r="DG30" s="13">
        <v>0</v>
      </c>
      <c r="DH30" s="269">
        <v>0</v>
      </c>
      <c r="DI30" s="269">
        <v>0</v>
      </c>
      <c r="DJ30" s="269">
        <v>0</v>
      </c>
      <c r="DK30" s="265">
        <v>0</v>
      </c>
      <c r="DL30" s="269">
        <v>0</v>
      </c>
      <c r="DM30" s="269">
        <v>0</v>
      </c>
      <c r="DN30" s="269">
        <v>0</v>
      </c>
      <c r="DO30" s="269">
        <v>0</v>
      </c>
      <c r="DP30" s="269">
        <v>0</v>
      </c>
      <c r="DQ30" s="269">
        <v>0</v>
      </c>
      <c r="DR30" s="269">
        <v>0</v>
      </c>
      <c r="DS30" s="269">
        <v>0</v>
      </c>
      <c r="DT30" s="269">
        <v>0</v>
      </c>
      <c r="DU30" s="269">
        <v>0</v>
      </c>
      <c r="DV30" s="269">
        <v>0</v>
      </c>
      <c r="DW30" s="269">
        <v>0</v>
      </c>
      <c r="DX30" s="269">
        <v>0</v>
      </c>
      <c r="DY30" s="269">
        <v>0</v>
      </c>
      <c r="DZ30" s="269">
        <v>0</v>
      </c>
      <c r="EA30" s="269">
        <v>0</v>
      </c>
      <c r="EB30" s="269">
        <v>0</v>
      </c>
      <c r="EC30" s="269">
        <v>0</v>
      </c>
      <c r="ED30" s="269">
        <v>0</v>
      </c>
      <c r="EE30" s="269">
        <v>0</v>
      </c>
      <c r="EF30" s="269">
        <v>0</v>
      </c>
      <c r="EG30" s="278">
        <v>0</v>
      </c>
      <c r="EH30" s="269">
        <v>0</v>
      </c>
      <c r="EI30" s="265">
        <v>0</v>
      </c>
      <c r="EJ30" s="265">
        <v>0</v>
      </c>
      <c r="EK30" s="265">
        <v>0</v>
      </c>
      <c r="EL30" s="265">
        <v>0</v>
      </c>
      <c r="EM30" s="265">
        <v>0</v>
      </c>
      <c r="EN30" s="265">
        <v>0</v>
      </c>
      <c r="EO30" s="265">
        <v>0</v>
      </c>
      <c r="EP30" s="265">
        <v>0</v>
      </c>
      <c r="EQ30" s="265">
        <v>0</v>
      </c>
      <c r="ER30" s="265">
        <v>0</v>
      </c>
      <c r="ES30" s="265">
        <v>0</v>
      </c>
      <c r="ET30" s="265">
        <v>0</v>
      </c>
      <c r="EU30" s="265">
        <v>0</v>
      </c>
      <c r="EV30" s="265">
        <v>0</v>
      </c>
      <c r="EW30" s="265">
        <v>0</v>
      </c>
      <c r="EX30" s="265">
        <v>0</v>
      </c>
      <c r="EY30" s="265">
        <v>0</v>
      </c>
      <c r="EZ30" s="265">
        <v>0</v>
      </c>
      <c r="FA30" s="265">
        <v>0</v>
      </c>
      <c r="FB30" s="265">
        <v>0</v>
      </c>
      <c r="FC30" s="265">
        <v>0</v>
      </c>
      <c r="FD30" s="265">
        <v>0</v>
      </c>
      <c r="FE30" s="265">
        <v>0</v>
      </c>
      <c r="FF30" s="265">
        <v>0</v>
      </c>
      <c r="FG30" s="265">
        <v>0</v>
      </c>
      <c r="FH30" s="265">
        <v>0</v>
      </c>
      <c r="FI30" s="265">
        <v>0</v>
      </c>
      <c r="FJ30" s="269">
        <v>0</v>
      </c>
      <c r="FK30" s="278">
        <v>0</v>
      </c>
      <c r="FL30" s="265">
        <v>0</v>
      </c>
      <c r="FM30" s="265">
        <v>0</v>
      </c>
      <c r="FN30" s="265">
        <v>0</v>
      </c>
      <c r="FO30" s="265">
        <v>0</v>
      </c>
      <c r="FP30" s="265">
        <v>0</v>
      </c>
      <c r="FQ30" s="265">
        <v>0</v>
      </c>
      <c r="FR30" s="265">
        <v>0</v>
      </c>
      <c r="FS30" s="265">
        <v>0</v>
      </c>
      <c r="FT30" s="265">
        <v>0</v>
      </c>
      <c r="FU30" s="265">
        <v>0</v>
      </c>
      <c r="FV30" s="265">
        <v>0</v>
      </c>
      <c r="FW30" s="265">
        <v>0</v>
      </c>
      <c r="FX30" s="265">
        <v>0</v>
      </c>
      <c r="FY30" s="265">
        <v>0</v>
      </c>
      <c r="FZ30" s="265">
        <v>0</v>
      </c>
      <c r="GA30" s="265">
        <v>0</v>
      </c>
      <c r="GB30" s="265">
        <v>0</v>
      </c>
      <c r="GC30" s="265">
        <v>0</v>
      </c>
      <c r="GD30" s="265">
        <v>0</v>
      </c>
      <c r="GE30" s="265">
        <v>0</v>
      </c>
      <c r="GF30" s="265">
        <v>0</v>
      </c>
      <c r="GG30" s="265">
        <v>0</v>
      </c>
      <c r="GH30" s="265">
        <v>0</v>
      </c>
      <c r="GI30" s="265">
        <v>0</v>
      </c>
      <c r="GJ30" s="265">
        <v>0</v>
      </c>
      <c r="GK30" s="265">
        <v>0</v>
      </c>
      <c r="GL30" s="265">
        <v>0</v>
      </c>
      <c r="GM30" s="265">
        <v>0</v>
      </c>
      <c r="GN30" s="265">
        <v>0</v>
      </c>
      <c r="GO30" s="269">
        <v>0</v>
      </c>
      <c r="GP30" s="278">
        <v>0</v>
      </c>
      <c r="GQ30" s="265">
        <v>0</v>
      </c>
      <c r="GR30" s="265">
        <v>0</v>
      </c>
      <c r="GS30" s="265">
        <v>0</v>
      </c>
      <c r="GT30" s="265">
        <v>0</v>
      </c>
      <c r="GU30" s="265">
        <v>0</v>
      </c>
      <c r="GV30" s="265">
        <v>0</v>
      </c>
      <c r="GW30" s="265">
        <v>0</v>
      </c>
      <c r="GX30" s="265">
        <v>0</v>
      </c>
      <c r="GY30" s="265">
        <v>0</v>
      </c>
      <c r="GZ30" s="265">
        <v>26</v>
      </c>
      <c r="HA30" s="265">
        <v>0</v>
      </c>
      <c r="HB30" s="265">
        <v>0</v>
      </c>
      <c r="HC30" s="265">
        <v>0</v>
      </c>
      <c r="HD30" s="265">
        <v>0</v>
      </c>
      <c r="HE30" s="265">
        <v>0</v>
      </c>
      <c r="HF30" s="265">
        <v>0</v>
      </c>
      <c r="HG30" s="265">
        <v>0</v>
      </c>
      <c r="HH30" s="265">
        <v>0</v>
      </c>
      <c r="HI30" s="265"/>
      <c r="HJ30" s="265"/>
      <c r="HK30" s="265"/>
      <c r="HL30" s="265"/>
      <c r="HM30" s="265"/>
      <c r="HN30" s="265"/>
      <c r="HO30" s="265"/>
      <c r="HP30" s="265"/>
      <c r="HQ30" s="265"/>
      <c r="HR30" s="265"/>
      <c r="HS30" s="265"/>
      <c r="HT30" s="368"/>
      <c r="HU30" s="361">
        <f t="shared" si="22"/>
        <v>26</v>
      </c>
    </row>
    <row r="31" spans="1:231" x14ac:dyDescent="0.25">
      <c r="A31" s="2">
        <v>10</v>
      </c>
      <c r="B31" s="474"/>
      <c r="C31" s="23" t="s">
        <v>10</v>
      </c>
      <c r="D31" s="29" t="s">
        <v>19</v>
      </c>
      <c r="E31" s="82"/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24">
        <f t="shared" si="21"/>
        <v>0</v>
      </c>
      <c r="N31" s="239"/>
      <c r="O31" s="73">
        <v>0</v>
      </c>
      <c r="P31" s="13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</v>
      </c>
      <c r="X31" s="101">
        <v>0</v>
      </c>
      <c r="Y31" s="101">
        <v>0</v>
      </c>
      <c r="Z31" s="101">
        <v>0</v>
      </c>
      <c r="AA31" s="101">
        <v>0</v>
      </c>
      <c r="AB31" s="101">
        <v>0</v>
      </c>
      <c r="AC31" s="101">
        <v>0</v>
      </c>
      <c r="AD31" s="101">
        <v>0</v>
      </c>
      <c r="AE31" s="101">
        <v>0</v>
      </c>
      <c r="AF31" s="101">
        <v>0</v>
      </c>
      <c r="AG31" s="101">
        <v>0</v>
      </c>
      <c r="AH31" s="101">
        <v>0</v>
      </c>
      <c r="AI31" s="101">
        <v>0</v>
      </c>
      <c r="AJ31" s="101">
        <v>0</v>
      </c>
      <c r="AK31" s="101">
        <v>0</v>
      </c>
      <c r="AL31" s="101">
        <v>0</v>
      </c>
      <c r="AM31" s="101">
        <v>0</v>
      </c>
      <c r="AN31" s="101">
        <v>0</v>
      </c>
      <c r="AO31" s="101">
        <v>0</v>
      </c>
      <c r="AP31" s="101">
        <v>0</v>
      </c>
      <c r="AQ31" s="162"/>
      <c r="AR31" s="73">
        <v>0</v>
      </c>
      <c r="AS31" s="13">
        <v>0</v>
      </c>
      <c r="AT31" s="101">
        <v>0</v>
      </c>
      <c r="AU31" s="101">
        <v>0</v>
      </c>
      <c r="AV31" s="101">
        <v>0</v>
      </c>
      <c r="AW31" s="101">
        <v>0</v>
      </c>
      <c r="AX31" s="101">
        <v>0</v>
      </c>
      <c r="AY31" s="101">
        <v>0</v>
      </c>
      <c r="AZ31" s="101">
        <v>0</v>
      </c>
      <c r="BA31" s="101">
        <v>0</v>
      </c>
      <c r="BB31" s="101">
        <v>0</v>
      </c>
      <c r="BC31" s="101">
        <v>0</v>
      </c>
      <c r="BD31" s="101">
        <v>0</v>
      </c>
      <c r="BE31" s="101">
        <v>0</v>
      </c>
      <c r="BF31" s="101">
        <v>0</v>
      </c>
      <c r="BG31" s="101">
        <v>0</v>
      </c>
      <c r="BH31" s="101">
        <v>0</v>
      </c>
      <c r="BI31" s="101">
        <v>0</v>
      </c>
      <c r="BJ31" s="101">
        <v>0</v>
      </c>
      <c r="BK31" s="101">
        <v>0</v>
      </c>
      <c r="BL31" s="101">
        <v>0</v>
      </c>
      <c r="BM31" s="101">
        <v>0</v>
      </c>
      <c r="BN31" s="101">
        <v>0</v>
      </c>
      <c r="BO31" s="101">
        <v>0</v>
      </c>
      <c r="BP31" s="101">
        <v>0</v>
      </c>
      <c r="BQ31" s="101">
        <v>0</v>
      </c>
      <c r="BR31" s="101">
        <v>0</v>
      </c>
      <c r="BS31" s="13">
        <v>0</v>
      </c>
      <c r="BT31" s="13">
        <v>0</v>
      </c>
      <c r="BU31" s="13">
        <v>0</v>
      </c>
      <c r="BV31" s="13">
        <v>0</v>
      </c>
      <c r="BW31" s="162"/>
      <c r="BX31" s="88">
        <v>0</v>
      </c>
      <c r="BY31" s="13">
        <v>0</v>
      </c>
      <c r="BZ31" s="101">
        <v>0</v>
      </c>
      <c r="CA31" s="101">
        <v>0</v>
      </c>
      <c r="CB31" s="101">
        <v>0</v>
      </c>
      <c r="CC31" s="101">
        <v>0</v>
      </c>
      <c r="CD31" s="101">
        <v>0</v>
      </c>
      <c r="CE31" s="101">
        <v>0</v>
      </c>
      <c r="CF31" s="101">
        <v>0</v>
      </c>
      <c r="CG31" s="101">
        <v>0</v>
      </c>
      <c r="CH31" s="101">
        <v>0</v>
      </c>
      <c r="CI31" s="101">
        <v>0</v>
      </c>
      <c r="CJ31" s="101">
        <v>0</v>
      </c>
      <c r="CK31" s="101">
        <v>0</v>
      </c>
      <c r="CL31" s="101">
        <v>0</v>
      </c>
      <c r="CM31" s="101">
        <v>0</v>
      </c>
      <c r="CN31" s="269">
        <v>0</v>
      </c>
      <c r="CO31" s="269">
        <v>0</v>
      </c>
      <c r="CP31" s="269">
        <v>0</v>
      </c>
      <c r="CQ31" s="269">
        <v>0</v>
      </c>
      <c r="CR31" s="269">
        <v>0</v>
      </c>
      <c r="CS31" s="269">
        <v>0</v>
      </c>
      <c r="CT31" s="269">
        <v>0</v>
      </c>
      <c r="CU31" s="269">
        <v>0</v>
      </c>
      <c r="CV31" s="269">
        <v>0</v>
      </c>
      <c r="CW31" s="269">
        <v>0</v>
      </c>
      <c r="CX31" s="269">
        <v>0</v>
      </c>
      <c r="CY31" s="265">
        <v>0</v>
      </c>
      <c r="CZ31" s="265">
        <v>0</v>
      </c>
      <c r="DA31" s="101">
        <v>0</v>
      </c>
      <c r="DB31" s="73">
        <v>0</v>
      </c>
      <c r="DC31" s="13">
        <v>0</v>
      </c>
      <c r="DD31" s="13">
        <v>0</v>
      </c>
      <c r="DE31" s="13">
        <v>0</v>
      </c>
      <c r="DF31" s="101">
        <v>0</v>
      </c>
      <c r="DG31" s="13">
        <v>0</v>
      </c>
      <c r="DH31" s="269">
        <v>0</v>
      </c>
      <c r="DI31" s="269">
        <v>0</v>
      </c>
      <c r="DJ31" s="269">
        <v>0</v>
      </c>
      <c r="DK31" s="265">
        <v>0</v>
      </c>
      <c r="DL31" s="269">
        <v>0</v>
      </c>
      <c r="DM31" s="269">
        <v>0</v>
      </c>
      <c r="DN31" s="269">
        <v>0</v>
      </c>
      <c r="DO31" s="269">
        <v>0</v>
      </c>
      <c r="DP31" s="269">
        <v>0</v>
      </c>
      <c r="DQ31" s="269">
        <v>0</v>
      </c>
      <c r="DR31" s="269">
        <v>0</v>
      </c>
      <c r="DS31" s="269">
        <v>0</v>
      </c>
      <c r="DT31" s="269">
        <v>0</v>
      </c>
      <c r="DU31" s="269">
        <v>0</v>
      </c>
      <c r="DV31" s="269">
        <v>0</v>
      </c>
      <c r="DW31" s="269">
        <v>0</v>
      </c>
      <c r="DX31" s="269">
        <v>0</v>
      </c>
      <c r="DY31" s="269">
        <v>0</v>
      </c>
      <c r="DZ31" s="269">
        <v>0</v>
      </c>
      <c r="EA31" s="269">
        <v>0</v>
      </c>
      <c r="EB31" s="269">
        <v>0</v>
      </c>
      <c r="EC31" s="269">
        <v>0</v>
      </c>
      <c r="ED31" s="269">
        <v>0</v>
      </c>
      <c r="EE31" s="269">
        <v>0</v>
      </c>
      <c r="EF31" s="269">
        <v>0</v>
      </c>
      <c r="EG31" s="278">
        <v>0</v>
      </c>
      <c r="EH31" s="269">
        <v>0</v>
      </c>
      <c r="EI31" s="265">
        <v>0</v>
      </c>
      <c r="EJ31" s="265">
        <v>0</v>
      </c>
      <c r="EK31" s="265">
        <v>0</v>
      </c>
      <c r="EL31" s="265">
        <v>0</v>
      </c>
      <c r="EM31" s="265">
        <v>0</v>
      </c>
      <c r="EN31" s="265">
        <v>0</v>
      </c>
      <c r="EO31" s="265">
        <v>0</v>
      </c>
      <c r="EP31" s="265">
        <v>0</v>
      </c>
      <c r="EQ31" s="265">
        <v>0</v>
      </c>
      <c r="ER31" s="265">
        <v>0</v>
      </c>
      <c r="ES31" s="265">
        <v>0</v>
      </c>
      <c r="ET31" s="265">
        <v>0</v>
      </c>
      <c r="EU31" s="265">
        <v>0</v>
      </c>
      <c r="EV31" s="265">
        <v>0</v>
      </c>
      <c r="EW31" s="265">
        <v>0</v>
      </c>
      <c r="EX31" s="265">
        <v>0</v>
      </c>
      <c r="EY31" s="265">
        <v>0</v>
      </c>
      <c r="EZ31" s="265">
        <v>0</v>
      </c>
      <c r="FA31" s="265">
        <v>0</v>
      </c>
      <c r="FB31" s="265">
        <v>0</v>
      </c>
      <c r="FC31" s="265">
        <v>0</v>
      </c>
      <c r="FD31" s="265">
        <v>0</v>
      </c>
      <c r="FE31" s="265">
        <v>0</v>
      </c>
      <c r="FF31" s="265">
        <v>0</v>
      </c>
      <c r="FG31" s="265">
        <v>0</v>
      </c>
      <c r="FH31" s="265">
        <v>0</v>
      </c>
      <c r="FI31" s="265">
        <v>0</v>
      </c>
      <c r="FJ31" s="269">
        <v>0</v>
      </c>
      <c r="FK31" s="278">
        <v>0</v>
      </c>
      <c r="FL31" s="265">
        <v>0</v>
      </c>
      <c r="FM31" s="265">
        <v>0</v>
      </c>
      <c r="FN31" s="265">
        <v>0</v>
      </c>
      <c r="FO31" s="265">
        <v>0</v>
      </c>
      <c r="FP31" s="265">
        <v>0</v>
      </c>
      <c r="FQ31" s="265">
        <v>0</v>
      </c>
      <c r="FR31" s="265">
        <v>0</v>
      </c>
      <c r="FS31" s="265">
        <v>0</v>
      </c>
      <c r="FT31" s="265">
        <v>0</v>
      </c>
      <c r="FU31" s="265">
        <v>0</v>
      </c>
      <c r="FV31" s="265">
        <v>0</v>
      </c>
      <c r="FW31" s="265">
        <v>0</v>
      </c>
      <c r="FX31" s="265">
        <v>0</v>
      </c>
      <c r="FY31" s="265">
        <v>0</v>
      </c>
      <c r="FZ31" s="265">
        <v>0</v>
      </c>
      <c r="GA31" s="265">
        <v>0</v>
      </c>
      <c r="GB31" s="265">
        <v>0</v>
      </c>
      <c r="GC31" s="265">
        <v>0</v>
      </c>
      <c r="GD31" s="265">
        <v>0</v>
      </c>
      <c r="GE31" s="272">
        <v>9.5</v>
      </c>
      <c r="GF31" s="265">
        <v>0</v>
      </c>
      <c r="GG31" s="265">
        <v>0</v>
      </c>
      <c r="GH31" s="265">
        <v>0</v>
      </c>
      <c r="GI31" s="265">
        <v>0</v>
      </c>
      <c r="GJ31" s="265">
        <v>0</v>
      </c>
      <c r="GK31" s="265">
        <v>0</v>
      </c>
      <c r="GL31" s="265">
        <v>0</v>
      </c>
      <c r="GM31" s="265">
        <v>0</v>
      </c>
      <c r="GN31" s="265">
        <v>0</v>
      </c>
      <c r="GO31" s="269">
        <v>0</v>
      </c>
      <c r="GP31" s="278">
        <v>0</v>
      </c>
      <c r="GQ31" s="265">
        <v>0</v>
      </c>
      <c r="GR31" s="265">
        <v>0</v>
      </c>
      <c r="GS31" s="265">
        <v>0</v>
      </c>
      <c r="GT31" s="265">
        <v>0</v>
      </c>
      <c r="GU31" s="265">
        <v>0</v>
      </c>
      <c r="GV31" s="265">
        <v>0</v>
      </c>
      <c r="GW31" s="265">
        <v>0</v>
      </c>
      <c r="GX31" s="265">
        <v>0</v>
      </c>
      <c r="GY31" s="265">
        <v>0</v>
      </c>
      <c r="GZ31" s="265">
        <v>0</v>
      </c>
      <c r="HA31" s="265">
        <v>0</v>
      </c>
      <c r="HB31" s="265">
        <v>0</v>
      </c>
      <c r="HC31" s="265">
        <v>0</v>
      </c>
      <c r="HD31" s="265">
        <v>0</v>
      </c>
      <c r="HE31" s="265">
        <v>0</v>
      </c>
      <c r="HF31" s="265">
        <v>0</v>
      </c>
      <c r="HG31" s="265">
        <v>0</v>
      </c>
      <c r="HH31" s="265">
        <v>0</v>
      </c>
      <c r="HI31" s="265"/>
      <c r="HJ31" s="265"/>
      <c r="HK31" s="265"/>
      <c r="HL31" s="265"/>
      <c r="HM31" s="265"/>
      <c r="HN31" s="265"/>
      <c r="HO31" s="265"/>
      <c r="HP31" s="265"/>
      <c r="HQ31" s="265"/>
      <c r="HR31" s="265"/>
      <c r="HS31" s="265"/>
      <c r="HT31" s="368"/>
      <c r="HU31" s="361">
        <f t="shared" si="22"/>
        <v>9.5</v>
      </c>
    </row>
    <row r="32" spans="1:231" ht="15.75" thickBot="1" x14ac:dyDescent="0.3">
      <c r="A32" s="2">
        <v>11</v>
      </c>
      <c r="B32" s="496"/>
      <c r="C32" s="23" t="s">
        <v>11</v>
      </c>
      <c r="D32" s="29" t="s">
        <v>19</v>
      </c>
      <c r="E32" s="82"/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24">
        <f t="shared" si="21"/>
        <v>0</v>
      </c>
      <c r="N32" s="239"/>
      <c r="O32" s="73">
        <v>0</v>
      </c>
      <c r="P32" s="13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0</v>
      </c>
      <c r="Z32" s="101">
        <v>0</v>
      </c>
      <c r="AA32" s="101">
        <v>0</v>
      </c>
      <c r="AB32" s="101">
        <v>0</v>
      </c>
      <c r="AC32" s="101">
        <v>0</v>
      </c>
      <c r="AD32" s="101">
        <v>0</v>
      </c>
      <c r="AE32" s="101">
        <v>0</v>
      </c>
      <c r="AF32" s="101">
        <v>0</v>
      </c>
      <c r="AG32" s="101">
        <v>0</v>
      </c>
      <c r="AH32" s="101">
        <v>0</v>
      </c>
      <c r="AI32" s="101">
        <v>0</v>
      </c>
      <c r="AJ32" s="101">
        <v>0</v>
      </c>
      <c r="AK32" s="101">
        <v>0</v>
      </c>
      <c r="AL32" s="101">
        <v>0</v>
      </c>
      <c r="AM32" s="101">
        <v>0</v>
      </c>
      <c r="AN32" s="101">
        <v>0</v>
      </c>
      <c r="AO32" s="101">
        <v>0</v>
      </c>
      <c r="AP32" s="101">
        <v>0</v>
      </c>
      <c r="AQ32" s="162"/>
      <c r="AR32" s="73">
        <v>0</v>
      </c>
      <c r="AS32" s="13">
        <v>0</v>
      </c>
      <c r="AT32" s="101">
        <v>0</v>
      </c>
      <c r="AU32" s="101">
        <v>0</v>
      </c>
      <c r="AV32" s="101">
        <v>0</v>
      </c>
      <c r="AW32" s="101">
        <v>0</v>
      </c>
      <c r="AX32" s="101">
        <v>0</v>
      </c>
      <c r="AY32" s="101">
        <v>0</v>
      </c>
      <c r="AZ32" s="101">
        <v>0</v>
      </c>
      <c r="BA32" s="101">
        <v>0</v>
      </c>
      <c r="BB32" s="101">
        <v>0</v>
      </c>
      <c r="BC32" s="101">
        <v>0</v>
      </c>
      <c r="BD32" s="101">
        <v>0</v>
      </c>
      <c r="BE32" s="101">
        <v>0</v>
      </c>
      <c r="BF32" s="101">
        <v>0</v>
      </c>
      <c r="BG32" s="101">
        <v>0</v>
      </c>
      <c r="BH32" s="101">
        <v>0</v>
      </c>
      <c r="BI32" s="101">
        <v>0</v>
      </c>
      <c r="BJ32" s="101">
        <v>0</v>
      </c>
      <c r="BK32" s="101">
        <v>0</v>
      </c>
      <c r="BL32" s="101">
        <v>0</v>
      </c>
      <c r="BM32" s="101">
        <v>0</v>
      </c>
      <c r="BN32" s="101">
        <v>0</v>
      </c>
      <c r="BO32" s="101">
        <v>0</v>
      </c>
      <c r="BP32" s="101">
        <v>0</v>
      </c>
      <c r="BQ32" s="101">
        <v>0</v>
      </c>
      <c r="BR32" s="101">
        <v>0</v>
      </c>
      <c r="BS32" s="13">
        <v>0</v>
      </c>
      <c r="BT32" s="13">
        <v>0</v>
      </c>
      <c r="BU32" s="13">
        <v>0</v>
      </c>
      <c r="BV32" s="13">
        <v>0</v>
      </c>
      <c r="BW32" s="162"/>
      <c r="BX32" s="88">
        <v>0</v>
      </c>
      <c r="BY32" s="13">
        <v>0</v>
      </c>
      <c r="BZ32" s="101">
        <v>0</v>
      </c>
      <c r="CA32" s="101">
        <v>0</v>
      </c>
      <c r="CB32" s="101">
        <v>0</v>
      </c>
      <c r="CC32" s="101">
        <v>0</v>
      </c>
      <c r="CD32" s="101">
        <v>0</v>
      </c>
      <c r="CE32" s="101">
        <v>0</v>
      </c>
      <c r="CF32" s="101">
        <v>0</v>
      </c>
      <c r="CG32" s="101">
        <v>0</v>
      </c>
      <c r="CH32" s="101">
        <v>0</v>
      </c>
      <c r="CI32" s="101">
        <v>0</v>
      </c>
      <c r="CJ32" s="101">
        <v>0</v>
      </c>
      <c r="CK32" s="101">
        <v>0</v>
      </c>
      <c r="CL32" s="101">
        <v>0</v>
      </c>
      <c r="CM32" s="101">
        <v>0</v>
      </c>
      <c r="CN32" s="269">
        <v>0</v>
      </c>
      <c r="CO32" s="269">
        <v>0</v>
      </c>
      <c r="CP32" s="269">
        <v>0</v>
      </c>
      <c r="CQ32" s="269">
        <v>0</v>
      </c>
      <c r="CR32" s="269">
        <v>0</v>
      </c>
      <c r="CS32" s="269">
        <v>0</v>
      </c>
      <c r="CT32" s="269">
        <v>0</v>
      </c>
      <c r="CU32" s="269">
        <v>0</v>
      </c>
      <c r="CV32" s="269">
        <v>0</v>
      </c>
      <c r="CW32" s="269">
        <v>0</v>
      </c>
      <c r="CX32" s="269">
        <v>0</v>
      </c>
      <c r="CY32" s="265">
        <v>0</v>
      </c>
      <c r="CZ32" s="265">
        <v>0</v>
      </c>
      <c r="DA32" s="101">
        <v>0</v>
      </c>
      <c r="DB32" s="197">
        <v>0</v>
      </c>
      <c r="DC32" s="198">
        <v>0</v>
      </c>
      <c r="DD32" s="198">
        <v>0</v>
      </c>
      <c r="DE32" s="198">
        <v>0</v>
      </c>
      <c r="DF32" s="199">
        <v>0</v>
      </c>
      <c r="DG32" s="198">
        <v>0</v>
      </c>
      <c r="DH32" s="331">
        <v>0</v>
      </c>
      <c r="DI32" s="331">
        <v>0</v>
      </c>
      <c r="DJ32" s="331">
        <v>0</v>
      </c>
      <c r="DK32" s="311">
        <v>0</v>
      </c>
      <c r="DL32" s="331">
        <v>0</v>
      </c>
      <c r="DM32" s="331">
        <v>0</v>
      </c>
      <c r="DN32" s="331">
        <v>0</v>
      </c>
      <c r="DO32" s="331">
        <v>0</v>
      </c>
      <c r="DP32" s="331">
        <v>0</v>
      </c>
      <c r="DQ32" s="331">
        <v>0</v>
      </c>
      <c r="DR32" s="331">
        <v>0</v>
      </c>
      <c r="DS32" s="331">
        <v>0</v>
      </c>
      <c r="DT32" s="331">
        <v>0</v>
      </c>
      <c r="DU32" s="331">
        <v>0</v>
      </c>
      <c r="DV32" s="331">
        <v>0</v>
      </c>
      <c r="DW32" s="331">
        <v>0</v>
      </c>
      <c r="DX32" s="331">
        <v>0</v>
      </c>
      <c r="DY32" s="331">
        <v>0</v>
      </c>
      <c r="DZ32" s="331">
        <v>0</v>
      </c>
      <c r="EA32" s="331">
        <v>0</v>
      </c>
      <c r="EB32" s="331">
        <v>0</v>
      </c>
      <c r="EC32" s="331">
        <v>0</v>
      </c>
      <c r="ED32" s="331">
        <v>0</v>
      </c>
      <c r="EE32" s="331">
        <v>0</v>
      </c>
      <c r="EF32" s="331">
        <v>0</v>
      </c>
      <c r="EG32" s="328">
        <v>0</v>
      </c>
      <c r="EH32" s="331">
        <v>0</v>
      </c>
      <c r="EI32" s="311">
        <v>0</v>
      </c>
      <c r="EJ32" s="311">
        <v>0</v>
      </c>
      <c r="EK32" s="311">
        <v>0</v>
      </c>
      <c r="EL32" s="311">
        <v>0</v>
      </c>
      <c r="EM32" s="311">
        <v>0</v>
      </c>
      <c r="EN32" s="311">
        <v>0</v>
      </c>
      <c r="EO32" s="311">
        <v>0</v>
      </c>
      <c r="EP32" s="311">
        <v>0</v>
      </c>
      <c r="EQ32" s="311">
        <v>0</v>
      </c>
      <c r="ER32" s="311">
        <v>0</v>
      </c>
      <c r="ES32" s="311">
        <v>0</v>
      </c>
      <c r="ET32" s="311">
        <v>0</v>
      </c>
      <c r="EU32" s="311">
        <v>0</v>
      </c>
      <c r="EV32" s="311">
        <v>0</v>
      </c>
      <c r="EW32" s="311">
        <v>0</v>
      </c>
      <c r="EX32" s="311">
        <v>0</v>
      </c>
      <c r="EY32" s="311">
        <v>0</v>
      </c>
      <c r="EZ32" s="311">
        <v>0</v>
      </c>
      <c r="FA32" s="311">
        <v>0</v>
      </c>
      <c r="FB32" s="311">
        <v>0</v>
      </c>
      <c r="FC32" s="311">
        <v>0</v>
      </c>
      <c r="FD32" s="311">
        <v>0</v>
      </c>
      <c r="FE32" s="311">
        <v>0</v>
      </c>
      <c r="FF32" s="311">
        <v>0</v>
      </c>
      <c r="FG32" s="311">
        <v>0</v>
      </c>
      <c r="FH32" s="311">
        <v>0</v>
      </c>
      <c r="FI32" s="311">
        <v>0</v>
      </c>
      <c r="FJ32" s="331">
        <v>0</v>
      </c>
      <c r="FK32" s="328">
        <v>0</v>
      </c>
      <c r="FL32" s="311">
        <v>0</v>
      </c>
      <c r="FM32" s="311">
        <v>0</v>
      </c>
      <c r="FN32" s="311">
        <v>0</v>
      </c>
      <c r="FO32" s="311">
        <v>0</v>
      </c>
      <c r="FP32" s="311">
        <v>0</v>
      </c>
      <c r="FQ32" s="311">
        <v>0</v>
      </c>
      <c r="FR32" s="311">
        <v>0</v>
      </c>
      <c r="FS32" s="311">
        <v>0</v>
      </c>
      <c r="FT32" s="311">
        <v>0</v>
      </c>
      <c r="FU32" s="311">
        <v>0</v>
      </c>
      <c r="FV32" s="311">
        <v>0</v>
      </c>
      <c r="FW32" s="311">
        <v>0</v>
      </c>
      <c r="FX32" s="311">
        <v>0</v>
      </c>
      <c r="FY32" s="311">
        <v>0</v>
      </c>
      <c r="FZ32" s="311">
        <v>0</v>
      </c>
      <c r="GA32" s="311">
        <v>0</v>
      </c>
      <c r="GB32" s="311">
        <v>0</v>
      </c>
      <c r="GC32" s="311">
        <v>0</v>
      </c>
      <c r="GD32" s="311">
        <v>0</v>
      </c>
      <c r="GE32" s="311">
        <v>0</v>
      </c>
      <c r="GF32" s="311">
        <v>0</v>
      </c>
      <c r="GG32" s="311">
        <v>0</v>
      </c>
      <c r="GH32" s="311">
        <v>0</v>
      </c>
      <c r="GI32" s="311">
        <v>0</v>
      </c>
      <c r="GJ32" s="311">
        <v>0</v>
      </c>
      <c r="GK32" s="311">
        <v>0</v>
      </c>
      <c r="GL32" s="311">
        <v>0</v>
      </c>
      <c r="GM32" s="311">
        <v>0</v>
      </c>
      <c r="GN32" s="311">
        <v>0</v>
      </c>
      <c r="GO32" s="331">
        <v>0</v>
      </c>
      <c r="GP32" s="328">
        <v>0</v>
      </c>
      <c r="GQ32" s="311">
        <v>0</v>
      </c>
      <c r="GR32" s="311">
        <v>0</v>
      </c>
      <c r="GS32" s="311">
        <v>0</v>
      </c>
      <c r="GT32" s="311">
        <v>0</v>
      </c>
      <c r="GU32" s="311">
        <v>0</v>
      </c>
      <c r="GV32" s="311">
        <v>0</v>
      </c>
      <c r="GW32" s="311">
        <v>0</v>
      </c>
      <c r="GX32" s="311">
        <v>0</v>
      </c>
      <c r="GY32" s="311">
        <v>0</v>
      </c>
      <c r="GZ32" s="311">
        <v>0</v>
      </c>
      <c r="HA32" s="311">
        <v>0</v>
      </c>
      <c r="HB32" s="311">
        <v>0</v>
      </c>
      <c r="HC32" s="311">
        <v>0</v>
      </c>
      <c r="HD32" s="311">
        <v>0</v>
      </c>
      <c r="HE32" s="311">
        <v>0</v>
      </c>
      <c r="HF32" s="311">
        <v>0</v>
      </c>
      <c r="HG32" s="311">
        <v>0</v>
      </c>
      <c r="HH32" s="311">
        <v>0</v>
      </c>
      <c r="HI32" s="311"/>
      <c r="HJ32" s="311"/>
      <c r="HK32" s="311"/>
      <c r="HL32" s="311"/>
      <c r="HM32" s="311"/>
      <c r="HN32" s="311"/>
      <c r="HO32" s="311"/>
      <c r="HP32" s="311"/>
      <c r="HQ32" s="311"/>
      <c r="HR32" s="311"/>
      <c r="HS32" s="311"/>
      <c r="HT32" s="420"/>
      <c r="HU32" s="361">
        <f t="shared" si="22"/>
        <v>0</v>
      </c>
    </row>
    <row r="33" spans="1:229" s="7" customFormat="1" ht="24.75" customHeight="1" thickBot="1" x14ac:dyDescent="0.3">
      <c r="A33" s="15"/>
      <c r="B33" s="15"/>
      <c r="C33" s="24" t="s">
        <v>12</v>
      </c>
      <c r="D33" s="79" t="s">
        <v>19</v>
      </c>
      <c r="E33" s="83">
        <f t="shared" ref="E33:L33" si="23">SUM(E22:E32)</f>
        <v>13</v>
      </c>
      <c r="F33" s="20">
        <f t="shared" si="23"/>
        <v>0</v>
      </c>
      <c r="G33" s="20">
        <f t="shared" si="23"/>
        <v>0</v>
      </c>
      <c r="H33" s="65">
        <f t="shared" si="23"/>
        <v>34.5</v>
      </c>
      <c r="I33" s="20">
        <f t="shared" si="23"/>
        <v>15</v>
      </c>
      <c r="J33" s="20">
        <f t="shared" si="23"/>
        <v>18.7</v>
      </c>
      <c r="K33" s="20">
        <f t="shared" si="23"/>
        <v>0</v>
      </c>
      <c r="L33" s="20">
        <f t="shared" si="23"/>
        <v>17</v>
      </c>
      <c r="M33" s="125">
        <f>SUM(M22:M32)</f>
        <v>98.2</v>
      </c>
      <c r="N33" s="192"/>
      <c r="O33" s="83">
        <f t="shared" ref="O33:AP33" si="24">SUM(O22:O32)</f>
        <v>0</v>
      </c>
      <c r="P33" s="20">
        <f t="shared" si="24"/>
        <v>0</v>
      </c>
      <c r="Q33" s="159">
        <f t="shared" si="24"/>
        <v>9.5</v>
      </c>
      <c r="R33" s="159">
        <f t="shared" si="24"/>
        <v>0</v>
      </c>
      <c r="S33" s="159">
        <f t="shared" si="24"/>
        <v>10</v>
      </c>
      <c r="T33" s="159">
        <f t="shared" si="24"/>
        <v>0</v>
      </c>
      <c r="U33" s="159">
        <f t="shared" si="24"/>
        <v>17.600000000000001</v>
      </c>
      <c r="V33" s="159">
        <f t="shared" si="24"/>
        <v>0</v>
      </c>
      <c r="W33" s="159">
        <f t="shared" si="24"/>
        <v>0</v>
      </c>
      <c r="X33" s="159">
        <f t="shared" si="24"/>
        <v>0</v>
      </c>
      <c r="Y33" s="159">
        <f t="shared" si="24"/>
        <v>27.8</v>
      </c>
      <c r="Z33" s="159">
        <f t="shared" si="24"/>
        <v>0</v>
      </c>
      <c r="AA33" s="159">
        <f t="shared" si="24"/>
        <v>0</v>
      </c>
      <c r="AB33" s="159">
        <f t="shared" si="24"/>
        <v>0</v>
      </c>
      <c r="AC33" s="159">
        <f t="shared" si="24"/>
        <v>0</v>
      </c>
      <c r="AD33" s="159">
        <f t="shared" si="24"/>
        <v>0</v>
      </c>
      <c r="AE33" s="159">
        <f t="shared" si="24"/>
        <v>0</v>
      </c>
      <c r="AF33" s="159">
        <f t="shared" si="24"/>
        <v>0</v>
      </c>
      <c r="AG33" s="159">
        <f t="shared" si="24"/>
        <v>19</v>
      </c>
      <c r="AH33" s="159">
        <f t="shared" si="24"/>
        <v>0</v>
      </c>
      <c r="AI33" s="159">
        <f t="shared" si="24"/>
        <v>0</v>
      </c>
      <c r="AJ33" s="159">
        <f t="shared" si="24"/>
        <v>0</v>
      </c>
      <c r="AK33" s="159">
        <f t="shared" si="24"/>
        <v>24</v>
      </c>
      <c r="AL33" s="159">
        <f t="shared" si="24"/>
        <v>25.5</v>
      </c>
      <c r="AM33" s="159">
        <f t="shared" si="24"/>
        <v>16.5</v>
      </c>
      <c r="AN33" s="159">
        <f t="shared" si="24"/>
        <v>21</v>
      </c>
      <c r="AO33" s="159">
        <f t="shared" si="24"/>
        <v>0</v>
      </c>
      <c r="AP33" s="159">
        <f t="shared" si="24"/>
        <v>16.5</v>
      </c>
      <c r="AQ33" s="177"/>
      <c r="AR33" s="83">
        <f t="shared" ref="AR33:AZ33" si="25">SUM(AR22:AR32)</f>
        <v>0</v>
      </c>
      <c r="AS33" s="20">
        <f t="shared" si="25"/>
        <v>0</v>
      </c>
      <c r="AT33" s="20">
        <f t="shared" si="25"/>
        <v>21</v>
      </c>
      <c r="AU33" s="159">
        <f t="shared" si="25"/>
        <v>0</v>
      </c>
      <c r="AV33" s="159">
        <f t="shared" si="25"/>
        <v>6</v>
      </c>
      <c r="AW33" s="159">
        <f t="shared" si="25"/>
        <v>0</v>
      </c>
      <c r="AX33" s="159">
        <f t="shared" si="25"/>
        <v>20</v>
      </c>
      <c r="AY33" s="159">
        <f t="shared" si="25"/>
        <v>9.8000000000000007</v>
      </c>
      <c r="AZ33" s="159">
        <f t="shared" si="25"/>
        <v>0</v>
      </c>
      <c r="BA33" s="159">
        <f t="shared" ref="BA33:BF33" si="26">SUM(BA22:BA32)</f>
        <v>14</v>
      </c>
      <c r="BB33" s="159">
        <f t="shared" si="26"/>
        <v>0</v>
      </c>
      <c r="BC33" s="159">
        <f t="shared" si="26"/>
        <v>0</v>
      </c>
      <c r="BD33" s="159">
        <f t="shared" si="26"/>
        <v>0</v>
      </c>
      <c r="BE33" s="159">
        <f t="shared" si="26"/>
        <v>36</v>
      </c>
      <c r="BF33" s="159">
        <f t="shared" si="26"/>
        <v>16.399999999999999</v>
      </c>
      <c r="BG33" s="159">
        <f t="shared" ref="BG33:BV33" si="27">SUM(BG22:BG32)</f>
        <v>0</v>
      </c>
      <c r="BH33" s="159">
        <f t="shared" si="27"/>
        <v>0</v>
      </c>
      <c r="BI33" s="159">
        <f t="shared" si="27"/>
        <v>0</v>
      </c>
      <c r="BJ33" s="159">
        <f t="shared" si="27"/>
        <v>0</v>
      </c>
      <c r="BK33" s="159">
        <f t="shared" si="27"/>
        <v>0</v>
      </c>
      <c r="BL33" s="159">
        <f t="shared" si="27"/>
        <v>0</v>
      </c>
      <c r="BM33" s="159">
        <f t="shared" si="27"/>
        <v>0</v>
      </c>
      <c r="BN33" s="159">
        <f t="shared" si="27"/>
        <v>0</v>
      </c>
      <c r="BO33" s="159">
        <f t="shared" si="27"/>
        <v>0</v>
      </c>
      <c r="BP33" s="159">
        <f t="shared" si="27"/>
        <v>0</v>
      </c>
      <c r="BQ33" s="159">
        <f t="shared" si="27"/>
        <v>0</v>
      </c>
      <c r="BR33" s="159">
        <f t="shared" si="27"/>
        <v>0</v>
      </c>
      <c r="BS33" s="159">
        <f t="shared" si="27"/>
        <v>3.5</v>
      </c>
      <c r="BT33" s="159">
        <f t="shared" si="27"/>
        <v>8</v>
      </c>
      <c r="BU33" s="159">
        <f t="shared" si="27"/>
        <v>7</v>
      </c>
      <c r="BV33" s="159">
        <f t="shared" si="27"/>
        <v>16</v>
      </c>
      <c r="BW33" s="177"/>
      <c r="BX33" s="83">
        <f>SUM(BX22:BX32)</f>
        <v>15</v>
      </c>
      <c r="BY33" s="20">
        <f>SUM(BY22:BY32)</f>
        <v>37.4</v>
      </c>
      <c r="BZ33" s="20">
        <f>SUM(BZ22:BZ32)</f>
        <v>0</v>
      </c>
      <c r="CA33" s="159">
        <f t="shared" ref="CA33:CZ33" si="28">SUM(CA22:CA32)</f>
        <v>0</v>
      </c>
      <c r="CB33" s="159">
        <f t="shared" si="28"/>
        <v>50</v>
      </c>
      <c r="CC33" s="159">
        <v>0</v>
      </c>
      <c r="CD33" s="159">
        <f t="shared" si="28"/>
        <v>0</v>
      </c>
      <c r="CE33" s="159">
        <f t="shared" si="28"/>
        <v>0</v>
      </c>
      <c r="CF33" s="159">
        <f t="shared" si="28"/>
        <v>16.5</v>
      </c>
      <c r="CG33" s="159">
        <f t="shared" si="28"/>
        <v>0</v>
      </c>
      <c r="CH33" s="159">
        <f t="shared" si="28"/>
        <v>0</v>
      </c>
      <c r="CI33" s="159">
        <f t="shared" si="28"/>
        <v>91.1</v>
      </c>
      <c r="CJ33" s="159">
        <f t="shared" si="28"/>
        <v>24.1</v>
      </c>
      <c r="CK33" s="159">
        <v>0</v>
      </c>
      <c r="CL33" s="159">
        <f t="shared" si="28"/>
        <v>10</v>
      </c>
      <c r="CM33" s="159">
        <f t="shared" si="28"/>
        <v>58.9</v>
      </c>
      <c r="CN33" s="159">
        <v>0</v>
      </c>
      <c r="CO33" s="159">
        <f t="shared" si="28"/>
        <v>50</v>
      </c>
      <c r="CP33" s="159">
        <f t="shared" si="28"/>
        <v>60.900000000000006</v>
      </c>
      <c r="CQ33" s="159">
        <f t="shared" si="28"/>
        <v>0</v>
      </c>
      <c r="CR33" s="159">
        <f t="shared" si="28"/>
        <v>19.5</v>
      </c>
      <c r="CS33" s="159">
        <f t="shared" si="28"/>
        <v>25.8</v>
      </c>
      <c r="CT33" s="159">
        <f t="shared" si="28"/>
        <v>0</v>
      </c>
      <c r="CU33" s="159">
        <f t="shared" si="28"/>
        <v>0</v>
      </c>
      <c r="CV33" s="159">
        <f t="shared" si="28"/>
        <v>24</v>
      </c>
      <c r="CW33" s="159">
        <f t="shared" si="28"/>
        <v>48</v>
      </c>
      <c r="CX33" s="159">
        <f t="shared" si="28"/>
        <v>25</v>
      </c>
      <c r="CY33" s="159">
        <f t="shared" si="28"/>
        <v>0</v>
      </c>
      <c r="CZ33" s="159">
        <f t="shared" si="28"/>
        <v>50.6</v>
      </c>
      <c r="DA33" s="159">
        <f t="shared" ref="DA33:DE33" si="29">SUM(DA22:DA32)</f>
        <v>45</v>
      </c>
      <c r="DB33" s="320">
        <f t="shared" si="29"/>
        <v>0</v>
      </c>
      <c r="DC33" s="321">
        <f t="shared" si="29"/>
        <v>33.4</v>
      </c>
      <c r="DD33" s="321">
        <f t="shared" si="29"/>
        <v>0</v>
      </c>
      <c r="DE33" s="321">
        <f t="shared" si="29"/>
        <v>64.5</v>
      </c>
      <c r="DF33" s="322">
        <f t="shared" ref="DF33:DH33" si="30">SUM(DF22:DF32)</f>
        <v>0</v>
      </c>
      <c r="DG33" s="321">
        <f t="shared" si="30"/>
        <v>16</v>
      </c>
      <c r="DH33" s="322">
        <f t="shared" si="30"/>
        <v>20.100000000000001</v>
      </c>
      <c r="DI33" s="322">
        <f t="shared" ref="DI33:DK33" si="31">SUM(DI22:DI32)</f>
        <v>0</v>
      </c>
      <c r="DJ33" s="322">
        <f>SUM(DJ22:DJ32)</f>
        <v>31</v>
      </c>
      <c r="DK33" s="322">
        <f t="shared" si="31"/>
        <v>21</v>
      </c>
      <c r="DL33" s="322">
        <f t="shared" ref="DL33:DQ33" si="32">SUM(DL22:DL32)</f>
        <v>44.3</v>
      </c>
      <c r="DM33" s="322">
        <f t="shared" si="32"/>
        <v>12</v>
      </c>
      <c r="DN33" s="322">
        <f t="shared" si="32"/>
        <v>12.1</v>
      </c>
      <c r="DO33" s="322">
        <f t="shared" si="32"/>
        <v>45</v>
      </c>
      <c r="DP33" s="322">
        <f t="shared" si="32"/>
        <v>0</v>
      </c>
      <c r="DQ33" s="322">
        <f t="shared" si="32"/>
        <v>69.2</v>
      </c>
      <c r="DR33" s="322">
        <f t="shared" ref="DR33:DS33" si="33">SUM(DR22:DR32)</f>
        <v>10.8</v>
      </c>
      <c r="DS33" s="322">
        <f t="shared" si="33"/>
        <v>9</v>
      </c>
      <c r="DT33" s="321">
        <f>SUM(DT22:DT32)</f>
        <v>67.7</v>
      </c>
      <c r="DU33" s="322">
        <f t="shared" ref="DU33:DW33" si="34">SUM(DU22:DU32)</f>
        <v>13.2</v>
      </c>
      <c r="DV33" s="322">
        <f t="shared" si="34"/>
        <v>0</v>
      </c>
      <c r="DW33" s="322">
        <f t="shared" si="34"/>
        <v>0</v>
      </c>
      <c r="DX33" s="322">
        <f t="shared" ref="DX33:EF33" si="35">SUM(DX22:DX32)</f>
        <v>67.2</v>
      </c>
      <c r="DY33" s="322">
        <f t="shared" si="35"/>
        <v>63.4</v>
      </c>
      <c r="DZ33" s="321">
        <f t="shared" si="35"/>
        <v>23.2</v>
      </c>
      <c r="EA33" s="322">
        <f t="shared" si="35"/>
        <v>0</v>
      </c>
      <c r="EB33" s="322">
        <f t="shared" si="35"/>
        <v>0</v>
      </c>
      <c r="EC33" s="322">
        <f t="shared" si="35"/>
        <v>0</v>
      </c>
      <c r="ED33" s="322">
        <f t="shared" si="35"/>
        <v>0</v>
      </c>
      <c r="EE33" s="322">
        <f t="shared" si="35"/>
        <v>0</v>
      </c>
      <c r="EF33" s="322">
        <f t="shared" si="35"/>
        <v>28.6</v>
      </c>
      <c r="EG33" s="320">
        <f t="shared" ref="EG33" si="36">SUM(EG22:EG32)</f>
        <v>16</v>
      </c>
      <c r="EH33" s="322">
        <f>SUM(EH22:EH32)</f>
        <v>24.5</v>
      </c>
      <c r="EI33" s="322">
        <f>SUM(EI22:EI32)</f>
        <v>0</v>
      </c>
      <c r="EJ33" s="322">
        <f>SUM(EJ22:EJ32)</f>
        <v>29.200000000000003</v>
      </c>
      <c r="EK33" s="322">
        <f t="shared" ref="EK33:EL33" si="37">SUM(EK22:EK32)</f>
        <v>0</v>
      </c>
      <c r="EL33" s="322">
        <f t="shared" si="37"/>
        <v>19</v>
      </c>
      <c r="EM33" s="322">
        <f t="shared" ref="EM33:EP33" si="38">SUM(EM22:EM32)</f>
        <v>19.7</v>
      </c>
      <c r="EN33" s="322">
        <f t="shared" si="38"/>
        <v>28</v>
      </c>
      <c r="EO33" s="322">
        <f t="shared" si="38"/>
        <v>6</v>
      </c>
      <c r="EP33" s="322">
        <f t="shared" si="38"/>
        <v>0</v>
      </c>
      <c r="EQ33" s="321">
        <f>SUM(EQ22:EQ32)</f>
        <v>28</v>
      </c>
      <c r="ER33" s="322">
        <f t="shared" ref="ER33:ES33" si="39">SUM(ER22:ER32)</f>
        <v>0</v>
      </c>
      <c r="ES33" s="322">
        <f t="shared" si="39"/>
        <v>0</v>
      </c>
      <c r="ET33" s="322">
        <f t="shared" ref="ET33:EX33" si="40">SUM(ET22:ET32)</f>
        <v>0</v>
      </c>
      <c r="EU33" s="322">
        <f t="shared" si="40"/>
        <v>0</v>
      </c>
      <c r="EV33" s="322">
        <f t="shared" si="40"/>
        <v>49.1</v>
      </c>
      <c r="EW33" s="322">
        <f t="shared" si="40"/>
        <v>22.8</v>
      </c>
      <c r="EX33" s="321">
        <f t="shared" si="40"/>
        <v>27</v>
      </c>
      <c r="EY33" s="321">
        <f t="shared" ref="EY33:FB33" si="41">SUM(EY22:EY32)</f>
        <v>0</v>
      </c>
      <c r="EZ33" s="321">
        <f t="shared" si="41"/>
        <v>15</v>
      </c>
      <c r="FA33" s="321">
        <f t="shared" si="41"/>
        <v>0</v>
      </c>
      <c r="FB33" s="321">
        <f t="shared" si="41"/>
        <v>12</v>
      </c>
      <c r="FC33" s="321">
        <f t="shared" ref="FC33:FG33" si="42">SUM(FC22:FC32)</f>
        <v>2</v>
      </c>
      <c r="FD33" s="321">
        <f t="shared" si="42"/>
        <v>17.5</v>
      </c>
      <c r="FE33" s="321">
        <f t="shared" si="42"/>
        <v>9</v>
      </c>
      <c r="FF33" s="321">
        <f t="shared" si="42"/>
        <v>0</v>
      </c>
      <c r="FG33" s="321">
        <f t="shared" si="42"/>
        <v>43.8</v>
      </c>
      <c r="FH33" s="321">
        <f t="shared" ref="FH33:FN33" si="43">SUM(FH22:FH32)</f>
        <v>0</v>
      </c>
      <c r="FI33" s="321">
        <f t="shared" si="43"/>
        <v>0</v>
      </c>
      <c r="FJ33" s="322">
        <f t="shared" si="43"/>
        <v>20.8</v>
      </c>
      <c r="FK33" s="320">
        <f t="shared" si="43"/>
        <v>0</v>
      </c>
      <c r="FL33" s="321">
        <f t="shared" si="43"/>
        <v>15</v>
      </c>
      <c r="FM33" s="321">
        <f t="shared" si="43"/>
        <v>0</v>
      </c>
      <c r="FN33" s="321">
        <f t="shared" si="43"/>
        <v>9.5</v>
      </c>
      <c r="FO33" s="321">
        <f t="shared" ref="FO33:FP33" si="44">SUM(FO22:FO32)</f>
        <v>0</v>
      </c>
      <c r="FP33" s="321">
        <f t="shared" si="44"/>
        <v>0</v>
      </c>
      <c r="FQ33" s="321">
        <f t="shared" ref="FQ33:FR33" si="45">SUM(FQ22:FQ32)</f>
        <v>0</v>
      </c>
      <c r="FR33" s="321">
        <f t="shared" si="45"/>
        <v>20</v>
      </c>
      <c r="FS33" s="321">
        <f t="shared" ref="FS33:FU33" si="46">SUM(FS22:FS32)</f>
        <v>0</v>
      </c>
      <c r="FT33" s="321">
        <f t="shared" si="46"/>
        <v>0</v>
      </c>
      <c r="FU33" s="321">
        <f t="shared" si="46"/>
        <v>0</v>
      </c>
      <c r="FV33" s="321">
        <f t="shared" ref="FV33:GA33" si="47">SUM(FV22:FV32)</f>
        <v>0</v>
      </c>
      <c r="FW33" s="321">
        <f t="shared" si="47"/>
        <v>0</v>
      </c>
      <c r="FX33" s="321">
        <f t="shared" si="47"/>
        <v>17.5</v>
      </c>
      <c r="FY33" s="321">
        <f t="shared" si="47"/>
        <v>0</v>
      </c>
      <c r="FZ33" s="321">
        <f t="shared" si="47"/>
        <v>0</v>
      </c>
      <c r="GA33" s="321">
        <f t="shared" si="47"/>
        <v>9.5</v>
      </c>
      <c r="GB33" s="321">
        <f t="shared" ref="GB33:GC33" si="48">SUM(GB22:GB32)</f>
        <v>0</v>
      </c>
      <c r="GC33" s="321">
        <f t="shared" si="48"/>
        <v>0</v>
      </c>
      <c r="GD33" s="321">
        <f t="shared" ref="GD33:GE33" si="49">SUM(GD22:GD32)</f>
        <v>0</v>
      </c>
      <c r="GE33" s="321">
        <f t="shared" si="49"/>
        <v>9.5</v>
      </c>
      <c r="GF33" s="321">
        <f t="shared" ref="GF33:GH33" si="50">SUM(GF22:GF32)</f>
        <v>15.5</v>
      </c>
      <c r="GG33" s="321">
        <f t="shared" si="50"/>
        <v>11</v>
      </c>
      <c r="GH33" s="321">
        <f t="shared" si="50"/>
        <v>0</v>
      </c>
      <c r="GI33" s="321">
        <f t="shared" ref="GI33:GP33" si="51">SUM(GI22:GI32)</f>
        <v>0</v>
      </c>
      <c r="GJ33" s="321">
        <f t="shared" si="51"/>
        <v>0</v>
      </c>
      <c r="GK33" s="321">
        <f t="shared" si="51"/>
        <v>0</v>
      </c>
      <c r="GL33" s="321">
        <f t="shared" si="51"/>
        <v>0</v>
      </c>
      <c r="GM33" s="321">
        <f t="shared" si="51"/>
        <v>0</v>
      </c>
      <c r="GN33" s="321">
        <f t="shared" si="51"/>
        <v>0</v>
      </c>
      <c r="GO33" s="322">
        <f t="shared" si="51"/>
        <v>0</v>
      </c>
      <c r="GP33" s="280">
        <f t="shared" si="51"/>
        <v>0</v>
      </c>
      <c r="GQ33" s="263">
        <f t="shared" ref="GQ33:GW33" si="52">SUM(GQ22:GQ32)</f>
        <v>20.399999999999999</v>
      </c>
      <c r="GR33" s="263">
        <f t="shared" si="52"/>
        <v>0</v>
      </c>
      <c r="GS33" s="321">
        <f t="shared" si="52"/>
        <v>0</v>
      </c>
      <c r="GT33" s="321">
        <f t="shared" si="52"/>
        <v>0</v>
      </c>
      <c r="GU33" s="321">
        <f t="shared" si="52"/>
        <v>2.8</v>
      </c>
      <c r="GV33" s="321">
        <f t="shared" si="52"/>
        <v>0</v>
      </c>
      <c r="GW33" s="321">
        <f t="shared" si="52"/>
        <v>2.5</v>
      </c>
      <c r="GX33" s="321">
        <f t="shared" ref="GX33:GZ33" si="53">SUM(GX22:GX32)</f>
        <v>0</v>
      </c>
      <c r="GY33" s="321">
        <f t="shared" si="53"/>
        <v>0</v>
      </c>
      <c r="GZ33" s="321">
        <f t="shared" si="53"/>
        <v>26</v>
      </c>
      <c r="HA33" s="321">
        <f t="shared" ref="HA33:HB33" si="54">SUM(HA22:HA32)</f>
        <v>0</v>
      </c>
      <c r="HB33" s="321">
        <f t="shared" si="54"/>
        <v>0</v>
      </c>
      <c r="HC33" s="321">
        <f t="shared" ref="HC33:HE33" si="55">SUM(HC22:HC32)</f>
        <v>0</v>
      </c>
      <c r="HD33" s="321">
        <f t="shared" si="55"/>
        <v>0</v>
      </c>
      <c r="HE33" s="321">
        <f t="shared" si="55"/>
        <v>0</v>
      </c>
      <c r="HF33" s="321">
        <f t="shared" ref="HF33:HG33" si="56">SUM(HF22:HF32)</f>
        <v>0</v>
      </c>
      <c r="HG33" s="321">
        <f t="shared" si="56"/>
        <v>0</v>
      </c>
      <c r="HH33" s="321">
        <f t="shared" ref="HH33" si="57">SUM(HH22:HH32)</f>
        <v>0</v>
      </c>
      <c r="HI33" s="263"/>
      <c r="HJ33" s="263"/>
      <c r="HK33" s="263"/>
      <c r="HL33" s="263"/>
      <c r="HM33" s="263"/>
      <c r="HN33" s="263"/>
      <c r="HO33" s="263"/>
      <c r="HP33" s="263"/>
      <c r="HQ33" s="263"/>
      <c r="HR33" s="263"/>
      <c r="HS33" s="263"/>
      <c r="HT33" s="432"/>
      <c r="HU33" s="362">
        <f>SUM(HU22:HU32)</f>
        <v>2197.1999999999998</v>
      </c>
    </row>
    <row r="34" spans="1:229" ht="15.75" thickBot="1" x14ac:dyDescent="0.3">
      <c r="A34" s="188"/>
      <c r="B34" s="121"/>
      <c r="N34" s="146"/>
      <c r="O34" s="21"/>
      <c r="AQ34" s="170"/>
      <c r="AR34" s="21"/>
      <c r="BW34" s="170"/>
      <c r="BX34" s="21"/>
      <c r="DB34" s="315"/>
      <c r="DC34" s="316"/>
      <c r="DD34" s="316"/>
      <c r="DE34" s="316"/>
      <c r="DF34" s="316"/>
      <c r="DG34" s="317"/>
      <c r="EG34" s="21"/>
      <c r="EI34" s="275"/>
      <c r="EJ34" s="275"/>
      <c r="EK34" s="275"/>
      <c r="EL34" s="275"/>
      <c r="EM34" s="275"/>
      <c r="EN34" s="275"/>
      <c r="EO34" s="275"/>
      <c r="EP34" s="275"/>
      <c r="EQ34" s="275"/>
      <c r="ER34" s="275"/>
      <c r="ES34" s="275"/>
      <c r="ET34" s="275"/>
      <c r="EU34" s="275"/>
      <c r="EV34" s="275"/>
      <c r="EW34" s="275"/>
      <c r="EX34" s="275"/>
      <c r="EY34" s="275"/>
      <c r="EZ34" s="275"/>
      <c r="FA34" s="275"/>
      <c r="FB34" s="275"/>
      <c r="FC34" s="275"/>
      <c r="FD34" s="275"/>
      <c r="FE34" s="275"/>
      <c r="FF34" s="275"/>
      <c r="FG34" s="275"/>
      <c r="FH34" s="275"/>
      <c r="FI34" s="275"/>
      <c r="FJ34" s="275"/>
      <c r="FK34" s="21"/>
      <c r="FL34" s="275"/>
      <c r="FM34" s="275"/>
      <c r="FN34" s="275"/>
      <c r="FO34" s="275"/>
      <c r="FP34" s="275"/>
      <c r="FQ34" s="275"/>
      <c r="FR34" s="275"/>
      <c r="FS34" s="275"/>
      <c r="FT34" s="275"/>
      <c r="FU34" s="275"/>
      <c r="FV34" s="275"/>
      <c r="FW34" s="275"/>
      <c r="FX34" s="275"/>
      <c r="FY34" s="275"/>
      <c r="FZ34" s="275"/>
      <c r="GA34" s="275"/>
      <c r="GB34" s="275"/>
      <c r="GC34" s="275"/>
      <c r="GD34" s="275"/>
      <c r="GE34" s="275"/>
      <c r="GF34" s="275"/>
      <c r="GG34" s="275"/>
      <c r="GH34" s="275"/>
      <c r="GI34" s="275"/>
      <c r="GJ34" s="275"/>
      <c r="GK34" s="275"/>
      <c r="GL34" s="275"/>
      <c r="GM34" s="275"/>
      <c r="GN34" s="275"/>
      <c r="GO34" s="275"/>
      <c r="GP34" s="21"/>
      <c r="GQ34" s="275"/>
      <c r="GR34" s="275"/>
      <c r="GS34" s="275"/>
      <c r="GT34" s="275"/>
      <c r="GU34" s="275"/>
      <c r="GV34" s="275"/>
      <c r="GW34" s="275"/>
      <c r="GX34" s="275"/>
      <c r="GY34" s="275"/>
      <c r="GZ34" s="275"/>
      <c r="HA34" s="275"/>
      <c r="HB34" s="275"/>
      <c r="HC34" s="275"/>
      <c r="HD34" s="275"/>
      <c r="HE34" s="275"/>
      <c r="HF34" s="275"/>
      <c r="HG34" s="275"/>
      <c r="HH34" s="275"/>
      <c r="HI34" s="275"/>
      <c r="HJ34" s="275"/>
      <c r="HK34" s="275"/>
      <c r="HL34" s="275"/>
      <c r="HM34" s="275"/>
      <c r="HN34" s="275"/>
      <c r="HO34" s="275"/>
      <c r="HP34" s="275"/>
      <c r="HQ34" s="275"/>
      <c r="HR34" s="275"/>
      <c r="HS34" s="275"/>
      <c r="HT34" s="357"/>
      <c r="HU34" s="318"/>
    </row>
    <row r="35" spans="1:229" ht="15.75" thickBot="1" x14ac:dyDescent="0.3">
      <c r="A35" s="9">
        <v>1</v>
      </c>
      <c r="B35" s="474" t="s">
        <v>78</v>
      </c>
      <c r="C35" s="25" t="s">
        <v>1</v>
      </c>
      <c r="D35" s="189" t="s">
        <v>19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191">
        <f>SUM(E35:L35)</f>
        <v>0</v>
      </c>
      <c r="N35" s="237"/>
      <c r="O35" s="71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165"/>
      <c r="AR35" s="71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>
        <v>0</v>
      </c>
      <c r="BF35" s="37">
        <v>0</v>
      </c>
      <c r="BG35" s="37">
        <v>0</v>
      </c>
      <c r="BH35" s="37">
        <v>0</v>
      </c>
      <c r="BI35" s="157">
        <v>0</v>
      </c>
      <c r="BJ35" s="157">
        <v>0</v>
      </c>
      <c r="BK35" s="157">
        <v>0</v>
      </c>
      <c r="BL35" s="157">
        <v>0</v>
      </c>
      <c r="BM35" s="157">
        <v>0</v>
      </c>
      <c r="BN35" s="157">
        <v>0</v>
      </c>
      <c r="BO35" s="157">
        <v>0</v>
      </c>
      <c r="BP35" s="157">
        <v>0</v>
      </c>
      <c r="BQ35" s="157">
        <v>0</v>
      </c>
      <c r="BR35" s="157">
        <v>0</v>
      </c>
      <c r="BS35" s="157">
        <v>0</v>
      </c>
      <c r="BT35" s="37">
        <v>0</v>
      </c>
      <c r="BU35" s="37">
        <v>0</v>
      </c>
      <c r="BV35" s="37">
        <v>0</v>
      </c>
      <c r="BW35" s="165"/>
      <c r="BX35" s="37">
        <v>0</v>
      </c>
      <c r="BY35" s="37">
        <v>0</v>
      </c>
      <c r="BZ35" s="37">
        <v>0</v>
      </c>
      <c r="CA35" s="37">
        <v>0</v>
      </c>
      <c r="CB35" s="37">
        <v>22</v>
      </c>
      <c r="CC35" s="37">
        <v>0</v>
      </c>
      <c r="CD35" s="37">
        <v>0</v>
      </c>
      <c r="CE35" s="37">
        <v>0</v>
      </c>
      <c r="CF35" s="37">
        <v>0</v>
      </c>
      <c r="CG35" s="37">
        <v>0</v>
      </c>
      <c r="CH35" s="37">
        <v>0</v>
      </c>
      <c r="CI35" s="37">
        <v>0</v>
      </c>
      <c r="CJ35" s="37">
        <v>0</v>
      </c>
      <c r="CK35" s="37">
        <v>0</v>
      </c>
      <c r="CL35" s="37">
        <v>0</v>
      </c>
      <c r="CM35" s="37">
        <v>0</v>
      </c>
      <c r="CN35" s="267">
        <v>0</v>
      </c>
      <c r="CO35" s="268">
        <v>0</v>
      </c>
      <c r="CP35" s="268">
        <v>0</v>
      </c>
      <c r="CQ35" s="268">
        <v>0</v>
      </c>
      <c r="CR35" s="268">
        <v>0</v>
      </c>
      <c r="CS35" s="268">
        <v>0</v>
      </c>
      <c r="CT35" s="268">
        <v>0</v>
      </c>
      <c r="CU35" s="268">
        <v>0</v>
      </c>
      <c r="CV35" s="268">
        <v>0</v>
      </c>
      <c r="CW35" s="268">
        <v>0</v>
      </c>
      <c r="CX35" s="268">
        <v>0</v>
      </c>
      <c r="CY35" s="268">
        <v>0</v>
      </c>
      <c r="CZ35" s="267">
        <v>0</v>
      </c>
      <c r="DA35" s="268">
        <v>0</v>
      </c>
      <c r="DB35" s="71">
        <v>0</v>
      </c>
      <c r="DC35" s="37">
        <v>0</v>
      </c>
      <c r="DD35" s="37">
        <v>0</v>
      </c>
      <c r="DE35" s="37">
        <v>0</v>
      </c>
      <c r="DF35" s="37">
        <v>0</v>
      </c>
      <c r="DG35" s="37">
        <v>0</v>
      </c>
      <c r="DH35" s="267">
        <v>0</v>
      </c>
      <c r="DI35" s="267">
        <v>0</v>
      </c>
      <c r="DJ35" s="267">
        <v>0</v>
      </c>
      <c r="DK35" s="267">
        <v>0</v>
      </c>
      <c r="DL35" s="267">
        <v>0</v>
      </c>
      <c r="DM35" s="267">
        <v>0</v>
      </c>
      <c r="DN35" s="267">
        <v>0</v>
      </c>
      <c r="DO35" s="267">
        <v>0</v>
      </c>
      <c r="DP35" s="267">
        <v>0</v>
      </c>
      <c r="DQ35" s="267">
        <v>0</v>
      </c>
      <c r="DR35" s="267">
        <v>0</v>
      </c>
      <c r="DS35" s="267">
        <v>0</v>
      </c>
      <c r="DT35" s="267">
        <v>0</v>
      </c>
      <c r="DU35" s="267">
        <v>0</v>
      </c>
      <c r="DV35" s="267">
        <v>0</v>
      </c>
      <c r="DW35" s="267">
        <v>0</v>
      </c>
      <c r="DX35" s="267">
        <v>0</v>
      </c>
      <c r="DY35" s="267">
        <v>0</v>
      </c>
      <c r="DZ35" s="267">
        <v>0</v>
      </c>
      <c r="EA35" s="267">
        <v>0</v>
      </c>
      <c r="EB35" s="267">
        <v>0</v>
      </c>
      <c r="EC35" s="267">
        <v>0</v>
      </c>
      <c r="ED35" s="267">
        <v>0</v>
      </c>
      <c r="EE35" s="267">
        <v>0</v>
      </c>
      <c r="EF35" s="268">
        <v>0</v>
      </c>
      <c r="EG35" s="279">
        <v>0</v>
      </c>
      <c r="EH35" s="267">
        <v>0</v>
      </c>
      <c r="EI35" s="267">
        <v>0</v>
      </c>
      <c r="EJ35" s="267">
        <v>0</v>
      </c>
      <c r="EK35" s="267">
        <v>0</v>
      </c>
      <c r="EL35" s="267">
        <v>0</v>
      </c>
      <c r="EM35" s="267">
        <v>0</v>
      </c>
      <c r="EN35" s="267">
        <v>0</v>
      </c>
      <c r="EO35" s="267">
        <v>11</v>
      </c>
      <c r="EP35" s="267">
        <v>0</v>
      </c>
      <c r="EQ35" s="267">
        <v>0</v>
      </c>
      <c r="ER35" s="267">
        <v>0</v>
      </c>
      <c r="ES35" s="267">
        <v>0</v>
      </c>
      <c r="ET35" s="267">
        <v>7</v>
      </c>
      <c r="EU35" s="267">
        <v>0</v>
      </c>
      <c r="EV35" s="267">
        <v>0</v>
      </c>
      <c r="EW35" s="267">
        <v>0</v>
      </c>
      <c r="EX35" s="267">
        <v>21</v>
      </c>
      <c r="EY35" s="267">
        <v>0</v>
      </c>
      <c r="EZ35" s="267">
        <v>0</v>
      </c>
      <c r="FA35" s="267">
        <v>0</v>
      </c>
      <c r="FB35" s="267">
        <v>12</v>
      </c>
      <c r="FC35" s="267">
        <v>17</v>
      </c>
      <c r="FD35" s="267">
        <v>0</v>
      </c>
      <c r="FE35" s="267">
        <v>0</v>
      </c>
      <c r="FF35" s="267">
        <v>0</v>
      </c>
      <c r="FG35" s="267">
        <v>0</v>
      </c>
      <c r="FH35" s="267">
        <v>0</v>
      </c>
      <c r="FI35" s="267">
        <v>0</v>
      </c>
      <c r="FJ35" s="268">
        <v>0</v>
      </c>
      <c r="FK35" s="395">
        <v>22.8</v>
      </c>
      <c r="FL35" s="267">
        <v>0</v>
      </c>
      <c r="FM35" s="267">
        <v>0</v>
      </c>
      <c r="FN35" s="267">
        <v>0</v>
      </c>
      <c r="FO35" s="267">
        <v>0</v>
      </c>
      <c r="FP35" s="267">
        <v>0</v>
      </c>
      <c r="FQ35" s="267">
        <v>0</v>
      </c>
      <c r="FR35" s="267">
        <v>0</v>
      </c>
      <c r="FS35" s="267">
        <v>0</v>
      </c>
      <c r="FT35" s="267">
        <v>0</v>
      </c>
      <c r="FU35" s="267">
        <v>0</v>
      </c>
      <c r="FV35" s="267">
        <v>27</v>
      </c>
      <c r="FW35" s="267">
        <v>23</v>
      </c>
      <c r="FX35" s="267">
        <v>0</v>
      </c>
      <c r="FY35" s="267">
        <v>0</v>
      </c>
      <c r="FZ35" s="267">
        <v>0</v>
      </c>
      <c r="GA35" s="267">
        <v>0</v>
      </c>
      <c r="GB35" s="267">
        <v>0</v>
      </c>
      <c r="GC35" s="267">
        <v>0</v>
      </c>
      <c r="GD35" s="267">
        <v>0</v>
      </c>
      <c r="GE35" s="267">
        <v>0</v>
      </c>
      <c r="GF35" s="281">
        <v>4.5</v>
      </c>
      <c r="GG35" s="281">
        <v>0</v>
      </c>
      <c r="GH35" s="281">
        <v>0</v>
      </c>
      <c r="GI35" s="281">
        <v>0</v>
      </c>
      <c r="GJ35" s="281">
        <v>10</v>
      </c>
      <c r="GK35" s="281">
        <v>0</v>
      </c>
      <c r="GL35" s="281">
        <v>16</v>
      </c>
      <c r="GM35" s="281">
        <v>3.1</v>
      </c>
      <c r="GN35" s="281">
        <v>0</v>
      </c>
      <c r="GO35" s="337">
        <v>0</v>
      </c>
      <c r="GP35" s="395">
        <v>0</v>
      </c>
      <c r="GQ35" s="281">
        <v>0</v>
      </c>
      <c r="GR35" s="281">
        <v>0</v>
      </c>
      <c r="GS35" s="281">
        <v>0</v>
      </c>
      <c r="GT35" s="281">
        <v>0</v>
      </c>
      <c r="GU35" s="281">
        <v>16</v>
      </c>
      <c r="GV35" s="281">
        <v>0</v>
      </c>
      <c r="GW35" s="281">
        <v>0</v>
      </c>
      <c r="GX35" s="281">
        <v>0</v>
      </c>
      <c r="GY35" s="281">
        <v>0</v>
      </c>
      <c r="GZ35" s="281">
        <v>28.1</v>
      </c>
      <c r="HA35" s="281">
        <v>0</v>
      </c>
      <c r="HB35" s="281">
        <v>0</v>
      </c>
      <c r="HC35" s="281">
        <v>0</v>
      </c>
      <c r="HD35" s="281">
        <v>0</v>
      </c>
      <c r="HE35" s="281">
        <v>0</v>
      </c>
      <c r="HF35" s="281">
        <v>21</v>
      </c>
      <c r="HG35" s="281">
        <v>0</v>
      </c>
      <c r="HH35" s="518">
        <v>14</v>
      </c>
      <c r="HI35" s="267"/>
      <c r="HJ35" s="267"/>
      <c r="HK35" s="267"/>
      <c r="HL35" s="267"/>
      <c r="HM35" s="267"/>
      <c r="HN35" s="267"/>
      <c r="HO35" s="267"/>
      <c r="HP35" s="267"/>
      <c r="HQ35" s="267"/>
      <c r="HR35" s="267"/>
      <c r="HS35" s="267"/>
      <c r="HT35" s="367"/>
      <c r="HU35" s="363">
        <f>SUM(O35:HT35)</f>
        <v>275.5</v>
      </c>
    </row>
    <row r="36" spans="1:229" ht="15.75" thickBot="1" x14ac:dyDescent="0.3">
      <c r="A36" s="2">
        <v>2</v>
      </c>
      <c r="B36" s="474"/>
      <c r="C36" s="23" t="s">
        <v>2</v>
      </c>
      <c r="D36" s="29" t="s">
        <v>19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24">
        <f t="shared" ref="M36:M45" si="58">SUM(E36:L36)</f>
        <v>0</v>
      </c>
      <c r="N36" s="238"/>
      <c r="O36" s="7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79"/>
      <c r="AR36" s="7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64">
        <v>20.5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11</v>
      </c>
      <c r="BI36" s="100">
        <v>0</v>
      </c>
      <c r="BJ36" s="100">
        <v>0</v>
      </c>
      <c r="BK36" s="100">
        <v>0</v>
      </c>
      <c r="BL36" s="100">
        <v>0</v>
      </c>
      <c r="BM36" s="100">
        <v>0</v>
      </c>
      <c r="BN36" s="100">
        <v>0</v>
      </c>
      <c r="BO36" s="100">
        <v>0</v>
      </c>
      <c r="BP36" s="100">
        <v>0</v>
      </c>
      <c r="BQ36" s="100">
        <v>0</v>
      </c>
      <c r="BR36" s="100">
        <v>0</v>
      </c>
      <c r="BS36" s="100">
        <v>0</v>
      </c>
      <c r="BT36" s="13">
        <v>0</v>
      </c>
      <c r="BU36" s="13">
        <v>0</v>
      </c>
      <c r="BV36" s="13">
        <v>0</v>
      </c>
      <c r="BW36" s="179"/>
      <c r="BX36" s="73">
        <v>10</v>
      </c>
      <c r="BY36" s="13">
        <v>12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265">
        <v>0</v>
      </c>
      <c r="CO36" s="270">
        <v>0</v>
      </c>
      <c r="CP36" s="270">
        <v>0</v>
      </c>
      <c r="CQ36" s="270">
        <v>0</v>
      </c>
      <c r="CR36" s="270">
        <v>0</v>
      </c>
      <c r="CS36" s="270">
        <v>12</v>
      </c>
      <c r="CT36" s="270">
        <v>0</v>
      </c>
      <c r="CU36" s="270">
        <v>0</v>
      </c>
      <c r="CV36" s="270">
        <v>0</v>
      </c>
      <c r="CW36" s="270">
        <v>0</v>
      </c>
      <c r="CX36" s="270">
        <v>0</v>
      </c>
      <c r="CY36" s="270">
        <v>0</v>
      </c>
      <c r="CZ36" s="265">
        <v>0</v>
      </c>
      <c r="DA36" s="269">
        <v>0</v>
      </c>
      <c r="DB36" s="7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265">
        <v>0</v>
      </c>
      <c r="DI36" s="265">
        <v>0</v>
      </c>
      <c r="DJ36" s="265">
        <v>0</v>
      </c>
      <c r="DK36" s="265">
        <v>0</v>
      </c>
      <c r="DL36" s="265">
        <v>0</v>
      </c>
      <c r="DM36" s="265">
        <v>0</v>
      </c>
      <c r="DN36" s="265">
        <v>0</v>
      </c>
      <c r="DO36" s="265">
        <v>0</v>
      </c>
      <c r="DP36" s="265">
        <v>0</v>
      </c>
      <c r="DQ36" s="265">
        <v>0</v>
      </c>
      <c r="DR36" s="265">
        <v>0</v>
      </c>
      <c r="DS36" s="265">
        <v>0</v>
      </c>
      <c r="DT36" s="265">
        <v>0</v>
      </c>
      <c r="DU36" s="265">
        <v>0</v>
      </c>
      <c r="DV36" s="265">
        <v>0</v>
      </c>
      <c r="DW36" s="265">
        <v>0</v>
      </c>
      <c r="DX36" s="265">
        <v>0</v>
      </c>
      <c r="DY36" s="265">
        <v>0</v>
      </c>
      <c r="DZ36" s="265">
        <v>0</v>
      </c>
      <c r="EA36" s="265">
        <v>0</v>
      </c>
      <c r="EB36" s="265">
        <v>0</v>
      </c>
      <c r="EC36" s="265">
        <v>0</v>
      </c>
      <c r="ED36" s="265">
        <v>0</v>
      </c>
      <c r="EE36" s="265">
        <v>0</v>
      </c>
      <c r="EF36" s="269">
        <v>0</v>
      </c>
      <c r="EG36" s="278">
        <v>0</v>
      </c>
      <c r="EH36" s="265">
        <v>0</v>
      </c>
      <c r="EI36" s="265">
        <v>0</v>
      </c>
      <c r="EJ36" s="265">
        <v>0</v>
      </c>
      <c r="EK36" s="265">
        <v>0</v>
      </c>
      <c r="EL36" s="265">
        <v>0</v>
      </c>
      <c r="EM36" s="265">
        <v>0</v>
      </c>
      <c r="EN36" s="265">
        <v>0</v>
      </c>
      <c r="EO36" s="265">
        <v>0</v>
      </c>
      <c r="EP36" s="265">
        <v>0</v>
      </c>
      <c r="EQ36" s="265">
        <v>0</v>
      </c>
      <c r="ER36" s="265">
        <v>0</v>
      </c>
      <c r="ES36" s="265">
        <v>0</v>
      </c>
      <c r="ET36" s="265">
        <v>0</v>
      </c>
      <c r="EU36" s="265">
        <v>0</v>
      </c>
      <c r="EV36" s="265">
        <v>0</v>
      </c>
      <c r="EW36" s="265">
        <v>0</v>
      </c>
      <c r="EX36" s="265">
        <v>0</v>
      </c>
      <c r="EY36" s="265">
        <v>0</v>
      </c>
      <c r="EZ36" s="265">
        <v>0</v>
      </c>
      <c r="FA36" s="265">
        <v>0</v>
      </c>
      <c r="FB36" s="265">
        <v>0</v>
      </c>
      <c r="FC36" s="265">
        <v>0</v>
      </c>
      <c r="FD36" s="265">
        <v>0</v>
      </c>
      <c r="FE36" s="265">
        <v>0</v>
      </c>
      <c r="FF36" s="265">
        <v>0</v>
      </c>
      <c r="FG36" s="265">
        <v>0</v>
      </c>
      <c r="FH36" s="265">
        <v>0</v>
      </c>
      <c r="FI36" s="265">
        <v>0</v>
      </c>
      <c r="FJ36" s="269">
        <v>0</v>
      </c>
      <c r="FK36" s="278">
        <v>0</v>
      </c>
      <c r="FL36" s="265">
        <v>0</v>
      </c>
      <c r="FM36" s="265">
        <v>0</v>
      </c>
      <c r="FN36" s="265">
        <v>0</v>
      </c>
      <c r="FO36" s="265">
        <v>0</v>
      </c>
      <c r="FP36" s="265">
        <v>0</v>
      </c>
      <c r="FQ36" s="265">
        <v>0</v>
      </c>
      <c r="FR36" s="265">
        <v>0</v>
      </c>
      <c r="FS36" s="265">
        <v>0</v>
      </c>
      <c r="FT36" s="265">
        <v>0</v>
      </c>
      <c r="FU36" s="265">
        <v>0</v>
      </c>
      <c r="FV36" s="265">
        <v>0</v>
      </c>
      <c r="FW36" s="265">
        <v>0</v>
      </c>
      <c r="FX36" s="265">
        <v>0</v>
      </c>
      <c r="FY36" s="265">
        <v>0</v>
      </c>
      <c r="FZ36" s="265">
        <v>0</v>
      </c>
      <c r="GA36" s="265">
        <v>0</v>
      </c>
      <c r="GB36" s="265">
        <v>0</v>
      </c>
      <c r="GC36" s="265">
        <v>0</v>
      </c>
      <c r="GD36" s="265">
        <v>0</v>
      </c>
      <c r="GE36" s="265">
        <v>0</v>
      </c>
      <c r="GF36" s="265">
        <v>0</v>
      </c>
      <c r="GG36" s="265">
        <v>0</v>
      </c>
      <c r="GH36" s="265">
        <v>0</v>
      </c>
      <c r="GI36" s="265">
        <v>0</v>
      </c>
      <c r="GJ36" s="265">
        <v>0</v>
      </c>
      <c r="GK36" s="265">
        <v>0</v>
      </c>
      <c r="GL36" s="265">
        <v>0</v>
      </c>
      <c r="GM36" s="265">
        <v>0</v>
      </c>
      <c r="GN36" s="265">
        <v>0</v>
      </c>
      <c r="GO36" s="269">
        <v>0</v>
      </c>
      <c r="GP36" s="278">
        <v>0</v>
      </c>
      <c r="GQ36" s="265">
        <v>0</v>
      </c>
      <c r="GR36" s="265">
        <v>0</v>
      </c>
      <c r="GS36" s="265">
        <v>0</v>
      </c>
      <c r="GT36" s="265">
        <v>0</v>
      </c>
      <c r="GU36" s="265">
        <v>0</v>
      </c>
      <c r="GV36" s="265">
        <v>0</v>
      </c>
      <c r="GW36" s="265">
        <v>0</v>
      </c>
      <c r="GX36" s="265">
        <v>0</v>
      </c>
      <c r="GY36" s="265">
        <v>0</v>
      </c>
      <c r="GZ36" s="265">
        <v>0</v>
      </c>
      <c r="HA36" s="265">
        <v>0</v>
      </c>
      <c r="HB36" s="265">
        <v>0</v>
      </c>
      <c r="HC36" s="265">
        <v>0</v>
      </c>
      <c r="HD36" s="265">
        <v>0</v>
      </c>
      <c r="HE36" s="265">
        <v>0</v>
      </c>
      <c r="HF36" s="265">
        <v>0</v>
      </c>
      <c r="HG36" s="265">
        <v>0</v>
      </c>
      <c r="HH36" s="265">
        <v>0</v>
      </c>
      <c r="HI36" s="265"/>
      <c r="HJ36" s="265"/>
      <c r="HK36" s="265"/>
      <c r="HL36" s="265"/>
      <c r="HM36" s="265"/>
      <c r="HN36" s="265"/>
      <c r="HO36" s="265"/>
      <c r="HP36" s="265"/>
      <c r="HQ36" s="265"/>
      <c r="HR36" s="265"/>
      <c r="HS36" s="265"/>
      <c r="HT36" s="368"/>
      <c r="HU36" s="363">
        <f t="shared" ref="HU36:HU45" si="59">SUM(O36:HT36)</f>
        <v>65.5</v>
      </c>
    </row>
    <row r="37" spans="1:229" ht="15.75" thickBot="1" x14ac:dyDescent="0.3">
      <c r="A37" s="2">
        <v>3</v>
      </c>
      <c r="B37" s="474"/>
      <c r="C37" s="23" t="s">
        <v>3</v>
      </c>
      <c r="D37" s="29" t="s">
        <v>19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24">
        <f t="shared" si="58"/>
        <v>0</v>
      </c>
      <c r="N37" s="239"/>
      <c r="O37" s="7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80"/>
      <c r="AR37" s="7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00">
        <v>0</v>
      </c>
      <c r="BJ37" s="100">
        <v>0</v>
      </c>
      <c r="BK37" s="100">
        <v>0</v>
      </c>
      <c r="BL37" s="100">
        <v>0</v>
      </c>
      <c r="BM37" s="100">
        <v>0</v>
      </c>
      <c r="BN37" s="100">
        <v>0</v>
      </c>
      <c r="BO37" s="100">
        <v>0</v>
      </c>
      <c r="BP37" s="100">
        <v>0</v>
      </c>
      <c r="BQ37" s="100">
        <v>0</v>
      </c>
      <c r="BR37" s="100">
        <v>0</v>
      </c>
      <c r="BS37" s="100">
        <v>0</v>
      </c>
      <c r="BT37" s="13">
        <v>0</v>
      </c>
      <c r="BU37" s="13">
        <v>0</v>
      </c>
      <c r="BV37" s="13">
        <v>0</v>
      </c>
      <c r="BW37" s="180"/>
      <c r="BX37" s="68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22</v>
      </c>
      <c r="CF37" s="64">
        <v>19.5</v>
      </c>
      <c r="CG37" s="13">
        <v>0</v>
      </c>
      <c r="CH37" s="13">
        <v>0</v>
      </c>
      <c r="CI37" s="64">
        <v>25.5</v>
      </c>
      <c r="CJ37" s="13">
        <v>0</v>
      </c>
      <c r="CK37" s="13">
        <v>0</v>
      </c>
      <c r="CL37" s="13">
        <v>24</v>
      </c>
      <c r="CM37" s="13">
        <v>0</v>
      </c>
      <c r="CN37" s="265">
        <v>0</v>
      </c>
      <c r="CO37" s="270">
        <v>34</v>
      </c>
      <c r="CP37" s="270">
        <v>0</v>
      </c>
      <c r="CQ37" s="283">
        <v>5.3</v>
      </c>
      <c r="CR37" s="270">
        <v>0</v>
      </c>
      <c r="CS37" s="270">
        <v>0</v>
      </c>
      <c r="CT37" s="270">
        <v>0</v>
      </c>
      <c r="CU37" s="270">
        <v>0</v>
      </c>
      <c r="CV37" s="270">
        <v>0</v>
      </c>
      <c r="CW37" s="270">
        <v>0</v>
      </c>
      <c r="CX37" s="283">
        <v>12.6</v>
      </c>
      <c r="CY37" s="270">
        <v>6</v>
      </c>
      <c r="CZ37" s="265">
        <v>0</v>
      </c>
      <c r="DA37" s="269">
        <v>0</v>
      </c>
      <c r="DB37" s="7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265">
        <v>0</v>
      </c>
      <c r="DI37" s="265">
        <v>0</v>
      </c>
      <c r="DJ37" s="272">
        <v>4.4000000000000004</v>
      </c>
      <c r="DK37" s="265">
        <v>0</v>
      </c>
      <c r="DL37" s="265">
        <v>0</v>
      </c>
      <c r="DM37" s="265">
        <v>0</v>
      </c>
      <c r="DN37" s="265">
        <v>0</v>
      </c>
      <c r="DO37" s="265">
        <v>0</v>
      </c>
      <c r="DP37" s="265">
        <v>0</v>
      </c>
      <c r="DQ37" s="265">
        <v>0</v>
      </c>
      <c r="DR37" s="265">
        <v>0</v>
      </c>
      <c r="DS37" s="265">
        <v>0</v>
      </c>
      <c r="DT37" s="265">
        <v>0</v>
      </c>
      <c r="DU37" s="265">
        <v>0</v>
      </c>
      <c r="DV37" s="265">
        <v>0</v>
      </c>
      <c r="DW37" s="265">
        <v>0</v>
      </c>
      <c r="DX37" s="265">
        <v>0</v>
      </c>
      <c r="DY37" s="265">
        <v>0</v>
      </c>
      <c r="DZ37" s="265">
        <v>0</v>
      </c>
      <c r="EA37" s="265">
        <v>0</v>
      </c>
      <c r="EB37" s="265">
        <v>0</v>
      </c>
      <c r="EC37" s="265">
        <v>0</v>
      </c>
      <c r="ED37" s="265">
        <v>0</v>
      </c>
      <c r="EE37" s="265">
        <v>0</v>
      </c>
      <c r="EF37" s="269">
        <v>0</v>
      </c>
      <c r="EG37" s="278">
        <v>0</v>
      </c>
      <c r="EH37" s="265">
        <v>0</v>
      </c>
      <c r="EI37" s="265">
        <v>0</v>
      </c>
      <c r="EJ37" s="265">
        <v>0</v>
      </c>
      <c r="EK37" s="265">
        <v>0</v>
      </c>
      <c r="EL37" s="265">
        <v>0</v>
      </c>
      <c r="EM37" s="265">
        <v>0</v>
      </c>
      <c r="EN37" s="265">
        <v>0</v>
      </c>
      <c r="EO37" s="265">
        <v>0</v>
      </c>
      <c r="EP37" s="265">
        <v>0</v>
      </c>
      <c r="EQ37" s="265">
        <v>0</v>
      </c>
      <c r="ER37" s="265">
        <v>0</v>
      </c>
      <c r="ES37" s="265">
        <v>0</v>
      </c>
      <c r="ET37" s="265">
        <v>0</v>
      </c>
      <c r="EU37" s="265">
        <v>0</v>
      </c>
      <c r="EV37" s="265">
        <v>0</v>
      </c>
      <c r="EW37" s="265">
        <v>0</v>
      </c>
      <c r="EX37" s="265">
        <v>0</v>
      </c>
      <c r="EY37" s="265">
        <v>0</v>
      </c>
      <c r="EZ37" s="265">
        <v>0</v>
      </c>
      <c r="FA37" s="265">
        <v>0</v>
      </c>
      <c r="FB37" s="265">
        <v>0</v>
      </c>
      <c r="FC37" s="265">
        <v>0</v>
      </c>
      <c r="FD37" s="265">
        <v>0</v>
      </c>
      <c r="FE37" s="265">
        <v>0</v>
      </c>
      <c r="FF37" s="265">
        <v>0</v>
      </c>
      <c r="FG37" s="265">
        <v>0</v>
      </c>
      <c r="FH37" s="265">
        <v>0</v>
      </c>
      <c r="FI37" s="265">
        <v>0</v>
      </c>
      <c r="FJ37" s="269">
        <v>0</v>
      </c>
      <c r="FK37" s="278">
        <v>0</v>
      </c>
      <c r="FL37" s="265">
        <v>0</v>
      </c>
      <c r="FM37" s="265">
        <v>0</v>
      </c>
      <c r="FN37" s="265">
        <v>3</v>
      </c>
      <c r="FO37" s="265">
        <v>0</v>
      </c>
      <c r="FP37" s="265">
        <v>0</v>
      </c>
      <c r="FQ37" s="265">
        <v>0</v>
      </c>
      <c r="FR37" s="265">
        <v>0</v>
      </c>
      <c r="FS37" s="265">
        <v>0</v>
      </c>
      <c r="FT37" s="265">
        <v>0</v>
      </c>
      <c r="FU37" s="265">
        <v>0</v>
      </c>
      <c r="FV37" s="265">
        <v>0</v>
      </c>
      <c r="FW37" s="265">
        <v>0</v>
      </c>
      <c r="FX37" s="265">
        <v>0</v>
      </c>
      <c r="FY37" s="265">
        <v>0</v>
      </c>
      <c r="FZ37" s="265">
        <v>0</v>
      </c>
      <c r="GA37" s="265">
        <v>0</v>
      </c>
      <c r="GB37" s="265">
        <v>0</v>
      </c>
      <c r="GC37" s="265">
        <v>0</v>
      </c>
      <c r="GD37" s="265">
        <v>0</v>
      </c>
      <c r="GE37" s="265">
        <v>0</v>
      </c>
      <c r="GF37" s="265">
        <v>0</v>
      </c>
      <c r="GG37" s="265">
        <v>0</v>
      </c>
      <c r="GH37" s="265">
        <v>0</v>
      </c>
      <c r="GI37" s="265">
        <v>0</v>
      </c>
      <c r="GJ37" s="265">
        <v>0</v>
      </c>
      <c r="GK37" s="265">
        <v>0</v>
      </c>
      <c r="GL37" s="265">
        <v>0</v>
      </c>
      <c r="GM37" s="265">
        <v>0</v>
      </c>
      <c r="GN37" s="265">
        <v>0</v>
      </c>
      <c r="GO37" s="269">
        <v>0</v>
      </c>
      <c r="GP37" s="278">
        <v>0</v>
      </c>
      <c r="GQ37" s="265">
        <v>0</v>
      </c>
      <c r="GR37" s="265">
        <v>0</v>
      </c>
      <c r="GS37" s="265">
        <v>0</v>
      </c>
      <c r="GT37" s="265">
        <v>0</v>
      </c>
      <c r="GU37" s="265">
        <v>0</v>
      </c>
      <c r="GV37" s="265">
        <v>0</v>
      </c>
      <c r="GW37" s="265">
        <v>0</v>
      </c>
      <c r="GX37" s="265">
        <v>0</v>
      </c>
      <c r="GY37" s="265">
        <v>0</v>
      </c>
      <c r="GZ37" s="265">
        <v>0</v>
      </c>
      <c r="HA37" s="265">
        <v>0</v>
      </c>
      <c r="HB37" s="265">
        <v>0</v>
      </c>
      <c r="HC37" s="265">
        <v>0</v>
      </c>
      <c r="HD37" s="265">
        <v>0</v>
      </c>
      <c r="HE37" s="265">
        <v>0</v>
      </c>
      <c r="HF37" s="265">
        <v>0</v>
      </c>
      <c r="HG37" s="265">
        <v>0</v>
      </c>
      <c r="HH37" s="265">
        <v>0</v>
      </c>
      <c r="HI37" s="265"/>
      <c r="HJ37" s="265"/>
      <c r="HK37" s="265"/>
      <c r="HL37" s="265"/>
      <c r="HM37" s="265"/>
      <c r="HN37" s="265"/>
      <c r="HO37" s="265"/>
      <c r="HP37" s="265"/>
      <c r="HQ37" s="265"/>
      <c r="HR37" s="265"/>
      <c r="HS37" s="265"/>
      <c r="HT37" s="368"/>
      <c r="HU37" s="363">
        <f t="shared" si="59"/>
        <v>156.30000000000001</v>
      </c>
    </row>
    <row r="38" spans="1:229" ht="15.75" thickBot="1" x14ac:dyDescent="0.3">
      <c r="A38" s="2">
        <v>4</v>
      </c>
      <c r="B38" s="474"/>
      <c r="C38" s="23" t="s">
        <v>4</v>
      </c>
      <c r="D38" s="29" t="s">
        <v>19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24">
        <f t="shared" si="58"/>
        <v>0</v>
      </c>
      <c r="N38" s="239"/>
      <c r="O38" s="7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62"/>
      <c r="AR38" s="7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01">
        <v>0</v>
      </c>
      <c r="BJ38" s="101">
        <v>0</v>
      </c>
      <c r="BK38" s="101">
        <v>0</v>
      </c>
      <c r="BL38" s="101">
        <v>0</v>
      </c>
      <c r="BM38" s="101">
        <v>0</v>
      </c>
      <c r="BN38" s="101">
        <v>0</v>
      </c>
      <c r="BO38" s="101">
        <v>0</v>
      </c>
      <c r="BP38" s="101">
        <v>0</v>
      </c>
      <c r="BQ38" s="101">
        <v>0</v>
      </c>
      <c r="BR38" s="101">
        <v>0</v>
      </c>
      <c r="BS38" s="101">
        <v>0</v>
      </c>
      <c r="BT38" s="13">
        <v>0</v>
      </c>
      <c r="BU38" s="13">
        <v>0</v>
      </c>
      <c r="BV38" s="13">
        <v>0</v>
      </c>
      <c r="BW38" s="162"/>
      <c r="BX38" s="68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265">
        <v>0</v>
      </c>
      <c r="CO38" s="269">
        <v>0</v>
      </c>
      <c r="CP38" s="269">
        <v>0</v>
      </c>
      <c r="CQ38" s="269">
        <v>0</v>
      </c>
      <c r="CR38" s="269">
        <v>0</v>
      </c>
      <c r="CS38" s="269">
        <v>0</v>
      </c>
      <c r="CT38" s="269">
        <v>0</v>
      </c>
      <c r="CU38" s="269">
        <v>0</v>
      </c>
      <c r="CV38" s="269">
        <v>0</v>
      </c>
      <c r="CW38" s="269">
        <v>0</v>
      </c>
      <c r="CX38" s="269">
        <v>0</v>
      </c>
      <c r="CY38" s="269">
        <v>0</v>
      </c>
      <c r="CZ38" s="265">
        <v>0</v>
      </c>
      <c r="DA38" s="269">
        <v>0</v>
      </c>
      <c r="DB38" s="7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272">
        <v>10.199999999999999</v>
      </c>
      <c r="DI38" s="265">
        <v>0</v>
      </c>
      <c r="DJ38" s="265">
        <v>0</v>
      </c>
      <c r="DK38" s="265">
        <v>0</v>
      </c>
      <c r="DL38" s="265">
        <v>0</v>
      </c>
      <c r="DM38" s="272">
        <v>11.5</v>
      </c>
      <c r="DN38" s="265">
        <v>0</v>
      </c>
      <c r="DO38" s="265">
        <v>0</v>
      </c>
      <c r="DP38" s="265">
        <v>0</v>
      </c>
      <c r="DQ38" s="265">
        <v>0</v>
      </c>
      <c r="DR38" s="265">
        <v>0</v>
      </c>
      <c r="DS38" s="265">
        <v>0</v>
      </c>
      <c r="DT38" s="265">
        <v>0</v>
      </c>
      <c r="DU38" s="265">
        <v>15</v>
      </c>
      <c r="DV38" s="265">
        <v>0</v>
      </c>
      <c r="DW38" s="265">
        <v>0</v>
      </c>
      <c r="DX38" s="265">
        <v>0</v>
      </c>
      <c r="DY38" s="265">
        <v>15</v>
      </c>
      <c r="DZ38" s="265">
        <v>0</v>
      </c>
      <c r="EA38" s="265">
        <v>0</v>
      </c>
      <c r="EB38" s="265">
        <v>0</v>
      </c>
      <c r="EC38" s="265">
        <v>0</v>
      </c>
      <c r="ED38" s="265">
        <v>0</v>
      </c>
      <c r="EE38" s="265">
        <v>0</v>
      </c>
      <c r="EF38" s="282">
        <v>15.2</v>
      </c>
      <c r="EG38" s="278">
        <v>15</v>
      </c>
      <c r="EH38" s="265">
        <v>0</v>
      </c>
      <c r="EI38" s="265">
        <v>0</v>
      </c>
      <c r="EJ38" s="265">
        <v>0</v>
      </c>
      <c r="EK38" s="265">
        <v>0</v>
      </c>
      <c r="EL38" s="265">
        <v>0</v>
      </c>
      <c r="EM38" s="272">
        <v>41.4</v>
      </c>
      <c r="EN38" s="265">
        <v>0</v>
      </c>
      <c r="EO38" s="265">
        <v>0</v>
      </c>
      <c r="EP38" s="265">
        <v>15</v>
      </c>
      <c r="EQ38" s="265">
        <v>17</v>
      </c>
      <c r="ER38" s="265">
        <v>0</v>
      </c>
      <c r="ES38" s="265">
        <v>0</v>
      </c>
      <c r="ET38" s="265">
        <v>0</v>
      </c>
      <c r="EU38" s="265">
        <v>12</v>
      </c>
      <c r="EV38" s="265">
        <v>0</v>
      </c>
      <c r="EW38" s="265">
        <v>19</v>
      </c>
      <c r="EX38" s="265">
        <v>0</v>
      </c>
      <c r="EY38" s="265">
        <v>0</v>
      </c>
      <c r="EZ38" s="272">
        <v>15.5</v>
      </c>
      <c r="FA38" s="265">
        <v>0</v>
      </c>
      <c r="FB38" s="272">
        <v>12.5</v>
      </c>
      <c r="FC38" s="272">
        <v>11.5</v>
      </c>
      <c r="FD38" s="265">
        <v>11</v>
      </c>
      <c r="FE38" s="265">
        <v>0</v>
      </c>
      <c r="FF38" s="265">
        <v>0</v>
      </c>
      <c r="FG38" s="265">
        <v>0</v>
      </c>
      <c r="FH38" s="265">
        <v>0</v>
      </c>
      <c r="FI38" s="272">
        <v>25.2</v>
      </c>
      <c r="FJ38" s="269">
        <v>0</v>
      </c>
      <c r="FK38" s="278">
        <v>0</v>
      </c>
      <c r="FL38" s="265">
        <v>0</v>
      </c>
      <c r="FM38" s="265">
        <v>0</v>
      </c>
      <c r="FN38" s="265">
        <v>0</v>
      </c>
      <c r="FO38" s="265">
        <v>0</v>
      </c>
      <c r="FP38" s="265">
        <v>0</v>
      </c>
      <c r="FQ38" s="265">
        <v>0</v>
      </c>
      <c r="FR38" s="265">
        <v>0</v>
      </c>
      <c r="FS38" s="265">
        <v>0</v>
      </c>
      <c r="FT38" s="265">
        <v>0</v>
      </c>
      <c r="FU38" s="265">
        <v>0</v>
      </c>
      <c r="FV38" s="265">
        <v>0</v>
      </c>
      <c r="FW38" s="265">
        <v>0</v>
      </c>
      <c r="FX38" s="265">
        <v>0</v>
      </c>
      <c r="FY38" s="265">
        <v>0</v>
      </c>
      <c r="FZ38" s="265">
        <v>0</v>
      </c>
      <c r="GA38" s="265">
        <v>0</v>
      </c>
      <c r="GB38" s="265">
        <v>0</v>
      </c>
      <c r="GC38" s="265">
        <v>0</v>
      </c>
      <c r="GD38" s="265">
        <v>0</v>
      </c>
      <c r="GE38" s="265">
        <v>0</v>
      </c>
      <c r="GF38" s="265">
        <v>0</v>
      </c>
      <c r="GG38" s="265">
        <v>0</v>
      </c>
      <c r="GH38" s="265">
        <v>0</v>
      </c>
      <c r="GI38" s="265">
        <v>0</v>
      </c>
      <c r="GJ38" s="265">
        <v>0</v>
      </c>
      <c r="GK38" s="265">
        <v>0</v>
      </c>
      <c r="GL38" s="265">
        <v>0</v>
      </c>
      <c r="GM38" s="265">
        <v>0</v>
      </c>
      <c r="GN38" s="265">
        <v>0</v>
      </c>
      <c r="GO38" s="269">
        <v>0</v>
      </c>
      <c r="GP38" s="278">
        <v>0</v>
      </c>
      <c r="GQ38" s="265">
        <v>0</v>
      </c>
      <c r="GR38" s="265">
        <v>0</v>
      </c>
      <c r="GS38" s="265">
        <v>0</v>
      </c>
      <c r="GT38" s="265">
        <v>0</v>
      </c>
      <c r="GU38" s="265">
        <v>0</v>
      </c>
      <c r="GV38" s="265">
        <v>0</v>
      </c>
      <c r="GW38" s="265">
        <v>0</v>
      </c>
      <c r="GX38" s="265">
        <v>0</v>
      </c>
      <c r="GY38" s="265">
        <v>0</v>
      </c>
      <c r="GZ38" s="265">
        <v>0</v>
      </c>
      <c r="HA38" s="265">
        <v>0</v>
      </c>
      <c r="HB38" s="265">
        <v>0</v>
      </c>
      <c r="HC38" s="265">
        <v>0</v>
      </c>
      <c r="HD38" s="265">
        <v>0</v>
      </c>
      <c r="HE38" s="265">
        <v>0</v>
      </c>
      <c r="HF38" s="265">
        <v>0</v>
      </c>
      <c r="HG38" s="265">
        <v>1</v>
      </c>
      <c r="HH38" s="265">
        <v>0</v>
      </c>
      <c r="HI38" s="265"/>
      <c r="HJ38" s="265"/>
      <c r="HK38" s="265"/>
      <c r="HL38" s="265"/>
      <c r="HM38" s="265"/>
      <c r="HN38" s="265"/>
      <c r="HO38" s="265"/>
      <c r="HP38" s="265"/>
      <c r="HQ38" s="265"/>
      <c r="HR38" s="265"/>
      <c r="HS38" s="265"/>
      <c r="HT38" s="368"/>
      <c r="HU38" s="363">
        <f t="shared" si="59"/>
        <v>263</v>
      </c>
    </row>
    <row r="39" spans="1:229" ht="15.75" thickBot="1" x14ac:dyDescent="0.3">
      <c r="A39" s="2">
        <v>5</v>
      </c>
      <c r="B39" s="474"/>
      <c r="C39" s="23" t="s">
        <v>5</v>
      </c>
      <c r="D39" s="29" t="s">
        <v>19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24">
        <f t="shared" si="58"/>
        <v>0</v>
      </c>
      <c r="N39" s="239"/>
      <c r="O39" s="7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62"/>
      <c r="AR39" s="7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01">
        <v>0</v>
      </c>
      <c r="BJ39" s="101">
        <v>0</v>
      </c>
      <c r="BK39" s="101">
        <v>0</v>
      </c>
      <c r="BL39" s="101">
        <v>0</v>
      </c>
      <c r="BM39" s="101">
        <v>0</v>
      </c>
      <c r="BN39" s="101">
        <v>0</v>
      </c>
      <c r="BO39" s="101">
        <v>0</v>
      </c>
      <c r="BP39" s="101">
        <v>0</v>
      </c>
      <c r="BQ39" s="101">
        <v>0</v>
      </c>
      <c r="BR39" s="101">
        <v>0</v>
      </c>
      <c r="BS39" s="101">
        <v>0</v>
      </c>
      <c r="BT39" s="13">
        <v>0</v>
      </c>
      <c r="BU39" s="13">
        <v>0</v>
      </c>
      <c r="BV39" s="13">
        <v>0</v>
      </c>
      <c r="BW39" s="162"/>
      <c r="BX39" s="68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265">
        <v>0</v>
      </c>
      <c r="CO39" s="269">
        <v>0</v>
      </c>
      <c r="CP39" s="269">
        <v>0</v>
      </c>
      <c r="CQ39" s="269">
        <v>0</v>
      </c>
      <c r="CR39" s="269">
        <v>0</v>
      </c>
      <c r="CS39" s="269">
        <v>0</v>
      </c>
      <c r="CT39" s="269">
        <v>0</v>
      </c>
      <c r="CU39" s="269">
        <v>0</v>
      </c>
      <c r="CV39" s="269">
        <v>0</v>
      </c>
      <c r="CW39" s="269">
        <v>0</v>
      </c>
      <c r="CX39" s="269">
        <v>0</v>
      </c>
      <c r="CY39" s="269">
        <v>0</v>
      </c>
      <c r="CZ39" s="265">
        <v>0</v>
      </c>
      <c r="DA39" s="269">
        <v>0</v>
      </c>
      <c r="DB39" s="7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265">
        <v>0</v>
      </c>
      <c r="DI39" s="265">
        <v>0</v>
      </c>
      <c r="DJ39" s="265">
        <v>0</v>
      </c>
      <c r="DK39" s="265">
        <v>0</v>
      </c>
      <c r="DL39" s="265">
        <v>0</v>
      </c>
      <c r="DM39" s="265">
        <v>0</v>
      </c>
      <c r="DN39" s="265">
        <v>0</v>
      </c>
      <c r="DO39" s="265">
        <v>0</v>
      </c>
      <c r="DP39" s="265">
        <v>0</v>
      </c>
      <c r="DQ39" s="265">
        <v>0</v>
      </c>
      <c r="DR39" s="265">
        <v>0</v>
      </c>
      <c r="DS39" s="265">
        <v>0</v>
      </c>
      <c r="DT39" s="265">
        <v>0</v>
      </c>
      <c r="DU39" s="265">
        <v>0</v>
      </c>
      <c r="DV39" s="265">
        <v>0</v>
      </c>
      <c r="DW39" s="265">
        <v>0</v>
      </c>
      <c r="DX39" s="265">
        <v>0</v>
      </c>
      <c r="DY39" s="265">
        <v>0</v>
      </c>
      <c r="DZ39" s="265">
        <v>0</v>
      </c>
      <c r="EA39" s="265">
        <v>0</v>
      </c>
      <c r="EB39" s="265">
        <v>0</v>
      </c>
      <c r="EC39" s="265">
        <v>0</v>
      </c>
      <c r="ED39" s="265">
        <v>0</v>
      </c>
      <c r="EE39" s="265">
        <v>0</v>
      </c>
      <c r="EF39" s="269">
        <v>0</v>
      </c>
      <c r="EG39" s="278">
        <v>0</v>
      </c>
      <c r="EH39" s="265">
        <v>0</v>
      </c>
      <c r="EI39" s="265">
        <v>0</v>
      </c>
      <c r="EJ39" s="265">
        <v>0</v>
      </c>
      <c r="EK39" s="265">
        <v>0</v>
      </c>
      <c r="EL39" s="265">
        <v>0</v>
      </c>
      <c r="EM39" s="265">
        <v>0</v>
      </c>
      <c r="EN39" s="265">
        <v>0</v>
      </c>
      <c r="EO39" s="272">
        <v>20.5</v>
      </c>
      <c r="EP39" s="265">
        <v>0</v>
      </c>
      <c r="EQ39" s="265">
        <v>0</v>
      </c>
      <c r="ER39" s="265">
        <v>0</v>
      </c>
      <c r="ES39" s="265">
        <v>0</v>
      </c>
      <c r="ET39" s="265">
        <v>0</v>
      </c>
      <c r="EU39" s="265">
        <v>0</v>
      </c>
      <c r="EV39" s="265">
        <v>0</v>
      </c>
      <c r="EW39" s="265">
        <v>0</v>
      </c>
      <c r="EX39" s="272">
        <v>20.5</v>
      </c>
      <c r="EY39" s="265">
        <v>0</v>
      </c>
      <c r="EZ39" s="272">
        <v>20.5</v>
      </c>
      <c r="FA39" s="265">
        <v>0</v>
      </c>
      <c r="FB39" s="265">
        <v>0</v>
      </c>
      <c r="FC39" s="265">
        <v>0</v>
      </c>
      <c r="FD39" s="265">
        <v>13</v>
      </c>
      <c r="FE39" s="265">
        <v>0</v>
      </c>
      <c r="FF39" s="265">
        <v>0</v>
      </c>
      <c r="FG39" s="272">
        <v>5.4</v>
      </c>
      <c r="FH39" s="272">
        <v>26.8</v>
      </c>
      <c r="FI39" s="265">
        <v>0</v>
      </c>
      <c r="FJ39" s="269">
        <v>0</v>
      </c>
      <c r="FK39" s="278">
        <v>64</v>
      </c>
      <c r="FL39" s="265">
        <v>0</v>
      </c>
      <c r="FM39" s="265">
        <v>0</v>
      </c>
      <c r="FN39" s="265">
        <v>0</v>
      </c>
      <c r="FO39" s="265">
        <v>0</v>
      </c>
      <c r="FP39" s="272">
        <v>15.5</v>
      </c>
      <c r="FQ39" s="265">
        <v>0</v>
      </c>
      <c r="FR39" s="265">
        <v>0</v>
      </c>
      <c r="FS39" s="272">
        <v>1.5</v>
      </c>
      <c r="FT39" s="265">
        <v>0</v>
      </c>
      <c r="FU39" s="265">
        <v>71.8</v>
      </c>
      <c r="FV39" s="265">
        <v>0</v>
      </c>
      <c r="FW39" s="265">
        <v>0</v>
      </c>
      <c r="FX39" s="272">
        <v>2.1</v>
      </c>
      <c r="FY39" s="265">
        <v>0</v>
      </c>
      <c r="FZ39" s="265">
        <v>0</v>
      </c>
      <c r="GA39" s="265">
        <v>0</v>
      </c>
      <c r="GB39" s="265">
        <v>0</v>
      </c>
      <c r="GC39" s="265">
        <v>0</v>
      </c>
      <c r="GD39" s="265">
        <v>0</v>
      </c>
      <c r="GE39" s="265">
        <v>0</v>
      </c>
      <c r="GF39" s="265">
        <v>0</v>
      </c>
      <c r="GG39" s="265">
        <v>0</v>
      </c>
      <c r="GH39" s="265">
        <v>0</v>
      </c>
      <c r="GI39" s="265">
        <v>0</v>
      </c>
      <c r="GJ39" s="265">
        <v>0</v>
      </c>
      <c r="GK39" s="265">
        <v>0</v>
      </c>
      <c r="GL39" s="265">
        <v>0</v>
      </c>
      <c r="GM39" s="265">
        <v>0</v>
      </c>
      <c r="GN39" s="265">
        <v>0</v>
      </c>
      <c r="GO39" s="269">
        <v>0</v>
      </c>
      <c r="GP39" s="278">
        <v>0</v>
      </c>
      <c r="GQ39" s="265">
        <v>0</v>
      </c>
      <c r="GR39" s="265">
        <v>0</v>
      </c>
      <c r="GS39" s="265">
        <v>0</v>
      </c>
      <c r="GT39" s="265">
        <v>0</v>
      </c>
      <c r="GU39" s="265">
        <v>0</v>
      </c>
      <c r="GV39" s="265">
        <v>0</v>
      </c>
      <c r="GW39" s="265">
        <v>0</v>
      </c>
      <c r="GX39" s="265">
        <v>0</v>
      </c>
      <c r="GY39" s="265">
        <v>0</v>
      </c>
      <c r="GZ39" s="265">
        <v>0</v>
      </c>
      <c r="HA39" s="265">
        <v>0</v>
      </c>
      <c r="HB39" s="265">
        <v>0</v>
      </c>
      <c r="HC39" s="265">
        <v>0</v>
      </c>
      <c r="HD39" s="265">
        <v>0</v>
      </c>
      <c r="HE39" s="265">
        <v>0</v>
      </c>
      <c r="HF39" s="265">
        <v>0</v>
      </c>
      <c r="HG39" s="265">
        <v>0</v>
      </c>
      <c r="HH39" s="517">
        <v>2.5</v>
      </c>
      <c r="HI39" s="265"/>
      <c r="HJ39" s="265"/>
      <c r="HK39" s="265"/>
      <c r="HL39" s="265"/>
      <c r="HM39" s="265"/>
      <c r="HN39" s="265"/>
      <c r="HO39" s="265"/>
      <c r="HP39" s="265"/>
      <c r="HQ39" s="265"/>
      <c r="HR39" s="265"/>
      <c r="HS39" s="265"/>
      <c r="HT39" s="368"/>
      <c r="HU39" s="363">
        <f t="shared" si="59"/>
        <v>264.10000000000002</v>
      </c>
    </row>
    <row r="40" spans="1:229" ht="15.75" thickBot="1" x14ac:dyDescent="0.3">
      <c r="A40" s="2">
        <v>6</v>
      </c>
      <c r="B40" s="474"/>
      <c r="C40" s="23" t="s">
        <v>6</v>
      </c>
      <c r="D40" s="29" t="s">
        <v>19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24">
        <f t="shared" si="58"/>
        <v>0</v>
      </c>
      <c r="N40" s="239"/>
      <c r="O40" s="7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62"/>
      <c r="AR40" s="7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01">
        <v>0</v>
      </c>
      <c r="BJ40" s="101">
        <v>0</v>
      </c>
      <c r="BK40" s="101">
        <v>0</v>
      </c>
      <c r="BL40" s="101">
        <v>0</v>
      </c>
      <c r="BM40" s="101">
        <v>0</v>
      </c>
      <c r="BN40" s="101">
        <v>0</v>
      </c>
      <c r="BO40" s="101">
        <v>0</v>
      </c>
      <c r="BP40" s="101">
        <v>0</v>
      </c>
      <c r="BQ40" s="101">
        <v>0</v>
      </c>
      <c r="BR40" s="101">
        <v>0</v>
      </c>
      <c r="BS40" s="101">
        <v>0</v>
      </c>
      <c r="BT40" s="13">
        <v>0</v>
      </c>
      <c r="BU40" s="13">
        <v>0</v>
      </c>
      <c r="BV40" s="13">
        <v>0</v>
      </c>
      <c r="BW40" s="162"/>
      <c r="BX40" s="68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265">
        <v>0</v>
      </c>
      <c r="CO40" s="269">
        <v>0</v>
      </c>
      <c r="CP40" s="269">
        <v>0</v>
      </c>
      <c r="CQ40" s="269">
        <v>0</v>
      </c>
      <c r="CR40" s="269">
        <v>0</v>
      </c>
      <c r="CS40" s="269">
        <v>0</v>
      </c>
      <c r="CT40" s="269">
        <v>0</v>
      </c>
      <c r="CU40" s="269">
        <v>0</v>
      </c>
      <c r="CV40" s="269">
        <v>0</v>
      </c>
      <c r="CW40" s="269">
        <v>0</v>
      </c>
      <c r="CX40" s="269">
        <v>0</v>
      </c>
      <c r="CY40" s="269">
        <v>0</v>
      </c>
      <c r="CZ40" s="265">
        <v>0</v>
      </c>
      <c r="DA40" s="269">
        <v>0</v>
      </c>
      <c r="DB40" s="73">
        <v>0</v>
      </c>
      <c r="DC40" s="64">
        <v>16.5</v>
      </c>
      <c r="DD40" s="272">
        <v>35.5</v>
      </c>
      <c r="DE40" s="13">
        <v>19.5</v>
      </c>
      <c r="DF40" s="64">
        <v>23.4</v>
      </c>
      <c r="DG40" s="265">
        <v>24</v>
      </c>
      <c r="DH40" s="265">
        <v>0</v>
      </c>
      <c r="DI40" s="265">
        <v>0</v>
      </c>
      <c r="DJ40" s="265">
        <v>19</v>
      </c>
      <c r="DK40" s="265">
        <v>0</v>
      </c>
      <c r="DL40" s="265">
        <v>0</v>
      </c>
      <c r="DM40" s="265">
        <v>0</v>
      </c>
      <c r="DN40" s="272">
        <v>6.7</v>
      </c>
      <c r="DO40" s="265">
        <v>0</v>
      </c>
      <c r="DP40" s="265">
        <v>0</v>
      </c>
      <c r="DQ40" s="265">
        <v>0</v>
      </c>
      <c r="DR40" s="265">
        <v>0</v>
      </c>
      <c r="DS40" s="265">
        <v>0</v>
      </c>
      <c r="DT40" s="265">
        <v>0</v>
      </c>
      <c r="DU40" s="265">
        <v>0</v>
      </c>
      <c r="DV40" s="265">
        <v>0</v>
      </c>
      <c r="DW40" s="265">
        <v>0</v>
      </c>
      <c r="DX40" s="265">
        <v>0</v>
      </c>
      <c r="DY40" s="265">
        <v>0</v>
      </c>
      <c r="DZ40" s="265">
        <v>0</v>
      </c>
      <c r="EA40" s="265">
        <v>0</v>
      </c>
      <c r="EB40" s="265">
        <v>0</v>
      </c>
      <c r="EC40" s="265">
        <v>0</v>
      </c>
      <c r="ED40" s="265">
        <v>0</v>
      </c>
      <c r="EE40" s="265">
        <v>0</v>
      </c>
      <c r="EF40" s="269">
        <v>0</v>
      </c>
      <c r="EG40" s="278">
        <v>0</v>
      </c>
      <c r="EH40" s="265">
        <v>0</v>
      </c>
      <c r="EI40" s="265">
        <v>0</v>
      </c>
      <c r="EJ40" s="265">
        <v>0</v>
      </c>
      <c r="EK40" s="265">
        <v>0</v>
      </c>
      <c r="EL40" s="265">
        <v>0</v>
      </c>
      <c r="EM40" s="265">
        <v>0</v>
      </c>
      <c r="EN40" s="265">
        <v>0</v>
      </c>
      <c r="EO40" s="265">
        <v>10</v>
      </c>
      <c r="EP40" s="265">
        <v>11</v>
      </c>
      <c r="EQ40" s="265">
        <v>0</v>
      </c>
      <c r="ER40" s="265">
        <v>0</v>
      </c>
      <c r="ES40" s="265">
        <v>0</v>
      </c>
      <c r="ET40" s="265">
        <v>4</v>
      </c>
      <c r="EU40" s="265">
        <v>0</v>
      </c>
      <c r="EV40" s="265">
        <v>0</v>
      </c>
      <c r="EW40" s="265">
        <v>0</v>
      </c>
      <c r="EX40" s="265">
        <v>0</v>
      </c>
      <c r="EY40" s="265">
        <v>0</v>
      </c>
      <c r="EZ40" s="265">
        <v>0</v>
      </c>
      <c r="FA40" s="265">
        <v>0</v>
      </c>
      <c r="FB40" s="265">
        <v>0</v>
      </c>
      <c r="FC40" s="265">
        <v>0</v>
      </c>
      <c r="FD40" s="265">
        <v>0</v>
      </c>
      <c r="FE40" s="265">
        <v>0</v>
      </c>
      <c r="FF40" s="265">
        <v>0</v>
      </c>
      <c r="FG40" s="265">
        <v>0</v>
      </c>
      <c r="FH40" s="265">
        <v>15</v>
      </c>
      <c r="FI40" s="265">
        <v>0</v>
      </c>
      <c r="FJ40" s="269">
        <v>0</v>
      </c>
      <c r="FK40" s="278">
        <v>0</v>
      </c>
      <c r="FL40" s="272">
        <v>11.5</v>
      </c>
      <c r="FM40" s="265">
        <v>0</v>
      </c>
      <c r="FN40" s="265">
        <v>0</v>
      </c>
      <c r="FO40" s="265">
        <v>0</v>
      </c>
      <c r="FP40" s="265">
        <v>0</v>
      </c>
      <c r="FQ40" s="265">
        <v>0</v>
      </c>
      <c r="FR40" s="265">
        <v>0</v>
      </c>
      <c r="FS40" s="265">
        <v>0</v>
      </c>
      <c r="FT40" s="265">
        <v>0</v>
      </c>
      <c r="FU40" s="265">
        <v>0</v>
      </c>
      <c r="FV40" s="265">
        <v>0</v>
      </c>
      <c r="FW40" s="265">
        <v>0</v>
      </c>
      <c r="FX40" s="265">
        <v>3</v>
      </c>
      <c r="FY40" s="265">
        <v>0</v>
      </c>
      <c r="FZ40" s="265">
        <v>0</v>
      </c>
      <c r="GA40" s="265">
        <v>0</v>
      </c>
      <c r="GB40" s="265">
        <v>7</v>
      </c>
      <c r="GC40" s="265">
        <v>0</v>
      </c>
      <c r="GD40" s="265">
        <v>0</v>
      </c>
      <c r="GE40" s="265">
        <v>0</v>
      </c>
      <c r="GF40" s="265">
        <v>0</v>
      </c>
      <c r="GG40" s="265">
        <v>0</v>
      </c>
      <c r="GH40" s="265">
        <v>0</v>
      </c>
      <c r="GI40" s="265">
        <v>0</v>
      </c>
      <c r="GJ40" s="265">
        <v>0</v>
      </c>
      <c r="GK40" s="265">
        <v>0</v>
      </c>
      <c r="GL40" s="265">
        <v>0</v>
      </c>
      <c r="GM40" s="265">
        <v>0</v>
      </c>
      <c r="GN40" s="265">
        <v>0</v>
      </c>
      <c r="GO40" s="269">
        <v>0</v>
      </c>
      <c r="GP40" s="278">
        <v>0</v>
      </c>
      <c r="GQ40" s="265">
        <v>0</v>
      </c>
      <c r="GR40" s="265">
        <v>0</v>
      </c>
      <c r="GS40" s="265">
        <v>0</v>
      </c>
      <c r="GT40" s="265">
        <v>0</v>
      </c>
      <c r="GU40" s="265">
        <v>0</v>
      </c>
      <c r="GV40" s="265">
        <v>0</v>
      </c>
      <c r="GW40" s="265">
        <v>0</v>
      </c>
      <c r="GX40" s="265">
        <v>0</v>
      </c>
      <c r="GY40" s="265">
        <v>0</v>
      </c>
      <c r="GZ40" s="265">
        <v>0</v>
      </c>
      <c r="HA40" s="265">
        <v>0</v>
      </c>
      <c r="HB40" s="265">
        <v>0</v>
      </c>
      <c r="HC40" s="265">
        <v>0</v>
      </c>
      <c r="HD40" s="265">
        <v>0</v>
      </c>
      <c r="HE40" s="265">
        <v>0</v>
      </c>
      <c r="HF40" s="265">
        <v>0</v>
      </c>
      <c r="HG40" s="265">
        <v>0</v>
      </c>
      <c r="HH40" s="265">
        <v>0</v>
      </c>
      <c r="HI40" s="265"/>
      <c r="HJ40" s="265"/>
      <c r="HK40" s="265"/>
      <c r="HL40" s="265"/>
      <c r="HM40" s="265"/>
      <c r="HN40" s="265"/>
      <c r="HO40" s="265"/>
      <c r="HP40" s="265"/>
      <c r="HQ40" s="265"/>
      <c r="HR40" s="265"/>
      <c r="HS40" s="265"/>
      <c r="HT40" s="368"/>
      <c r="HU40" s="363">
        <f t="shared" si="59"/>
        <v>206.1</v>
      </c>
    </row>
    <row r="41" spans="1:229" ht="15.75" thickBot="1" x14ac:dyDescent="0.3">
      <c r="A41" s="2">
        <v>7</v>
      </c>
      <c r="B41" s="474"/>
      <c r="C41" s="23" t="s">
        <v>7</v>
      </c>
      <c r="D41" s="29" t="s">
        <v>19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24">
        <f t="shared" si="58"/>
        <v>0</v>
      </c>
      <c r="N41" s="239"/>
      <c r="O41" s="7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62"/>
      <c r="AR41" s="7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01">
        <v>0</v>
      </c>
      <c r="BJ41" s="101">
        <v>0</v>
      </c>
      <c r="BK41" s="101">
        <v>0</v>
      </c>
      <c r="BL41" s="101">
        <v>0</v>
      </c>
      <c r="BM41" s="101">
        <v>0</v>
      </c>
      <c r="BN41" s="101">
        <v>0</v>
      </c>
      <c r="BO41" s="101">
        <v>0</v>
      </c>
      <c r="BP41" s="101">
        <v>0</v>
      </c>
      <c r="BQ41" s="101">
        <v>0</v>
      </c>
      <c r="BR41" s="101">
        <v>0</v>
      </c>
      <c r="BS41" s="101">
        <v>0</v>
      </c>
      <c r="BT41" s="13">
        <v>0</v>
      </c>
      <c r="BU41" s="13">
        <v>0</v>
      </c>
      <c r="BV41" s="13">
        <v>0</v>
      </c>
      <c r="BW41" s="162"/>
      <c r="BX41" s="68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265">
        <v>0</v>
      </c>
      <c r="CO41" s="269">
        <v>0</v>
      </c>
      <c r="CP41" s="269">
        <v>0</v>
      </c>
      <c r="CQ41" s="269">
        <v>0</v>
      </c>
      <c r="CR41" s="269">
        <v>0</v>
      </c>
      <c r="CS41" s="269">
        <v>0</v>
      </c>
      <c r="CT41" s="269">
        <v>0</v>
      </c>
      <c r="CU41" s="269">
        <v>0</v>
      </c>
      <c r="CV41" s="269">
        <v>0</v>
      </c>
      <c r="CW41" s="269">
        <v>0</v>
      </c>
      <c r="CX41" s="269">
        <v>0</v>
      </c>
      <c r="CY41" s="269">
        <v>0</v>
      </c>
      <c r="CZ41" s="265">
        <v>0</v>
      </c>
      <c r="DA41" s="269">
        <v>0</v>
      </c>
      <c r="DB41" s="7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265">
        <v>0</v>
      </c>
      <c r="DI41" s="265">
        <v>0</v>
      </c>
      <c r="DJ41" s="265">
        <v>0</v>
      </c>
      <c r="DK41" s="265">
        <v>0</v>
      </c>
      <c r="DL41" s="265">
        <v>0</v>
      </c>
      <c r="DM41" s="265">
        <v>0</v>
      </c>
      <c r="DN41" s="265">
        <v>0</v>
      </c>
      <c r="DO41" s="265">
        <v>0</v>
      </c>
      <c r="DP41" s="265">
        <v>0</v>
      </c>
      <c r="DQ41" s="265">
        <v>0</v>
      </c>
      <c r="DR41" s="265">
        <v>0</v>
      </c>
      <c r="DS41" s="265">
        <v>0</v>
      </c>
      <c r="DT41" s="265">
        <v>0</v>
      </c>
      <c r="DU41" s="265">
        <v>0</v>
      </c>
      <c r="DV41" s="265">
        <v>0</v>
      </c>
      <c r="DW41" s="265">
        <v>0</v>
      </c>
      <c r="DX41" s="265">
        <v>0</v>
      </c>
      <c r="DY41" s="265">
        <v>0</v>
      </c>
      <c r="DZ41" s="265">
        <v>0</v>
      </c>
      <c r="EA41" s="265">
        <v>0</v>
      </c>
      <c r="EB41" s="265">
        <v>0</v>
      </c>
      <c r="EC41" s="265">
        <v>0</v>
      </c>
      <c r="ED41" s="265">
        <v>0</v>
      </c>
      <c r="EE41" s="265">
        <v>0</v>
      </c>
      <c r="EF41" s="269">
        <v>0</v>
      </c>
      <c r="EG41" s="278">
        <v>0</v>
      </c>
      <c r="EH41" s="265">
        <v>0</v>
      </c>
      <c r="EI41" s="265">
        <v>0</v>
      </c>
      <c r="EJ41" s="265">
        <v>0</v>
      </c>
      <c r="EK41" s="265">
        <v>0</v>
      </c>
      <c r="EL41" s="265">
        <v>0</v>
      </c>
      <c r="EM41" s="265">
        <v>0</v>
      </c>
      <c r="EN41" s="265">
        <v>40</v>
      </c>
      <c r="EO41" s="265">
        <v>0</v>
      </c>
      <c r="EP41" s="265">
        <v>0</v>
      </c>
      <c r="EQ41" s="265">
        <v>0</v>
      </c>
      <c r="ER41" s="265">
        <v>0</v>
      </c>
      <c r="ES41" s="265">
        <v>0</v>
      </c>
      <c r="ET41" s="265">
        <v>0</v>
      </c>
      <c r="EU41" s="265">
        <v>40</v>
      </c>
      <c r="EV41" s="265">
        <v>0</v>
      </c>
      <c r="EW41" s="265">
        <v>0</v>
      </c>
      <c r="EX41" s="265">
        <v>20</v>
      </c>
      <c r="EY41" s="265">
        <v>0</v>
      </c>
      <c r="EZ41" s="265">
        <v>0</v>
      </c>
      <c r="FA41" s="265">
        <v>0</v>
      </c>
      <c r="FB41" s="265">
        <v>0</v>
      </c>
      <c r="FC41" s="265">
        <v>0</v>
      </c>
      <c r="FD41" s="265">
        <v>0</v>
      </c>
      <c r="FE41" s="265">
        <v>0</v>
      </c>
      <c r="FF41" s="265">
        <v>0</v>
      </c>
      <c r="FG41" s="265">
        <v>0</v>
      </c>
      <c r="FH41" s="265">
        <v>0</v>
      </c>
      <c r="FI41" s="265">
        <v>0</v>
      </c>
      <c r="FJ41" s="269">
        <v>0</v>
      </c>
      <c r="FK41" s="278">
        <v>0</v>
      </c>
      <c r="FL41" s="265">
        <v>0</v>
      </c>
      <c r="FM41" s="265">
        <v>0</v>
      </c>
      <c r="FN41" s="265">
        <v>0</v>
      </c>
      <c r="FO41" s="265">
        <v>0</v>
      </c>
      <c r="FP41" s="265">
        <v>0</v>
      </c>
      <c r="FQ41" s="265">
        <v>0</v>
      </c>
      <c r="FR41" s="265">
        <v>0</v>
      </c>
      <c r="FS41" s="265">
        <v>0</v>
      </c>
      <c r="FT41" s="265">
        <v>0</v>
      </c>
      <c r="FU41" s="265">
        <v>0</v>
      </c>
      <c r="FV41" s="265">
        <v>0</v>
      </c>
      <c r="FW41" s="265">
        <v>0</v>
      </c>
      <c r="FX41" s="265">
        <v>0</v>
      </c>
      <c r="FY41" s="265">
        <v>0</v>
      </c>
      <c r="FZ41" s="265">
        <v>0</v>
      </c>
      <c r="GA41" s="265">
        <v>0</v>
      </c>
      <c r="GB41" s="265">
        <v>0</v>
      </c>
      <c r="GC41" s="265">
        <v>0</v>
      </c>
      <c r="GD41" s="265">
        <v>0</v>
      </c>
      <c r="GE41" s="265">
        <v>0</v>
      </c>
      <c r="GF41" s="265">
        <v>0</v>
      </c>
      <c r="GG41" s="265">
        <v>0</v>
      </c>
      <c r="GH41" s="265">
        <v>0</v>
      </c>
      <c r="GI41" s="265">
        <v>0</v>
      </c>
      <c r="GJ41" s="265">
        <v>0</v>
      </c>
      <c r="GK41" s="265">
        <v>0</v>
      </c>
      <c r="GL41" s="265">
        <v>0</v>
      </c>
      <c r="GM41" s="265">
        <v>0</v>
      </c>
      <c r="GN41" s="265">
        <v>0</v>
      </c>
      <c r="GO41" s="269">
        <v>0</v>
      </c>
      <c r="GP41" s="278">
        <v>0</v>
      </c>
      <c r="GQ41" s="265">
        <v>0</v>
      </c>
      <c r="GR41" s="265">
        <v>0</v>
      </c>
      <c r="GS41" s="265">
        <v>0</v>
      </c>
      <c r="GT41" s="265">
        <v>0</v>
      </c>
      <c r="GU41" s="265">
        <v>0</v>
      </c>
      <c r="GV41" s="265">
        <v>0</v>
      </c>
      <c r="GW41" s="265">
        <v>0</v>
      </c>
      <c r="GX41" s="265">
        <v>0</v>
      </c>
      <c r="GY41" s="265">
        <v>0</v>
      </c>
      <c r="GZ41" s="265">
        <v>0</v>
      </c>
      <c r="HA41" s="265">
        <v>0</v>
      </c>
      <c r="HB41" s="265">
        <v>0</v>
      </c>
      <c r="HC41" s="265">
        <v>0</v>
      </c>
      <c r="HD41" s="265">
        <v>0</v>
      </c>
      <c r="HE41" s="265">
        <v>0</v>
      </c>
      <c r="HF41" s="265">
        <v>0</v>
      </c>
      <c r="HG41" s="265">
        <v>0</v>
      </c>
      <c r="HH41" s="265">
        <v>0</v>
      </c>
      <c r="HI41" s="265"/>
      <c r="HJ41" s="265"/>
      <c r="HK41" s="265"/>
      <c r="HL41" s="265"/>
      <c r="HM41" s="265"/>
      <c r="HN41" s="265"/>
      <c r="HO41" s="265"/>
      <c r="HP41" s="265"/>
      <c r="HQ41" s="265"/>
      <c r="HR41" s="265"/>
      <c r="HS41" s="265"/>
      <c r="HT41" s="368"/>
      <c r="HU41" s="363">
        <f t="shared" si="59"/>
        <v>100</v>
      </c>
    </row>
    <row r="42" spans="1:229" ht="15.75" thickBot="1" x14ac:dyDescent="0.3">
      <c r="A42" s="2">
        <v>8</v>
      </c>
      <c r="B42" s="474"/>
      <c r="C42" s="23" t="s">
        <v>8</v>
      </c>
      <c r="D42" s="29" t="s">
        <v>19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24">
        <f t="shared" si="58"/>
        <v>0</v>
      </c>
      <c r="N42" s="239"/>
      <c r="O42" s="7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62"/>
      <c r="AR42" s="7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01">
        <v>0</v>
      </c>
      <c r="BJ42" s="101">
        <v>0</v>
      </c>
      <c r="BK42" s="101">
        <v>0</v>
      </c>
      <c r="BL42" s="101">
        <v>0</v>
      </c>
      <c r="BM42" s="101">
        <v>0</v>
      </c>
      <c r="BN42" s="101">
        <v>0</v>
      </c>
      <c r="BO42" s="101">
        <v>0</v>
      </c>
      <c r="BP42" s="101">
        <v>0</v>
      </c>
      <c r="BQ42" s="101">
        <v>0</v>
      </c>
      <c r="BR42" s="101">
        <v>0</v>
      </c>
      <c r="BS42" s="101">
        <v>0</v>
      </c>
      <c r="BT42" s="13">
        <v>0</v>
      </c>
      <c r="BU42" s="13">
        <v>0</v>
      </c>
      <c r="BV42" s="13">
        <v>0</v>
      </c>
      <c r="BW42" s="162"/>
      <c r="BX42" s="68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265">
        <v>0</v>
      </c>
      <c r="CO42" s="269">
        <v>0</v>
      </c>
      <c r="CP42" s="269">
        <v>0</v>
      </c>
      <c r="CQ42" s="269">
        <v>0</v>
      </c>
      <c r="CR42" s="269">
        <v>0</v>
      </c>
      <c r="CS42" s="269">
        <v>0</v>
      </c>
      <c r="CT42" s="269">
        <v>0</v>
      </c>
      <c r="CU42" s="269">
        <v>0</v>
      </c>
      <c r="CV42" s="269">
        <v>0</v>
      </c>
      <c r="CW42" s="269">
        <v>0</v>
      </c>
      <c r="CX42" s="269">
        <v>0</v>
      </c>
      <c r="CY42" s="269">
        <v>0</v>
      </c>
      <c r="CZ42" s="265">
        <v>0</v>
      </c>
      <c r="DA42" s="269">
        <v>0</v>
      </c>
      <c r="DB42" s="73">
        <v>0</v>
      </c>
      <c r="DC42" s="13">
        <v>0</v>
      </c>
      <c r="DD42" s="13">
        <v>0</v>
      </c>
      <c r="DE42" s="13">
        <v>44</v>
      </c>
      <c r="DF42" s="13">
        <v>0</v>
      </c>
      <c r="DG42" s="13">
        <v>0</v>
      </c>
      <c r="DH42" s="265">
        <v>0</v>
      </c>
      <c r="DI42" s="265">
        <v>0</v>
      </c>
      <c r="DJ42" s="265">
        <v>0</v>
      </c>
      <c r="DK42" s="265">
        <v>0</v>
      </c>
      <c r="DL42" s="265">
        <v>0</v>
      </c>
      <c r="DM42" s="265">
        <v>0</v>
      </c>
      <c r="DN42" s="265">
        <v>0</v>
      </c>
      <c r="DO42" s="265">
        <v>0</v>
      </c>
      <c r="DP42" s="265">
        <v>0</v>
      </c>
      <c r="DQ42" s="265">
        <v>0</v>
      </c>
      <c r="DR42" s="265">
        <v>0</v>
      </c>
      <c r="DS42" s="265">
        <v>0</v>
      </c>
      <c r="DT42" s="265">
        <v>0</v>
      </c>
      <c r="DU42" s="265">
        <v>0</v>
      </c>
      <c r="DV42" s="265">
        <v>0</v>
      </c>
      <c r="DW42" s="265">
        <v>0</v>
      </c>
      <c r="DX42" s="265">
        <v>0</v>
      </c>
      <c r="DY42" s="265">
        <v>0</v>
      </c>
      <c r="DZ42" s="265">
        <v>0</v>
      </c>
      <c r="EA42" s="265">
        <v>0</v>
      </c>
      <c r="EB42" s="265">
        <v>0</v>
      </c>
      <c r="EC42" s="265">
        <v>0</v>
      </c>
      <c r="ED42" s="265">
        <v>0</v>
      </c>
      <c r="EE42" s="265">
        <v>0</v>
      </c>
      <c r="EF42" s="269">
        <v>0</v>
      </c>
      <c r="EG42" s="278">
        <v>0</v>
      </c>
      <c r="EH42" s="265">
        <v>0</v>
      </c>
      <c r="EI42" s="265">
        <v>0</v>
      </c>
      <c r="EJ42" s="265">
        <v>0</v>
      </c>
      <c r="EK42" s="265">
        <v>0</v>
      </c>
      <c r="EL42" s="265">
        <v>0</v>
      </c>
      <c r="EM42" s="265">
        <v>0</v>
      </c>
      <c r="EN42" s="265">
        <v>0</v>
      </c>
      <c r="EO42" s="265">
        <v>0</v>
      </c>
      <c r="EP42" s="265">
        <v>0</v>
      </c>
      <c r="EQ42" s="265">
        <v>0</v>
      </c>
      <c r="ER42" s="265">
        <v>0</v>
      </c>
      <c r="ES42" s="265">
        <v>0</v>
      </c>
      <c r="ET42" s="265">
        <v>0</v>
      </c>
      <c r="EU42" s="265">
        <v>0</v>
      </c>
      <c r="EV42" s="265">
        <v>0</v>
      </c>
      <c r="EW42" s="265">
        <v>0</v>
      </c>
      <c r="EX42" s="265">
        <v>0</v>
      </c>
      <c r="EY42" s="265">
        <v>0</v>
      </c>
      <c r="EZ42" s="265">
        <v>0</v>
      </c>
      <c r="FA42" s="265">
        <v>0</v>
      </c>
      <c r="FB42" s="265">
        <v>0</v>
      </c>
      <c r="FC42" s="265">
        <v>0</v>
      </c>
      <c r="FD42" s="265">
        <v>0</v>
      </c>
      <c r="FE42" s="265">
        <v>0</v>
      </c>
      <c r="FF42" s="265">
        <v>0</v>
      </c>
      <c r="FG42" s="265">
        <v>0</v>
      </c>
      <c r="FH42" s="265">
        <v>0</v>
      </c>
      <c r="FI42" s="265">
        <v>0</v>
      </c>
      <c r="FJ42" s="269">
        <v>0</v>
      </c>
      <c r="FK42" s="278">
        <v>0</v>
      </c>
      <c r="FL42" s="265">
        <v>0</v>
      </c>
      <c r="FM42" s="265">
        <v>0</v>
      </c>
      <c r="FN42" s="265">
        <v>0</v>
      </c>
      <c r="FO42" s="265">
        <v>0</v>
      </c>
      <c r="FP42" s="265">
        <v>0</v>
      </c>
      <c r="FQ42" s="265">
        <v>0</v>
      </c>
      <c r="FR42" s="265">
        <v>0</v>
      </c>
      <c r="FS42" s="265">
        <v>0</v>
      </c>
      <c r="FT42" s="265">
        <v>0</v>
      </c>
      <c r="FU42" s="265">
        <v>0</v>
      </c>
      <c r="FV42" s="265">
        <v>0</v>
      </c>
      <c r="FW42" s="265">
        <v>0</v>
      </c>
      <c r="FX42" s="265">
        <v>0</v>
      </c>
      <c r="FY42" s="265">
        <v>26</v>
      </c>
      <c r="FZ42" s="265">
        <v>0</v>
      </c>
      <c r="GA42" s="265">
        <v>0</v>
      </c>
      <c r="GB42" s="265">
        <v>0</v>
      </c>
      <c r="GC42" s="265">
        <v>0</v>
      </c>
      <c r="GD42" s="265">
        <v>0</v>
      </c>
      <c r="GE42" s="265">
        <v>0</v>
      </c>
      <c r="GF42" s="265">
        <v>0</v>
      </c>
      <c r="GG42" s="265">
        <v>0</v>
      </c>
      <c r="GH42" s="265">
        <v>0</v>
      </c>
      <c r="GI42" s="265">
        <v>0</v>
      </c>
      <c r="GJ42" s="265">
        <v>0</v>
      </c>
      <c r="GK42" s="265">
        <v>0</v>
      </c>
      <c r="GL42" s="265">
        <v>0</v>
      </c>
      <c r="GM42" s="265">
        <v>0</v>
      </c>
      <c r="GN42" s="265">
        <v>34</v>
      </c>
      <c r="GO42" s="269">
        <v>0</v>
      </c>
      <c r="GP42" s="278">
        <v>0</v>
      </c>
      <c r="GQ42" s="265">
        <v>0</v>
      </c>
      <c r="GR42" s="265">
        <v>0</v>
      </c>
      <c r="GS42" s="265">
        <v>0</v>
      </c>
      <c r="GT42" s="265">
        <v>0</v>
      </c>
      <c r="GU42" s="265">
        <v>0</v>
      </c>
      <c r="GV42" s="265">
        <v>0</v>
      </c>
      <c r="GW42" s="265">
        <v>0</v>
      </c>
      <c r="GX42" s="265">
        <v>0</v>
      </c>
      <c r="GY42" s="265">
        <v>0</v>
      </c>
      <c r="GZ42" s="265">
        <v>0</v>
      </c>
      <c r="HA42" s="265">
        <v>0</v>
      </c>
      <c r="HB42" s="265">
        <v>0</v>
      </c>
      <c r="HC42" s="265">
        <v>0</v>
      </c>
      <c r="HD42" s="265">
        <v>0</v>
      </c>
      <c r="HE42" s="265">
        <v>0</v>
      </c>
      <c r="HF42" s="265">
        <v>0</v>
      </c>
      <c r="HG42" s="265">
        <v>0</v>
      </c>
      <c r="HH42" s="265">
        <v>0</v>
      </c>
      <c r="HI42" s="265"/>
      <c r="HJ42" s="265"/>
      <c r="HK42" s="265"/>
      <c r="HL42" s="265"/>
      <c r="HM42" s="265"/>
      <c r="HN42" s="265"/>
      <c r="HO42" s="265"/>
      <c r="HP42" s="265"/>
      <c r="HQ42" s="265"/>
      <c r="HR42" s="265"/>
      <c r="HS42" s="265"/>
      <c r="HT42" s="368"/>
      <c r="HU42" s="363">
        <f t="shared" si="59"/>
        <v>104</v>
      </c>
    </row>
    <row r="43" spans="1:229" ht="15.75" thickBot="1" x14ac:dyDescent="0.3">
      <c r="A43" s="2">
        <v>9</v>
      </c>
      <c r="B43" s="474"/>
      <c r="C43" s="23" t="s">
        <v>9</v>
      </c>
      <c r="D43" s="29" t="s">
        <v>19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24">
        <f t="shared" si="58"/>
        <v>0</v>
      </c>
      <c r="N43" s="239"/>
      <c r="O43" s="7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62"/>
      <c r="AR43" s="7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01">
        <v>0</v>
      </c>
      <c r="BJ43" s="101">
        <v>0</v>
      </c>
      <c r="BK43" s="101">
        <v>0</v>
      </c>
      <c r="BL43" s="101">
        <v>0</v>
      </c>
      <c r="BM43" s="101">
        <v>0</v>
      </c>
      <c r="BN43" s="101">
        <v>0</v>
      </c>
      <c r="BO43" s="101">
        <v>0</v>
      </c>
      <c r="BP43" s="101">
        <v>0</v>
      </c>
      <c r="BQ43" s="101">
        <v>0</v>
      </c>
      <c r="BR43" s="101">
        <v>0</v>
      </c>
      <c r="BS43" s="101">
        <v>0</v>
      </c>
      <c r="BT43" s="13">
        <v>0</v>
      </c>
      <c r="BU43" s="13">
        <v>0</v>
      </c>
      <c r="BV43" s="13">
        <v>0</v>
      </c>
      <c r="BW43" s="162"/>
      <c r="BX43" s="68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265">
        <v>0</v>
      </c>
      <c r="CO43" s="269">
        <v>0</v>
      </c>
      <c r="CP43" s="269">
        <v>0</v>
      </c>
      <c r="CQ43" s="269">
        <v>0</v>
      </c>
      <c r="CR43" s="269">
        <v>0</v>
      </c>
      <c r="CS43" s="269">
        <v>0</v>
      </c>
      <c r="CT43" s="269">
        <v>0</v>
      </c>
      <c r="CU43" s="269">
        <v>0</v>
      </c>
      <c r="CV43" s="269">
        <v>0</v>
      </c>
      <c r="CW43" s="269">
        <v>0</v>
      </c>
      <c r="CX43" s="269">
        <v>0</v>
      </c>
      <c r="CY43" s="269">
        <v>0</v>
      </c>
      <c r="CZ43" s="265">
        <v>0</v>
      </c>
      <c r="DA43" s="269">
        <v>0</v>
      </c>
      <c r="DB43" s="7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265">
        <v>0</v>
      </c>
      <c r="DI43" s="265">
        <v>0</v>
      </c>
      <c r="DJ43" s="265">
        <v>0</v>
      </c>
      <c r="DK43" s="265">
        <v>0</v>
      </c>
      <c r="DL43" s="265">
        <v>0</v>
      </c>
      <c r="DM43" s="265">
        <v>0</v>
      </c>
      <c r="DN43" s="265">
        <v>0</v>
      </c>
      <c r="DO43" s="265">
        <v>0</v>
      </c>
      <c r="DP43" s="265">
        <v>0</v>
      </c>
      <c r="DQ43" s="265">
        <v>0</v>
      </c>
      <c r="DR43" s="265">
        <v>0</v>
      </c>
      <c r="DS43" s="265">
        <v>0</v>
      </c>
      <c r="DT43" s="265">
        <v>0</v>
      </c>
      <c r="DU43" s="265">
        <v>0</v>
      </c>
      <c r="DV43" s="265">
        <v>0</v>
      </c>
      <c r="DW43" s="265">
        <v>0</v>
      </c>
      <c r="DX43" s="265">
        <v>0</v>
      </c>
      <c r="DY43" s="265">
        <v>0</v>
      </c>
      <c r="DZ43" s="265">
        <v>0</v>
      </c>
      <c r="EA43" s="265">
        <v>0</v>
      </c>
      <c r="EB43" s="265">
        <v>0</v>
      </c>
      <c r="EC43" s="265">
        <v>0</v>
      </c>
      <c r="ED43" s="265">
        <v>0</v>
      </c>
      <c r="EE43" s="265">
        <v>0</v>
      </c>
      <c r="EF43" s="269">
        <v>0</v>
      </c>
      <c r="EG43" s="278">
        <v>0</v>
      </c>
      <c r="EH43" s="265">
        <v>0</v>
      </c>
      <c r="EI43" s="265">
        <v>0</v>
      </c>
      <c r="EJ43" s="265">
        <v>0</v>
      </c>
      <c r="EK43" s="265">
        <v>0</v>
      </c>
      <c r="EL43" s="265">
        <v>0</v>
      </c>
      <c r="EM43" s="265">
        <v>0</v>
      </c>
      <c r="EN43" s="265">
        <v>0</v>
      </c>
      <c r="EO43" s="265">
        <v>0</v>
      </c>
      <c r="EP43" s="265">
        <v>0</v>
      </c>
      <c r="EQ43" s="265">
        <v>0</v>
      </c>
      <c r="ER43" s="265">
        <v>0</v>
      </c>
      <c r="ES43" s="265">
        <v>0</v>
      </c>
      <c r="ET43" s="265">
        <v>0</v>
      </c>
      <c r="EU43" s="265">
        <v>0</v>
      </c>
      <c r="EV43" s="265">
        <v>0</v>
      </c>
      <c r="EW43" s="265">
        <v>0</v>
      </c>
      <c r="EX43" s="265">
        <v>0</v>
      </c>
      <c r="EY43" s="265">
        <v>0</v>
      </c>
      <c r="EZ43" s="265">
        <v>0</v>
      </c>
      <c r="FA43" s="265">
        <v>0</v>
      </c>
      <c r="FB43" s="265">
        <v>0</v>
      </c>
      <c r="FC43" s="265">
        <v>0</v>
      </c>
      <c r="FD43" s="265">
        <v>0</v>
      </c>
      <c r="FE43" s="265">
        <v>0</v>
      </c>
      <c r="FF43" s="265">
        <v>0</v>
      </c>
      <c r="FG43" s="265">
        <v>0</v>
      </c>
      <c r="FH43" s="265">
        <v>0</v>
      </c>
      <c r="FI43" s="265">
        <v>0</v>
      </c>
      <c r="FJ43" s="269">
        <v>0</v>
      </c>
      <c r="FK43" s="278">
        <v>0</v>
      </c>
      <c r="FL43" s="265">
        <v>0</v>
      </c>
      <c r="FM43" s="265">
        <v>0</v>
      </c>
      <c r="FN43" s="265">
        <v>0</v>
      </c>
      <c r="FO43" s="265">
        <v>0</v>
      </c>
      <c r="FP43" s="265">
        <v>0</v>
      </c>
      <c r="FQ43" s="265">
        <v>0</v>
      </c>
      <c r="FR43" s="265">
        <v>0</v>
      </c>
      <c r="FS43" s="265">
        <v>0</v>
      </c>
      <c r="FT43" s="265">
        <v>0</v>
      </c>
      <c r="FU43" s="265">
        <v>0</v>
      </c>
      <c r="FV43" s="265">
        <v>0</v>
      </c>
      <c r="FW43" s="265">
        <v>0</v>
      </c>
      <c r="FX43" s="265">
        <v>0</v>
      </c>
      <c r="FY43" s="265">
        <v>0</v>
      </c>
      <c r="FZ43" s="265">
        <v>0</v>
      </c>
      <c r="GA43" s="265">
        <v>0</v>
      </c>
      <c r="GB43" s="265">
        <v>0</v>
      </c>
      <c r="GC43" s="265">
        <v>0</v>
      </c>
      <c r="GD43" s="265">
        <v>0</v>
      </c>
      <c r="GE43" s="265">
        <v>0</v>
      </c>
      <c r="GF43" s="265">
        <v>0</v>
      </c>
      <c r="GG43" s="265">
        <v>0</v>
      </c>
      <c r="GH43" s="265">
        <v>0</v>
      </c>
      <c r="GI43" s="265">
        <v>0</v>
      </c>
      <c r="GJ43" s="265">
        <v>0</v>
      </c>
      <c r="GK43" s="265">
        <v>0</v>
      </c>
      <c r="GL43" s="265">
        <v>0</v>
      </c>
      <c r="GM43" s="265">
        <v>0</v>
      </c>
      <c r="GN43" s="265">
        <v>0</v>
      </c>
      <c r="GO43" s="269">
        <v>0</v>
      </c>
      <c r="GP43" s="278">
        <v>0</v>
      </c>
      <c r="GQ43" s="265">
        <v>0</v>
      </c>
      <c r="GR43" s="265">
        <v>0</v>
      </c>
      <c r="GS43" s="265">
        <v>0</v>
      </c>
      <c r="GT43" s="265">
        <v>0</v>
      </c>
      <c r="GU43" s="265">
        <v>0</v>
      </c>
      <c r="GV43" s="265">
        <v>0</v>
      </c>
      <c r="GW43" s="265">
        <v>0</v>
      </c>
      <c r="GX43" s="265">
        <v>0</v>
      </c>
      <c r="GY43" s="265">
        <v>0</v>
      </c>
      <c r="GZ43" s="265">
        <v>0</v>
      </c>
      <c r="HA43" s="265">
        <v>0</v>
      </c>
      <c r="HB43" s="265">
        <v>0</v>
      </c>
      <c r="HC43" s="265">
        <v>0</v>
      </c>
      <c r="HD43" s="265">
        <v>0</v>
      </c>
      <c r="HE43" s="265">
        <v>0</v>
      </c>
      <c r="HF43" s="265">
        <v>0</v>
      </c>
      <c r="HG43" s="265">
        <v>0</v>
      </c>
      <c r="HH43" s="265">
        <v>0</v>
      </c>
      <c r="HI43" s="265"/>
      <c r="HJ43" s="265"/>
      <c r="HK43" s="265"/>
      <c r="HL43" s="265"/>
      <c r="HM43" s="265"/>
      <c r="HN43" s="265"/>
      <c r="HO43" s="265"/>
      <c r="HP43" s="265"/>
      <c r="HQ43" s="265"/>
      <c r="HR43" s="265"/>
      <c r="HS43" s="265"/>
      <c r="HT43" s="368"/>
      <c r="HU43" s="363">
        <f t="shared" si="59"/>
        <v>0</v>
      </c>
    </row>
    <row r="44" spans="1:229" ht="15.75" thickBot="1" x14ac:dyDescent="0.3">
      <c r="A44" s="2">
        <v>10</v>
      </c>
      <c r="B44" s="474"/>
      <c r="C44" s="23" t="s">
        <v>10</v>
      </c>
      <c r="D44" s="29" t="s">
        <v>19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24">
        <f t="shared" si="58"/>
        <v>0</v>
      </c>
      <c r="N44" s="239"/>
      <c r="O44" s="7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62"/>
      <c r="AR44" s="7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01">
        <v>0</v>
      </c>
      <c r="BJ44" s="101">
        <v>0</v>
      </c>
      <c r="BK44" s="101">
        <v>0</v>
      </c>
      <c r="BL44" s="101">
        <v>0</v>
      </c>
      <c r="BM44" s="101">
        <v>0</v>
      </c>
      <c r="BN44" s="101">
        <v>0</v>
      </c>
      <c r="BO44" s="101">
        <v>0</v>
      </c>
      <c r="BP44" s="101">
        <v>0</v>
      </c>
      <c r="BQ44" s="101">
        <v>0</v>
      </c>
      <c r="BR44" s="101">
        <v>0</v>
      </c>
      <c r="BS44" s="101">
        <v>0</v>
      </c>
      <c r="BT44" s="13">
        <v>0</v>
      </c>
      <c r="BU44" s="13">
        <v>0</v>
      </c>
      <c r="BV44" s="13">
        <v>0</v>
      </c>
      <c r="BW44" s="162"/>
      <c r="BX44" s="68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265">
        <v>0</v>
      </c>
      <c r="CO44" s="269">
        <v>0</v>
      </c>
      <c r="CP44" s="269">
        <v>0</v>
      </c>
      <c r="CQ44" s="269">
        <v>0</v>
      </c>
      <c r="CR44" s="269">
        <v>0</v>
      </c>
      <c r="CS44" s="269">
        <v>0</v>
      </c>
      <c r="CT44" s="269">
        <v>0</v>
      </c>
      <c r="CU44" s="269">
        <v>0</v>
      </c>
      <c r="CV44" s="269">
        <v>0</v>
      </c>
      <c r="CW44" s="269">
        <v>0</v>
      </c>
      <c r="CX44" s="269">
        <v>0</v>
      </c>
      <c r="CY44" s="269">
        <v>0</v>
      </c>
      <c r="CZ44" s="265">
        <v>0</v>
      </c>
      <c r="DA44" s="269">
        <v>0</v>
      </c>
      <c r="DB44" s="7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265">
        <v>0</v>
      </c>
      <c r="DI44" s="265">
        <v>0</v>
      </c>
      <c r="DJ44" s="265">
        <v>0</v>
      </c>
      <c r="DK44" s="265">
        <v>0</v>
      </c>
      <c r="DL44" s="265">
        <v>0</v>
      </c>
      <c r="DM44" s="265">
        <v>0</v>
      </c>
      <c r="DN44" s="265">
        <v>0</v>
      </c>
      <c r="DO44" s="265">
        <v>0</v>
      </c>
      <c r="DP44" s="265">
        <v>0</v>
      </c>
      <c r="DQ44" s="265">
        <v>0</v>
      </c>
      <c r="DR44" s="265">
        <v>0</v>
      </c>
      <c r="DS44" s="265">
        <v>0</v>
      </c>
      <c r="DT44" s="265">
        <v>0</v>
      </c>
      <c r="DU44" s="265">
        <v>0</v>
      </c>
      <c r="DV44" s="265">
        <v>0</v>
      </c>
      <c r="DW44" s="265">
        <v>0</v>
      </c>
      <c r="DX44" s="265">
        <v>0</v>
      </c>
      <c r="DY44" s="265">
        <v>0</v>
      </c>
      <c r="DZ44" s="265">
        <v>0</v>
      </c>
      <c r="EA44" s="265">
        <v>0</v>
      </c>
      <c r="EB44" s="265">
        <v>0</v>
      </c>
      <c r="EC44" s="265">
        <v>0</v>
      </c>
      <c r="ED44" s="265">
        <v>0</v>
      </c>
      <c r="EE44" s="265">
        <v>0</v>
      </c>
      <c r="EF44" s="269">
        <v>0</v>
      </c>
      <c r="EG44" s="278">
        <v>0</v>
      </c>
      <c r="EH44" s="265">
        <v>0</v>
      </c>
      <c r="EI44" s="265">
        <v>0</v>
      </c>
      <c r="EJ44" s="265">
        <v>0</v>
      </c>
      <c r="EK44" s="265">
        <v>0</v>
      </c>
      <c r="EL44" s="265">
        <v>0</v>
      </c>
      <c r="EM44" s="265">
        <v>0</v>
      </c>
      <c r="EN44" s="265">
        <v>0</v>
      </c>
      <c r="EO44" s="265">
        <v>0</v>
      </c>
      <c r="EP44" s="265">
        <v>0</v>
      </c>
      <c r="EQ44" s="265">
        <v>0</v>
      </c>
      <c r="ER44" s="265">
        <v>0</v>
      </c>
      <c r="ES44" s="265">
        <v>0</v>
      </c>
      <c r="ET44" s="265">
        <v>0</v>
      </c>
      <c r="EU44" s="265">
        <v>0</v>
      </c>
      <c r="EV44" s="265">
        <v>0</v>
      </c>
      <c r="EW44" s="265">
        <v>0</v>
      </c>
      <c r="EX44" s="265">
        <v>0</v>
      </c>
      <c r="EY44" s="265">
        <v>0</v>
      </c>
      <c r="EZ44" s="265">
        <v>0</v>
      </c>
      <c r="FA44" s="265">
        <v>0</v>
      </c>
      <c r="FB44" s="265">
        <v>0</v>
      </c>
      <c r="FC44" s="265">
        <v>0</v>
      </c>
      <c r="FD44" s="265">
        <v>0</v>
      </c>
      <c r="FE44" s="265">
        <v>0</v>
      </c>
      <c r="FF44" s="265">
        <v>0</v>
      </c>
      <c r="FG44" s="265">
        <v>0</v>
      </c>
      <c r="FH44" s="265">
        <v>0</v>
      </c>
      <c r="FI44" s="265">
        <v>0</v>
      </c>
      <c r="FJ44" s="269">
        <v>0</v>
      </c>
      <c r="FK44" s="278">
        <v>0</v>
      </c>
      <c r="FL44" s="265">
        <v>0</v>
      </c>
      <c r="FM44" s="265">
        <v>0</v>
      </c>
      <c r="FN44" s="265">
        <v>0</v>
      </c>
      <c r="FO44" s="265">
        <v>0</v>
      </c>
      <c r="FP44" s="265">
        <v>0</v>
      </c>
      <c r="FQ44" s="265">
        <v>0</v>
      </c>
      <c r="FR44" s="265">
        <v>0</v>
      </c>
      <c r="FS44" s="265">
        <v>0</v>
      </c>
      <c r="FT44" s="265">
        <v>0</v>
      </c>
      <c r="FU44" s="265">
        <v>0</v>
      </c>
      <c r="FV44" s="265">
        <v>0</v>
      </c>
      <c r="FW44" s="265">
        <v>0</v>
      </c>
      <c r="FX44" s="265">
        <v>0</v>
      </c>
      <c r="FY44" s="265">
        <v>0</v>
      </c>
      <c r="FZ44" s="265">
        <v>0</v>
      </c>
      <c r="GA44" s="265">
        <v>0</v>
      </c>
      <c r="GB44" s="265">
        <v>0</v>
      </c>
      <c r="GC44" s="265">
        <v>0</v>
      </c>
      <c r="GD44" s="265">
        <v>0</v>
      </c>
      <c r="GE44" s="265">
        <v>0</v>
      </c>
      <c r="GF44" s="265">
        <v>0</v>
      </c>
      <c r="GG44" s="265">
        <v>0</v>
      </c>
      <c r="GH44" s="265">
        <v>0</v>
      </c>
      <c r="GI44" s="265">
        <v>0</v>
      </c>
      <c r="GJ44" s="265">
        <v>0</v>
      </c>
      <c r="GK44" s="265">
        <v>0</v>
      </c>
      <c r="GL44" s="265">
        <v>0</v>
      </c>
      <c r="GM44" s="265">
        <v>0</v>
      </c>
      <c r="GN44" s="265">
        <v>0</v>
      </c>
      <c r="GO44" s="269">
        <v>0</v>
      </c>
      <c r="GP44" s="278">
        <v>0</v>
      </c>
      <c r="GQ44" s="265">
        <v>0</v>
      </c>
      <c r="GR44" s="265">
        <v>0</v>
      </c>
      <c r="GS44" s="265">
        <v>0</v>
      </c>
      <c r="GT44" s="265">
        <v>0</v>
      </c>
      <c r="GU44" s="265">
        <v>0</v>
      </c>
      <c r="GV44" s="265">
        <v>0</v>
      </c>
      <c r="GW44" s="265">
        <v>0</v>
      </c>
      <c r="GX44" s="265">
        <v>0</v>
      </c>
      <c r="GY44" s="265">
        <v>0</v>
      </c>
      <c r="GZ44" s="265">
        <v>0</v>
      </c>
      <c r="HA44" s="265">
        <v>0</v>
      </c>
      <c r="HB44" s="265">
        <v>0</v>
      </c>
      <c r="HC44" s="265">
        <v>0</v>
      </c>
      <c r="HD44" s="265">
        <v>0</v>
      </c>
      <c r="HE44" s="265">
        <v>0</v>
      </c>
      <c r="HF44" s="265">
        <v>0</v>
      </c>
      <c r="HG44" s="265">
        <v>0</v>
      </c>
      <c r="HH44" s="265">
        <v>0</v>
      </c>
      <c r="HI44" s="265"/>
      <c r="HJ44" s="265"/>
      <c r="HK44" s="265"/>
      <c r="HL44" s="265"/>
      <c r="HM44" s="265"/>
      <c r="HN44" s="265"/>
      <c r="HO44" s="265"/>
      <c r="HP44" s="265"/>
      <c r="HQ44" s="265"/>
      <c r="HR44" s="265"/>
      <c r="HS44" s="265"/>
      <c r="HT44" s="368"/>
      <c r="HU44" s="363">
        <f t="shared" si="59"/>
        <v>0</v>
      </c>
    </row>
    <row r="45" spans="1:229" x14ac:dyDescent="0.25">
      <c r="A45" s="2">
        <v>11</v>
      </c>
      <c r="B45" s="496"/>
      <c r="C45" s="23" t="s">
        <v>11</v>
      </c>
      <c r="D45" s="29" t="s">
        <v>19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24">
        <f t="shared" si="58"/>
        <v>0</v>
      </c>
      <c r="N45" s="239"/>
      <c r="O45" s="7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62"/>
      <c r="AR45" s="7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01">
        <v>0</v>
      </c>
      <c r="BJ45" s="101">
        <v>0</v>
      </c>
      <c r="BK45" s="101">
        <v>0</v>
      </c>
      <c r="BL45" s="101">
        <v>0</v>
      </c>
      <c r="BM45" s="101">
        <v>0</v>
      </c>
      <c r="BN45" s="101">
        <v>0</v>
      </c>
      <c r="BO45" s="101">
        <v>0</v>
      </c>
      <c r="BP45" s="101">
        <v>0</v>
      </c>
      <c r="BQ45" s="101">
        <v>0</v>
      </c>
      <c r="BR45" s="101">
        <v>0</v>
      </c>
      <c r="BS45" s="101">
        <v>0</v>
      </c>
      <c r="BT45" s="13">
        <v>0</v>
      </c>
      <c r="BU45" s="13">
        <v>0</v>
      </c>
      <c r="BV45" s="13">
        <v>0</v>
      </c>
      <c r="BW45" s="162"/>
      <c r="BX45" s="68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265">
        <v>0</v>
      </c>
      <c r="CO45" s="269">
        <v>0</v>
      </c>
      <c r="CP45" s="269">
        <v>0</v>
      </c>
      <c r="CQ45" s="269">
        <v>0</v>
      </c>
      <c r="CR45" s="269">
        <v>0</v>
      </c>
      <c r="CS45" s="269">
        <v>0</v>
      </c>
      <c r="CT45" s="269">
        <v>0</v>
      </c>
      <c r="CU45" s="269">
        <v>0</v>
      </c>
      <c r="CV45" s="269">
        <v>0</v>
      </c>
      <c r="CW45" s="269">
        <v>0</v>
      </c>
      <c r="CX45" s="269">
        <v>0</v>
      </c>
      <c r="CY45" s="269">
        <v>0</v>
      </c>
      <c r="CZ45" s="265">
        <v>0</v>
      </c>
      <c r="DA45" s="269">
        <v>0</v>
      </c>
      <c r="DB45" s="7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265">
        <v>0</v>
      </c>
      <c r="DI45" s="265">
        <v>0</v>
      </c>
      <c r="DJ45" s="265">
        <v>0</v>
      </c>
      <c r="DK45" s="265">
        <v>0</v>
      </c>
      <c r="DL45" s="265">
        <v>0</v>
      </c>
      <c r="DM45" s="265">
        <v>0</v>
      </c>
      <c r="DN45" s="265">
        <v>0</v>
      </c>
      <c r="DO45" s="265">
        <v>0</v>
      </c>
      <c r="DP45" s="265">
        <v>0</v>
      </c>
      <c r="DQ45" s="265">
        <v>0</v>
      </c>
      <c r="DR45" s="265">
        <v>0</v>
      </c>
      <c r="DS45" s="265">
        <v>0</v>
      </c>
      <c r="DT45" s="265">
        <v>0</v>
      </c>
      <c r="DU45" s="265">
        <v>0</v>
      </c>
      <c r="DV45" s="265">
        <v>0</v>
      </c>
      <c r="DW45" s="265">
        <v>0</v>
      </c>
      <c r="DX45" s="265">
        <v>0</v>
      </c>
      <c r="DY45" s="265">
        <v>0</v>
      </c>
      <c r="DZ45" s="265">
        <v>0</v>
      </c>
      <c r="EA45" s="265">
        <v>0</v>
      </c>
      <c r="EB45" s="265">
        <v>0</v>
      </c>
      <c r="EC45" s="265">
        <v>0</v>
      </c>
      <c r="ED45" s="265">
        <v>0</v>
      </c>
      <c r="EE45" s="265">
        <v>0</v>
      </c>
      <c r="EF45" s="269">
        <v>0</v>
      </c>
      <c r="EG45" s="278">
        <v>0</v>
      </c>
      <c r="EH45" s="265">
        <v>0</v>
      </c>
      <c r="EI45" s="265">
        <v>0</v>
      </c>
      <c r="EJ45" s="265">
        <v>0</v>
      </c>
      <c r="EK45" s="265">
        <v>0</v>
      </c>
      <c r="EL45" s="265">
        <v>0</v>
      </c>
      <c r="EM45" s="265">
        <v>0</v>
      </c>
      <c r="EN45" s="265">
        <v>0</v>
      </c>
      <c r="EO45" s="265">
        <v>0</v>
      </c>
      <c r="EP45" s="265">
        <v>0</v>
      </c>
      <c r="EQ45" s="265">
        <v>0</v>
      </c>
      <c r="ER45" s="265">
        <v>0</v>
      </c>
      <c r="ES45" s="265">
        <v>0</v>
      </c>
      <c r="ET45" s="265">
        <v>0</v>
      </c>
      <c r="EU45" s="265">
        <v>0</v>
      </c>
      <c r="EV45" s="265">
        <v>0</v>
      </c>
      <c r="EW45" s="265">
        <v>0</v>
      </c>
      <c r="EX45" s="265">
        <v>0</v>
      </c>
      <c r="EY45" s="265">
        <v>0</v>
      </c>
      <c r="EZ45" s="265">
        <v>0</v>
      </c>
      <c r="FA45" s="265">
        <v>0</v>
      </c>
      <c r="FB45" s="265">
        <v>0</v>
      </c>
      <c r="FC45" s="265">
        <v>0</v>
      </c>
      <c r="FD45" s="265">
        <v>0</v>
      </c>
      <c r="FE45" s="265">
        <v>0</v>
      </c>
      <c r="FF45" s="265">
        <v>0</v>
      </c>
      <c r="FG45" s="265">
        <v>0</v>
      </c>
      <c r="FH45" s="265">
        <v>0</v>
      </c>
      <c r="FI45" s="265">
        <v>0</v>
      </c>
      <c r="FJ45" s="269">
        <v>0</v>
      </c>
      <c r="FK45" s="278">
        <v>0</v>
      </c>
      <c r="FL45" s="265">
        <v>0</v>
      </c>
      <c r="FM45" s="265">
        <v>0</v>
      </c>
      <c r="FN45" s="265">
        <v>0</v>
      </c>
      <c r="FO45" s="265">
        <v>0</v>
      </c>
      <c r="FP45" s="265">
        <v>0</v>
      </c>
      <c r="FQ45" s="265">
        <v>0</v>
      </c>
      <c r="FR45" s="265">
        <v>0</v>
      </c>
      <c r="FS45" s="265">
        <v>0</v>
      </c>
      <c r="FT45" s="265">
        <v>0</v>
      </c>
      <c r="FU45" s="265">
        <v>0</v>
      </c>
      <c r="FV45" s="265">
        <v>0</v>
      </c>
      <c r="FW45" s="265">
        <v>0</v>
      </c>
      <c r="FX45" s="265">
        <v>0</v>
      </c>
      <c r="FY45" s="265">
        <v>0</v>
      </c>
      <c r="FZ45" s="265">
        <v>0</v>
      </c>
      <c r="GA45" s="265">
        <v>0</v>
      </c>
      <c r="GB45" s="265">
        <v>0</v>
      </c>
      <c r="GC45" s="265">
        <v>0</v>
      </c>
      <c r="GD45" s="265">
        <v>0</v>
      </c>
      <c r="GE45" s="265">
        <v>0</v>
      </c>
      <c r="GF45" s="265">
        <v>0</v>
      </c>
      <c r="GG45" s="265">
        <v>0</v>
      </c>
      <c r="GH45" s="265">
        <v>0</v>
      </c>
      <c r="GI45" s="265">
        <v>0</v>
      </c>
      <c r="GJ45" s="265">
        <v>0</v>
      </c>
      <c r="GK45" s="265">
        <v>0</v>
      </c>
      <c r="GL45" s="265">
        <v>0</v>
      </c>
      <c r="GM45" s="265">
        <v>0</v>
      </c>
      <c r="GN45" s="265">
        <v>0</v>
      </c>
      <c r="GO45" s="269">
        <v>0</v>
      </c>
      <c r="GP45" s="278">
        <v>0</v>
      </c>
      <c r="GQ45" s="265">
        <v>0</v>
      </c>
      <c r="GR45" s="265">
        <v>0</v>
      </c>
      <c r="GS45" s="265">
        <v>0</v>
      </c>
      <c r="GT45" s="265">
        <v>0</v>
      </c>
      <c r="GU45" s="265">
        <v>0</v>
      </c>
      <c r="GV45" s="265">
        <v>0</v>
      </c>
      <c r="GW45" s="265">
        <v>0</v>
      </c>
      <c r="GX45" s="265">
        <v>0</v>
      </c>
      <c r="GY45" s="265">
        <v>0</v>
      </c>
      <c r="GZ45" s="265">
        <v>0</v>
      </c>
      <c r="HA45" s="265">
        <v>0</v>
      </c>
      <c r="HB45" s="265">
        <v>0</v>
      </c>
      <c r="HC45" s="265">
        <v>0</v>
      </c>
      <c r="HD45" s="265">
        <v>0</v>
      </c>
      <c r="HE45" s="265">
        <v>0</v>
      </c>
      <c r="HF45" s="265">
        <v>0</v>
      </c>
      <c r="HG45" s="265">
        <v>0</v>
      </c>
      <c r="HH45" s="265">
        <v>0</v>
      </c>
      <c r="HI45" s="265"/>
      <c r="HJ45" s="265"/>
      <c r="HK45" s="265"/>
      <c r="HL45" s="265"/>
      <c r="HM45" s="265"/>
      <c r="HN45" s="265"/>
      <c r="HO45" s="265"/>
      <c r="HP45" s="265"/>
      <c r="HQ45" s="265"/>
      <c r="HR45" s="265"/>
      <c r="HS45" s="265"/>
      <c r="HT45" s="368"/>
      <c r="HU45" s="363">
        <f t="shared" si="59"/>
        <v>0</v>
      </c>
    </row>
    <row r="46" spans="1:229" ht="16.5" thickBot="1" x14ac:dyDescent="0.3">
      <c r="A46" s="15"/>
      <c r="B46" s="15"/>
      <c r="C46" s="24" t="s">
        <v>12</v>
      </c>
      <c r="D46" s="79" t="s">
        <v>19</v>
      </c>
      <c r="E46" s="20">
        <f>SUM(E35:E45)</f>
        <v>0</v>
      </c>
      <c r="F46" s="20">
        <f>SUM(F35:F45)</f>
        <v>0</v>
      </c>
      <c r="G46" s="20">
        <f t="shared" ref="G46:L46" si="60">SUM(G35:G45)</f>
        <v>0</v>
      </c>
      <c r="H46" s="20">
        <f t="shared" si="60"/>
        <v>0</v>
      </c>
      <c r="I46" s="20">
        <f t="shared" si="60"/>
        <v>0</v>
      </c>
      <c r="J46" s="20">
        <f t="shared" si="60"/>
        <v>0</v>
      </c>
      <c r="K46" s="20">
        <f t="shared" si="60"/>
        <v>0</v>
      </c>
      <c r="L46" s="20">
        <f t="shared" si="60"/>
        <v>0</v>
      </c>
      <c r="M46" s="125">
        <f>SUM(M35:M45)</f>
        <v>0</v>
      </c>
      <c r="N46" s="192"/>
      <c r="O46" s="83">
        <f t="shared" ref="O46:AP46" si="61">SUM(O35:O45)</f>
        <v>0</v>
      </c>
      <c r="P46" s="20">
        <f t="shared" si="61"/>
        <v>0</v>
      </c>
      <c r="Q46" s="20">
        <f t="shared" si="61"/>
        <v>0</v>
      </c>
      <c r="R46" s="20">
        <f t="shared" si="61"/>
        <v>0</v>
      </c>
      <c r="S46" s="20">
        <f t="shared" si="61"/>
        <v>0</v>
      </c>
      <c r="T46" s="20">
        <f t="shared" si="61"/>
        <v>0</v>
      </c>
      <c r="U46" s="20">
        <f t="shared" si="61"/>
        <v>0</v>
      </c>
      <c r="V46" s="20">
        <f t="shared" si="61"/>
        <v>0</v>
      </c>
      <c r="W46" s="20">
        <f t="shared" si="61"/>
        <v>0</v>
      </c>
      <c r="X46" s="20">
        <f t="shared" si="61"/>
        <v>0</v>
      </c>
      <c r="Y46" s="20">
        <f t="shared" si="61"/>
        <v>0</v>
      </c>
      <c r="Z46" s="20">
        <f t="shared" si="61"/>
        <v>0</v>
      </c>
      <c r="AA46" s="20">
        <f t="shared" si="61"/>
        <v>0</v>
      </c>
      <c r="AB46" s="20">
        <f t="shared" si="61"/>
        <v>0</v>
      </c>
      <c r="AC46" s="20">
        <f t="shared" si="61"/>
        <v>0</v>
      </c>
      <c r="AD46" s="20">
        <f t="shared" si="61"/>
        <v>0</v>
      </c>
      <c r="AE46" s="20">
        <f t="shared" si="61"/>
        <v>0</v>
      </c>
      <c r="AF46" s="20">
        <f t="shared" si="61"/>
        <v>0</v>
      </c>
      <c r="AG46" s="20">
        <f t="shared" si="61"/>
        <v>0</v>
      </c>
      <c r="AH46" s="20">
        <f t="shared" si="61"/>
        <v>0</v>
      </c>
      <c r="AI46" s="20">
        <f t="shared" si="61"/>
        <v>0</v>
      </c>
      <c r="AJ46" s="20">
        <f t="shared" si="61"/>
        <v>0</v>
      </c>
      <c r="AK46" s="20">
        <f t="shared" si="61"/>
        <v>0</v>
      </c>
      <c r="AL46" s="20">
        <f t="shared" si="61"/>
        <v>0</v>
      </c>
      <c r="AM46" s="20">
        <f t="shared" si="61"/>
        <v>0</v>
      </c>
      <c r="AN46" s="20">
        <f t="shared" si="61"/>
        <v>0</v>
      </c>
      <c r="AO46" s="20">
        <f t="shared" si="61"/>
        <v>0</v>
      </c>
      <c r="AP46" s="20">
        <f t="shared" si="61"/>
        <v>0</v>
      </c>
      <c r="AQ46" s="177"/>
      <c r="AR46" s="83">
        <f t="shared" ref="AR46:BB46" si="62">SUM(AR35:AR45)</f>
        <v>0</v>
      </c>
      <c r="AS46" s="20">
        <f t="shared" si="62"/>
        <v>0</v>
      </c>
      <c r="AT46" s="20">
        <f t="shared" si="62"/>
        <v>0</v>
      </c>
      <c r="AU46" s="20">
        <f t="shared" si="62"/>
        <v>0</v>
      </c>
      <c r="AV46" s="20">
        <f t="shared" si="62"/>
        <v>0</v>
      </c>
      <c r="AW46" s="20">
        <f t="shared" si="62"/>
        <v>0</v>
      </c>
      <c r="AX46" s="20">
        <f t="shared" si="62"/>
        <v>0</v>
      </c>
      <c r="AY46" s="20">
        <f t="shared" si="62"/>
        <v>0</v>
      </c>
      <c r="AZ46" s="20">
        <f t="shared" si="62"/>
        <v>0</v>
      </c>
      <c r="BA46" s="20">
        <f t="shared" si="62"/>
        <v>0</v>
      </c>
      <c r="BB46" s="20">
        <f t="shared" si="62"/>
        <v>20.5</v>
      </c>
      <c r="BC46" s="20">
        <f>SUM(BC35:BC45)</f>
        <v>0</v>
      </c>
      <c r="BD46" s="20">
        <f>SUM(BD35:BD45)</f>
        <v>0</v>
      </c>
      <c r="BE46" s="20">
        <f>SUM(BE35:BE45)</f>
        <v>0</v>
      </c>
      <c r="BF46" s="20">
        <f>SUM(BF35:BF45)</f>
        <v>0</v>
      </c>
      <c r="BG46" s="20">
        <f t="shared" ref="BG46:BV46" si="63">SUM(BG35:BG45)</f>
        <v>0</v>
      </c>
      <c r="BH46" s="20">
        <f t="shared" si="63"/>
        <v>11</v>
      </c>
      <c r="BI46" s="20">
        <f t="shared" si="63"/>
        <v>0</v>
      </c>
      <c r="BJ46" s="20">
        <f t="shared" si="63"/>
        <v>0</v>
      </c>
      <c r="BK46" s="20">
        <f t="shared" si="63"/>
        <v>0</v>
      </c>
      <c r="BL46" s="20">
        <f t="shared" si="63"/>
        <v>0</v>
      </c>
      <c r="BM46" s="20">
        <f t="shared" si="63"/>
        <v>0</v>
      </c>
      <c r="BN46" s="20">
        <f t="shared" si="63"/>
        <v>0</v>
      </c>
      <c r="BO46" s="20">
        <f t="shared" si="63"/>
        <v>0</v>
      </c>
      <c r="BP46" s="20">
        <f t="shared" si="63"/>
        <v>0</v>
      </c>
      <c r="BQ46" s="20">
        <f t="shared" si="63"/>
        <v>0</v>
      </c>
      <c r="BR46" s="20">
        <f t="shared" si="63"/>
        <v>0</v>
      </c>
      <c r="BS46" s="20">
        <f t="shared" si="63"/>
        <v>0</v>
      </c>
      <c r="BT46" s="20">
        <f t="shared" si="63"/>
        <v>0</v>
      </c>
      <c r="BU46" s="20">
        <f t="shared" si="63"/>
        <v>0</v>
      </c>
      <c r="BV46" s="20">
        <f t="shared" si="63"/>
        <v>0</v>
      </c>
      <c r="BW46" s="177"/>
      <c r="BX46" s="83">
        <f t="shared" ref="BX46:CZ46" si="64">SUM(BX35:BX45)</f>
        <v>10</v>
      </c>
      <c r="BY46" s="20">
        <f>SUM(BY35:BY45)</f>
        <v>12</v>
      </c>
      <c r="BZ46" s="20">
        <f t="shared" si="64"/>
        <v>0</v>
      </c>
      <c r="CA46" s="20">
        <f t="shared" si="64"/>
        <v>0</v>
      </c>
      <c r="CB46" s="20">
        <f t="shared" si="64"/>
        <v>22</v>
      </c>
      <c r="CC46" s="20">
        <f t="shared" si="64"/>
        <v>0</v>
      </c>
      <c r="CD46" s="20">
        <f t="shared" si="64"/>
        <v>0</v>
      </c>
      <c r="CE46" s="20">
        <f t="shared" si="64"/>
        <v>22</v>
      </c>
      <c r="CF46" s="20">
        <f t="shared" si="64"/>
        <v>19.5</v>
      </c>
      <c r="CG46" s="20">
        <f t="shared" si="64"/>
        <v>0</v>
      </c>
      <c r="CH46" s="20">
        <f t="shared" si="64"/>
        <v>0</v>
      </c>
      <c r="CI46" s="20">
        <f t="shared" si="64"/>
        <v>25.5</v>
      </c>
      <c r="CJ46" s="20">
        <f t="shared" si="64"/>
        <v>0</v>
      </c>
      <c r="CK46" s="20">
        <v>0</v>
      </c>
      <c r="CL46" s="20">
        <f t="shared" si="64"/>
        <v>24</v>
      </c>
      <c r="CM46" s="20">
        <f t="shared" si="64"/>
        <v>0</v>
      </c>
      <c r="CN46" s="20">
        <f t="shared" si="64"/>
        <v>0</v>
      </c>
      <c r="CO46" s="20">
        <f t="shared" si="64"/>
        <v>34</v>
      </c>
      <c r="CP46" s="20">
        <f t="shared" si="64"/>
        <v>0</v>
      </c>
      <c r="CQ46" s="20">
        <f t="shared" si="64"/>
        <v>5.3</v>
      </c>
      <c r="CR46" s="20">
        <f t="shared" si="64"/>
        <v>0</v>
      </c>
      <c r="CS46" s="20">
        <f t="shared" si="64"/>
        <v>12</v>
      </c>
      <c r="CT46" s="20">
        <f t="shared" si="64"/>
        <v>0</v>
      </c>
      <c r="CU46" s="20">
        <f t="shared" si="64"/>
        <v>0</v>
      </c>
      <c r="CV46" s="20">
        <f t="shared" si="64"/>
        <v>0</v>
      </c>
      <c r="CW46" s="20">
        <f t="shared" si="64"/>
        <v>0</v>
      </c>
      <c r="CX46" s="20">
        <f t="shared" si="64"/>
        <v>12.6</v>
      </c>
      <c r="CY46" s="20">
        <f t="shared" si="64"/>
        <v>6</v>
      </c>
      <c r="CZ46" s="20">
        <f t="shared" si="64"/>
        <v>0</v>
      </c>
      <c r="DA46" s="159">
        <f t="shared" ref="DA46:DE46" si="65">SUM(DA35:DA45)</f>
        <v>0</v>
      </c>
      <c r="DB46" s="83">
        <f t="shared" si="65"/>
        <v>0</v>
      </c>
      <c r="DC46" s="20">
        <f t="shared" si="65"/>
        <v>16.5</v>
      </c>
      <c r="DD46" s="20">
        <f t="shared" si="65"/>
        <v>35.5</v>
      </c>
      <c r="DE46" s="20">
        <f t="shared" si="65"/>
        <v>63.5</v>
      </c>
      <c r="DF46" s="20">
        <f t="shared" ref="DF46:DH46" si="66">SUM(DF35:DF45)</f>
        <v>23.4</v>
      </c>
      <c r="DG46" s="20">
        <f t="shared" si="66"/>
        <v>24</v>
      </c>
      <c r="DH46" s="20">
        <f t="shared" si="66"/>
        <v>10.199999999999999</v>
      </c>
      <c r="DI46" s="20">
        <f t="shared" ref="DI46:DK46" si="67">SUM(DI35:DI45)</f>
        <v>0</v>
      </c>
      <c r="DJ46" s="20">
        <f>SUM(DJ35:DJ45)</f>
        <v>23.4</v>
      </c>
      <c r="DK46" s="20">
        <f t="shared" si="67"/>
        <v>0</v>
      </c>
      <c r="DL46" s="20">
        <f t="shared" ref="DL46:DQ46" si="68">SUM(DL35:DL45)</f>
        <v>0</v>
      </c>
      <c r="DM46" s="20">
        <f t="shared" si="68"/>
        <v>11.5</v>
      </c>
      <c r="DN46" s="20">
        <f t="shared" si="68"/>
        <v>6.7</v>
      </c>
      <c r="DO46" s="20">
        <f t="shared" si="68"/>
        <v>0</v>
      </c>
      <c r="DP46" s="20">
        <f t="shared" si="68"/>
        <v>0</v>
      </c>
      <c r="DQ46" s="20">
        <f t="shared" si="68"/>
        <v>0</v>
      </c>
      <c r="DR46" s="20">
        <f t="shared" ref="DR46:DW46" si="69">SUM(DR35:DR45)</f>
        <v>0</v>
      </c>
      <c r="DS46" s="20">
        <f t="shared" si="69"/>
        <v>0</v>
      </c>
      <c r="DT46" s="20">
        <f t="shared" si="69"/>
        <v>0</v>
      </c>
      <c r="DU46" s="20">
        <f t="shared" si="69"/>
        <v>15</v>
      </c>
      <c r="DV46" s="20">
        <f t="shared" si="69"/>
        <v>0</v>
      </c>
      <c r="DW46" s="20">
        <f t="shared" si="69"/>
        <v>0</v>
      </c>
      <c r="DX46" s="20">
        <f t="shared" ref="DX46:EF46" si="70">SUM(DX35:DX45)</f>
        <v>0</v>
      </c>
      <c r="DY46" s="20">
        <f t="shared" si="70"/>
        <v>15</v>
      </c>
      <c r="DZ46" s="20">
        <f t="shared" si="70"/>
        <v>0</v>
      </c>
      <c r="EA46" s="20">
        <f t="shared" si="70"/>
        <v>0</v>
      </c>
      <c r="EB46" s="20">
        <f t="shared" si="70"/>
        <v>0</v>
      </c>
      <c r="EC46" s="20">
        <f t="shared" si="70"/>
        <v>0</v>
      </c>
      <c r="ED46" s="20">
        <f t="shared" si="70"/>
        <v>0</v>
      </c>
      <c r="EE46" s="20">
        <f t="shared" si="70"/>
        <v>0</v>
      </c>
      <c r="EF46" s="159">
        <f t="shared" si="70"/>
        <v>15.2</v>
      </c>
      <c r="EG46" s="83">
        <f t="shared" ref="EG46:EJ46" si="71">SUM(EG35:EG45)</f>
        <v>15</v>
      </c>
      <c r="EH46" s="83">
        <f t="shared" si="71"/>
        <v>0</v>
      </c>
      <c r="EI46" s="83">
        <f t="shared" si="71"/>
        <v>0</v>
      </c>
      <c r="EJ46" s="83">
        <f t="shared" si="71"/>
        <v>0</v>
      </c>
      <c r="EK46" s="83">
        <f t="shared" ref="EK46:EL46" si="72">SUM(EK35:EK45)</f>
        <v>0</v>
      </c>
      <c r="EL46" s="83">
        <f t="shared" si="72"/>
        <v>0</v>
      </c>
      <c r="EM46" s="83">
        <f t="shared" ref="EM46:ES46" si="73">SUM(EM35:EM45)</f>
        <v>41.4</v>
      </c>
      <c r="EN46" s="83">
        <f t="shared" si="73"/>
        <v>40</v>
      </c>
      <c r="EO46" s="83">
        <f t="shared" si="73"/>
        <v>41.5</v>
      </c>
      <c r="EP46" s="83">
        <f t="shared" si="73"/>
        <v>26</v>
      </c>
      <c r="EQ46" s="83">
        <f t="shared" si="73"/>
        <v>17</v>
      </c>
      <c r="ER46" s="83">
        <f t="shared" si="73"/>
        <v>0</v>
      </c>
      <c r="ES46" s="83">
        <f t="shared" si="73"/>
        <v>0</v>
      </c>
      <c r="ET46" s="83">
        <f t="shared" ref="ET46:EX46" si="74">SUM(ET35:ET45)</f>
        <v>11</v>
      </c>
      <c r="EU46" s="83">
        <f t="shared" si="74"/>
        <v>52</v>
      </c>
      <c r="EV46" s="83">
        <f t="shared" si="74"/>
        <v>0</v>
      </c>
      <c r="EW46" s="83">
        <f t="shared" si="74"/>
        <v>19</v>
      </c>
      <c r="EX46" s="83">
        <f t="shared" si="74"/>
        <v>61.5</v>
      </c>
      <c r="EY46" s="83">
        <f t="shared" ref="EY46:FB46" si="75">SUM(EY35:EY45)</f>
        <v>0</v>
      </c>
      <c r="EZ46" s="83">
        <f t="shared" si="75"/>
        <v>36</v>
      </c>
      <c r="FA46" s="83">
        <f t="shared" si="75"/>
        <v>0</v>
      </c>
      <c r="FB46" s="83">
        <f t="shared" si="75"/>
        <v>24.5</v>
      </c>
      <c r="FC46" s="83">
        <f t="shared" ref="FC46:FG46" si="76">SUM(FC35:FC45)</f>
        <v>28.5</v>
      </c>
      <c r="FD46" s="83">
        <f t="shared" si="76"/>
        <v>24</v>
      </c>
      <c r="FE46" s="83">
        <f t="shared" si="76"/>
        <v>0</v>
      </c>
      <c r="FF46" s="83">
        <f t="shared" si="76"/>
        <v>0</v>
      </c>
      <c r="FG46" s="83">
        <f t="shared" si="76"/>
        <v>5.4</v>
      </c>
      <c r="FH46" s="83">
        <f t="shared" ref="FH46:FN46" si="77">SUM(FH35:FH45)</f>
        <v>41.8</v>
      </c>
      <c r="FI46" s="83">
        <f t="shared" si="77"/>
        <v>25.2</v>
      </c>
      <c r="FJ46" s="371">
        <f t="shared" si="77"/>
        <v>0</v>
      </c>
      <c r="FK46" s="83">
        <f t="shared" si="77"/>
        <v>86.8</v>
      </c>
      <c r="FL46" s="83">
        <f t="shared" si="77"/>
        <v>11.5</v>
      </c>
      <c r="FM46" s="83">
        <f t="shared" si="77"/>
        <v>0</v>
      </c>
      <c r="FN46" s="83">
        <f t="shared" si="77"/>
        <v>3</v>
      </c>
      <c r="FO46" s="83">
        <f t="shared" ref="FO46:FP46" si="78">SUM(FO35:FO45)</f>
        <v>0</v>
      </c>
      <c r="FP46" s="83">
        <f t="shared" si="78"/>
        <v>15.5</v>
      </c>
      <c r="FQ46" s="83">
        <f t="shared" ref="FQ46:FR46" si="79">SUM(FQ35:FQ45)</f>
        <v>0</v>
      </c>
      <c r="FR46" s="83">
        <f t="shared" si="79"/>
        <v>0</v>
      </c>
      <c r="FS46" s="83">
        <f t="shared" ref="FS46:FU46" si="80">SUM(FS35:FS45)</f>
        <v>1.5</v>
      </c>
      <c r="FT46" s="83">
        <f t="shared" si="80"/>
        <v>0</v>
      </c>
      <c r="FU46" s="83">
        <f t="shared" si="80"/>
        <v>71.8</v>
      </c>
      <c r="FV46" s="83">
        <f t="shared" ref="FV46:GA46" si="81">SUM(FV35:FV45)</f>
        <v>27</v>
      </c>
      <c r="FW46" s="83">
        <f t="shared" si="81"/>
        <v>23</v>
      </c>
      <c r="FX46" s="83">
        <f t="shared" si="81"/>
        <v>5.0999999999999996</v>
      </c>
      <c r="FY46" s="83">
        <f t="shared" si="81"/>
        <v>26</v>
      </c>
      <c r="FZ46" s="83">
        <f t="shared" si="81"/>
        <v>0</v>
      </c>
      <c r="GA46" s="83">
        <f t="shared" si="81"/>
        <v>0</v>
      </c>
      <c r="GB46" s="83">
        <f t="shared" ref="GB46:GC46" si="82">SUM(GB35:GB45)</f>
        <v>7</v>
      </c>
      <c r="GC46" s="83">
        <f t="shared" si="82"/>
        <v>0</v>
      </c>
      <c r="GD46" s="83">
        <f t="shared" ref="GD46:GE46" si="83">SUM(GD35:GD45)</f>
        <v>0</v>
      </c>
      <c r="GE46" s="83">
        <f t="shared" si="83"/>
        <v>0</v>
      </c>
      <c r="GF46" s="83">
        <f t="shared" ref="GF46:GH46" si="84">SUM(GF35:GF45)</f>
        <v>4.5</v>
      </c>
      <c r="GG46" s="83">
        <f t="shared" si="84"/>
        <v>0</v>
      </c>
      <c r="GH46" s="83">
        <f t="shared" si="84"/>
        <v>0</v>
      </c>
      <c r="GI46" s="83">
        <f t="shared" ref="GI46:GP46" si="85">SUM(GI35:GI45)</f>
        <v>0</v>
      </c>
      <c r="GJ46" s="83">
        <f t="shared" si="85"/>
        <v>10</v>
      </c>
      <c r="GK46" s="83">
        <f t="shared" si="85"/>
        <v>0</v>
      </c>
      <c r="GL46" s="83">
        <f t="shared" si="85"/>
        <v>16</v>
      </c>
      <c r="GM46" s="83">
        <f t="shared" si="85"/>
        <v>3.1</v>
      </c>
      <c r="GN46" s="83">
        <f t="shared" si="85"/>
        <v>34</v>
      </c>
      <c r="GO46" s="371">
        <f t="shared" si="85"/>
        <v>0</v>
      </c>
      <c r="GP46" s="83">
        <f t="shared" si="85"/>
        <v>0</v>
      </c>
      <c r="GQ46" s="20">
        <f t="shared" ref="GQ46:GW46" si="86">SUM(GQ35:GQ45)</f>
        <v>0</v>
      </c>
      <c r="GR46" s="83">
        <f t="shared" si="86"/>
        <v>0</v>
      </c>
      <c r="GS46" s="83">
        <f t="shared" si="86"/>
        <v>0</v>
      </c>
      <c r="GT46" s="83">
        <f t="shared" si="86"/>
        <v>0</v>
      </c>
      <c r="GU46" s="83">
        <f t="shared" si="86"/>
        <v>16</v>
      </c>
      <c r="GV46" s="83">
        <f t="shared" si="86"/>
        <v>0</v>
      </c>
      <c r="GW46" s="83">
        <f t="shared" si="86"/>
        <v>0</v>
      </c>
      <c r="GX46" s="83">
        <f t="shared" ref="GX46:GZ46" si="87">SUM(GX35:GX45)</f>
        <v>0</v>
      </c>
      <c r="GY46" s="83">
        <f t="shared" si="87"/>
        <v>0</v>
      </c>
      <c r="GZ46" s="83">
        <f t="shared" si="87"/>
        <v>28.1</v>
      </c>
      <c r="HA46" s="83">
        <f t="shared" ref="HA46:HB46" si="88">SUM(HA35:HA45)</f>
        <v>0</v>
      </c>
      <c r="HB46" s="83">
        <f t="shared" si="88"/>
        <v>0</v>
      </c>
      <c r="HC46" s="83">
        <f t="shared" ref="HC46:HE46" si="89">SUM(HC35:HC45)</f>
        <v>0</v>
      </c>
      <c r="HD46" s="83">
        <f t="shared" si="89"/>
        <v>0</v>
      </c>
      <c r="HE46" s="83">
        <f t="shared" si="89"/>
        <v>0</v>
      </c>
      <c r="HF46" s="83">
        <f t="shared" ref="HF46:HG46" si="90">SUM(HF35:HF45)</f>
        <v>21</v>
      </c>
      <c r="HG46" s="83">
        <f t="shared" si="90"/>
        <v>1</v>
      </c>
      <c r="HH46" s="83">
        <f t="shared" ref="HH46" si="91">SUM(HH35:HH45)</f>
        <v>16.5</v>
      </c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369"/>
      <c r="HU46" s="364">
        <f>SUM(HU35:HU45)</f>
        <v>1434.5</v>
      </c>
    </row>
    <row r="47" spans="1:229" ht="15.75" thickBot="1" x14ac:dyDescent="0.3">
      <c r="A47" s="188"/>
      <c r="B47" s="121"/>
      <c r="N47" s="146"/>
      <c r="O47" s="21"/>
      <c r="AQ47" s="170"/>
      <c r="AR47" s="21"/>
      <c r="BW47" s="170"/>
      <c r="BX47" s="21"/>
      <c r="DB47" s="315"/>
      <c r="DC47" s="316"/>
      <c r="DD47" s="316"/>
      <c r="DE47" s="316"/>
      <c r="DF47" s="316"/>
      <c r="DG47" s="317"/>
      <c r="EA47" s="316"/>
      <c r="EB47" s="316"/>
      <c r="EC47" s="316"/>
      <c r="ED47" s="316"/>
      <c r="EE47" s="316"/>
      <c r="EF47" s="316"/>
      <c r="EG47" s="315"/>
      <c r="EH47" s="316"/>
      <c r="EI47" s="316"/>
      <c r="EJ47" s="316"/>
      <c r="EK47" s="316"/>
      <c r="EL47" s="316"/>
      <c r="EM47" s="316"/>
      <c r="EN47" s="316"/>
      <c r="EO47" s="316"/>
      <c r="EP47" s="316"/>
      <c r="EQ47" s="316"/>
      <c r="ER47" s="316"/>
      <c r="ES47" s="316"/>
      <c r="ET47" s="316"/>
      <c r="EU47" s="316"/>
      <c r="EV47" s="316"/>
      <c r="EW47" s="316"/>
      <c r="EX47" s="316"/>
      <c r="EY47" s="316"/>
      <c r="EZ47" s="316"/>
      <c r="FA47" s="316"/>
      <c r="FB47" s="316"/>
      <c r="FC47" s="316"/>
      <c r="FD47" s="316"/>
      <c r="FE47" s="316"/>
      <c r="FF47" s="316"/>
      <c r="FG47" s="316"/>
      <c r="FH47" s="316"/>
      <c r="FI47" s="316"/>
      <c r="FJ47" s="316"/>
      <c r="FK47" s="315"/>
      <c r="FL47" s="316"/>
      <c r="FM47" s="316"/>
      <c r="FN47" s="316"/>
      <c r="FO47" s="316"/>
      <c r="FP47" s="316"/>
      <c r="FQ47" s="316"/>
      <c r="FR47" s="316"/>
      <c r="FS47" s="316"/>
      <c r="FT47" s="316"/>
      <c r="FU47" s="316"/>
      <c r="FV47" s="316"/>
      <c r="FW47" s="316"/>
      <c r="FX47" s="316"/>
      <c r="FY47" s="316"/>
      <c r="FZ47" s="316"/>
      <c r="GA47" s="316"/>
      <c r="GB47" s="316"/>
      <c r="GC47" s="316"/>
      <c r="GD47" s="316"/>
      <c r="GE47" s="316"/>
      <c r="GF47" s="316"/>
      <c r="GG47" s="316"/>
      <c r="GH47" s="316"/>
      <c r="GI47" s="316"/>
      <c r="GJ47" s="316"/>
      <c r="GK47" s="316"/>
      <c r="GL47" s="316"/>
      <c r="GM47" s="316"/>
      <c r="GN47" s="316"/>
      <c r="GO47" s="316"/>
      <c r="GP47" s="315"/>
      <c r="GQ47" s="316"/>
      <c r="GR47" s="316"/>
      <c r="GS47" s="316"/>
      <c r="GT47" s="316"/>
      <c r="GU47" s="316"/>
      <c r="GV47" s="316"/>
      <c r="GW47" s="316"/>
      <c r="GX47" s="316"/>
      <c r="GY47" s="316"/>
      <c r="GZ47" s="316"/>
      <c r="HA47" s="316"/>
      <c r="HB47" s="316"/>
      <c r="HC47" s="316"/>
      <c r="HD47" s="316"/>
      <c r="HE47" s="316"/>
      <c r="HF47" s="316"/>
      <c r="HG47" s="316"/>
      <c r="HH47" s="316"/>
      <c r="HI47" s="316"/>
      <c r="HJ47" s="316"/>
      <c r="HK47" s="316"/>
      <c r="HL47" s="316"/>
      <c r="HM47" s="316"/>
      <c r="HN47" s="316"/>
      <c r="HO47" s="316"/>
      <c r="HP47" s="316"/>
      <c r="HQ47" s="316"/>
      <c r="HR47" s="316"/>
      <c r="HS47" s="316"/>
      <c r="HT47" s="318"/>
      <c r="HU47" s="318"/>
    </row>
    <row r="48" spans="1:229" ht="15.75" thickBot="1" x14ac:dyDescent="0.3">
      <c r="A48" s="9">
        <v>1</v>
      </c>
      <c r="B48" s="474" t="s">
        <v>113</v>
      </c>
      <c r="C48" s="25" t="s">
        <v>1</v>
      </c>
      <c r="D48" s="189" t="s">
        <v>19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191">
        <f>SUM(E48:L48)</f>
        <v>0</v>
      </c>
      <c r="N48" s="237"/>
      <c r="O48" s="71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165"/>
      <c r="AR48" s="71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37"/>
      <c r="BU48" s="37"/>
      <c r="BV48" s="37"/>
      <c r="BW48" s="165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267"/>
      <c r="CO48" s="268"/>
      <c r="CP48" s="268"/>
      <c r="CQ48" s="268"/>
      <c r="CR48" s="268"/>
      <c r="CS48" s="268"/>
      <c r="CT48" s="268"/>
      <c r="CU48" s="268"/>
      <c r="CV48" s="268"/>
      <c r="CW48" s="268"/>
      <c r="CX48" s="268"/>
      <c r="CY48" s="268"/>
      <c r="CZ48" s="267"/>
      <c r="DA48" s="268"/>
      <c r="DB48" s="71"/>
      <c r="DC48" s="37"/>
      <c r="DD48" s="37"/>
      <c r="DE48" s="37"/>
      <c r="DF48" s="37"/>
      <c r="DG48" s="37"/>
      <c r="DH48" s="267"/>
      <c r="DI48" s="267"/>
      <c r="DJ48" s="267"/>
      <c r="DK48" s="267"/>
      <c r="DL48" s="267"/>
      <c r="DM48" s="267"/>
      <c r="DN48" s="267"/>
      <c r="DO48" s="267"/>
      <c r="DP48" s="267"/>
      <c r="DQ48" s="267"/>
      <c r="DR48" s="267"/>
      <c r="DS48" s="267"/>
      <c r="DT48" s="267"/>
      <c r="DU48" s="267"/>
      <c r="DV48" s="267"/>
      <c r="DW48" s="267"/>
      <c r="DX48" s="267">
        <v>0</v>
      </c>
      <c r="DY48" s="267">
        <v>0</v>
      </c>
      <c r="DZ48" s="267">
        <v>0</v>
      </c>
      <c r="EA48" s="267">
        <v>0</v>
      </c>
      <c r="EB48" s="267">
        <v>0</v>
      </c>
      <c r="EC48" s="267">
        <v>0</v>
      </c>
      <c r="ED48" s="267">
        <v>0</v>
      </c>
      <c r="EE48" s="267">
        <v>0</v>
      </c>
      <c r="EF48" s="268">
        <v>0</v>
      </c>
      <c r="EG48" s="279">
        <v>0</v>
      </c>
      <c r="EH48" s="268">
        <v>0</v>
      </c>
      <c r="EI48" s="267">
        <v>0</v>
      </c>
      <c r="EJ48" s="267">
        <v>0</v>
      </c>
      <c r="EK48" s="267">
        <v>0</v>
      </c>
      <c r="EL48" s="267">
        <v>0</v>
      </c>
      <c r="EM48" s="267">
        <v>0</v>
      </c>
      <c r="EN48" s="267">
        <v>0</v>
      </c>
      <c r="EO48" s="267">
        <v>0</v>
      </c>
      <c r="EP48" s="267">
        <v>0</v>
      </c>
      <c r="EQ48" s="267">
        <v>0</v>
      </c>
      <c r="ER48" s="267">
        <v>0</v>
      </c>
      <c r="ES48" s="267">
        <v>0</v>
      </c>
      <c r="ET48" s="267">
        <v>0</v>
      </c>
      <c r="EU48" s="267">
        <v>0</v>
      </c>
      <c r="EV48" s="267">
        <v>0</v>
      </c>
      <c r="EW48" s="267">
        <v>0</v>
      </c>
      <c r="EX48" s="267">
        <v>0</v>
      </c>
      <c r="EY48" s="267">
        <v>0</v>
      </c>
      <c r="EZ48" s="267">
        <v>0</v>
      </c>
      <c r="FA48" s="267">
        <v>0</v>
      </c>
      <c r="FB48" s="267">
        <v>0</v>
      </c>
      <c r="FC48" s="267">
        <v>0</v>
      </c>
      <c r="FD48" s="267">
        <v>0</v>
      </c>
      <c r="FE48" s="267">
        <v>0</v>
      </c>
      <c r="FF48" s="267">
        <v>0</v>
      </c>
      <c r="FG48" s="267">
        <v>0</v>
      </c>
      <c r="FH48" s="267">
        <v>0</v>
      </c>
      <c r="FI48" s="267">
        <v>0</v>
      </c>
      <c r="FJ48" s="268">
        <v>0</v>
      </c>
      <c r="FK48" s="279">
        <v>0</v>
      </c>
      <c r="FL48" s="267">
        <v>13</v>
      </c>
      <c r="FM48" s="267">
        <v>0</v>
      </c>
      <c r="FN48" s="267">
        <v>0</v>
      </c>
      <c r="FO48" s="267">
        <v>0</v>
      </c>
      <c r="FP48" s="267">
        <v>0</v>
      </c>
      <c r="FQ48" s="267">
        <v>0</v>
      </c>
      <c r="FR48" s="267">
        <v>0</v>
      </c>
      <c r="FS48" s="281">
        <v>11.5</v>
      </c>
      <c r="FT48" s="267">
        <v>0</v>
      </c>
      <c r="FU48" s="267">
        <v>0</v>
      </c>
      <c r="FV48" s="267">
        <v>0</v>
      </c>
      <c r="FW48" s="267">
        <v>0</v>
      </c>
      <c r="FX48" s="267">
        <v>0</v>
      </c>
      <c r="FY48" s="267">
        <v>0</v>
      </c>
      <c r="FZ48" s="267">
        <v>0</v>
      </c>
      <c r="GA48" s="267">
        <v>0</v>
      </c>
      <c r="GB48" s="267">
        <v>0</v>
      </c>
      <c r="GC48" s="267">
        <v>0</v>
      </c>
      <c r="GD48" s="267">
        <v>0</v>
      </c>
      <c r="GE48" s="267">
        <v>0</v>
      </c>
      <c r="GF48" s="267">
        <v>0</v>
      </c>
      <c r="GG48" s="267">
        <v>0</v>
      </c>
      <c r="GH48" s="267">
        <v>0</v>
      </c>
      <c r="GI48" s="267">
        <v>0</v>
      </c>
      <c r="GJ48" s="281">
        <v>6.5</v>
      </c>
      <c r="GK48" s="267">
        <v>0</v>
      </c>
      <c r="GL48" s="267">
        <v>0</v>
      </c>
      <c r="GM48" s="267">
        <v>0</v>
      </c>
      <c r="GN48" s="267">
        <v>0</v>
      </c>
      <c r="GO48" s="268">
        <v>0</v>
      </c>
      <c r="GP48" s="279">
        <v>0</v>
      </c>
      <c r="GQ48" s="267">
        <v>0</v>
      </c>
      <c r="GR48" s="267">
        <v>0</v>
      </c>
      <c r="GS48" s="267">
        <v>0</v>
      </c>
      <c r="GT48" s="267">
        <v>0</v>
      </c>
      <c r="GU48" s="267">
        <v>0</v>
      </c>
      <c r="GV48" s="267">
        <v>0</v>
      </c>
      <c r="GW48" s="267">
        <v>0</v>
      </c>
      <c r="GX48" s="267">
        <v>0</v>
      </c>
      <c r="GY48" s="267">
        <v>0</v>
      </c>
      <c r="GZ48" s="267">
        <v>0</v>
      </c>
      <c r="HA48" s="267">
        <v>0</v>
      </c>
      <c r="HB48" s="267">
        <v>0</v>
      </c>
      <c r="HC48" s="267">
        <v>0</v>
      </c>
      <c r="HD48" s="267">
        <v>10</v>
      </c>
      <c r="HE48" s="267">
        <v>0</v>
      </c>
      <c r="HF48" s="267">
        <v>10</v>
      </c>
      <c r="HG48" s="267">
        <v>0</v>
      </c>
      <c r="HH48" s="267">
        <v>0</v>
      </c>
      <c r="HI48" s="267"/>
      <c r="HJ48" s="267"/>
      <c r="HK48" s="267"/>
      <c r="HL48" s="267"/>
      <c r="HM48" s="267"/>
      <c r="HN48" s="267"/>
      <c r="HO48" s="267"/>
      <c r="HP48" s="267"/>
      <c r="HQ48" s="267"/>
      <c r="HR48" s="267"/>
      <c r="HS48" s="267"/>
      <c r="HT48" s="367"/>
      <c r="HU48" s="363">
        <f>SUM(O48:HT48)</f>
        <v>51</v>
      </c>
    </row>
    <row r="49" spans="1:229" ht="15.75" thickBot="1" x14ac:dyDescent="0.3">
      <c r="A49" s="2">
        <v>2</v>
      </c>
      <c r="B49" s="474"/>
      <c r="C49" s="23" t="s">
        <v>2</v>
      </c>
      <c r="D49" s="29" t="s">
        <v>19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24">
        <f t="shared" ref="M49:M58" si="92">SUM(E49:L49)</f>
        <v>0</v>
      </c>
      <c r="N49" s="238"/>
      <c r="O49" s="7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79"/>
      <c r="AR49" s="73"/>
      <c r="AS49" s="13"/>
      <c r="AT49" s="13"/>
      <c r="AU49" s="13"/>
      <c r="AV49" s="13"/>
      <c r="AW49" s="13"/>
      <c r="AX49" s="13"/>
      <c r="AY49" s="13"/>
      <c r="AZ49" s="13"/>
      <c r="BA49" s="13"/>
      <c r="BB49" s="64"/>
      <c r="BC49" s="13"/>
      <c r="BD49" s="13"/>
      <c r="BE49" s="13"/>
      <c r="BF49" s="13"/>
      <c r="BG49" s="13"/>
      <c r="BH49" s="13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3"/>
      <c r="BU49" s="13"/>
      <c r="BV49" s="13"/>
      <c r="BW49" s="179"/>
      <c r="BX49" s="7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265"/>
      <c r="CO49" s="270"/>
      <c r="CP49" s="270"/>
      <c r="CQ49" s="270"/>
      <c r="CR49" s="270"/>
      <c r="CS49" s="270"/>
      <c r="CT49" s="270"/>
      <c r="CU49" s="270"/>
      <c r="CV49" s="270"/>
      <c r="CW49" s="270"/>
      <c r="CX49" s="270"/>
      <c r="CY49" s="270"/>
      <c r="CZ49" s="265"/>
      <c r="DA49" s="269"/>
      <c r="DB49" s="73"/>
      <c r="DC49" s="13"/>
      <c r="DD49" s="13"/>
      <c r="DE49" s="13"/>
      <c r="DF49" s="13"/>
      <c r="DG49" s="13"/>
      <c r="DH49" s="265"/>
      <c r="DI49" s="265"/>
      <c r="DJ49" s="265"/>
      <c r="DK49" s="265"/>
      <c r="DL49" s="265"/>
      <c r="DM49" s="265"/>
      <c r="DN49" s="265"/>
      <c r="DO49" s="265"/>
      <c r="DP49" s="265"/>
      <c r="DQ49" s="265"/>
      <c r="DR49" s="265"/>
      <c r="DS49" s="265"/>
      <c r="DT49" s="265"/>
      <c r="DU49" s="265"/>
      <c r="DV49" s="265"/>
      <c r="DW49" s="265"/>
      <c r="DX49" s="265">
        <v>16</v>
      </c>
      <c r="DY49" s="265">
        <v>12</v>
      </c>
      <c r="DZ49" s="265">
        <v>0</v>
      </c>
      <c r="EA49" s="265">
        <v>0</v>
      </c>
      <c r="EB49" s="265">
        <v>0</v>
      </c>
      <c r="EC49" s="265">
        <v>0</v>
      </c>
      <c r="ED49" s="265">
        <v>0</v>
      </c>
      <c r="EE49" s="265">
        <v>0</v>
      </c>
      <c r="EF49" s="269">
        <v>8</v>
      </c>
      <c r="EG49" s="278">
        <v>0</v>
      </c>
      <c r="EH49" s="269">
        <v>0</v>
      </c>
      <c r="EI49" s="265">
        <v>0</v>
      </c>
      <c r="EJ49" s="265">
        <v>0</v>
      </c>
      <c r="EK49" s="265">
        <v>0</v>
      </c>
      <c r="EL49" s="265">
        <v>0</v>
      </c>
      <c r="EM49" s="265">
        <v>0</v>
      </c>
      <c r="EN49" s="265">
        <v>22</v>
      </c>
      <c r="EO49" s="265">
        <v>0</v>
      </c>
      <c r="EP49" s="265">
        <v>0</v>
      </c>
      <c r="EQ49" s="265">
        <v>0</v>
      </c>
      <c r="ER49" s="265">
        <v>0</v>
      </c>
      <c r="ES49" s="272">
        <v>20.100000000000001</v>
      </c>
      <c r="ET49" s="265">
        <v>0</v>
      </c>
      <c r="EU49" s="265">
        <v>0</v>
      </c>
      <c r="EV49" s="265">
        <v>0</v>
      </c>
      <c r="EW49" s="265">
        <v>0</v>
      </c>
      <c r="EX49" s="272">
        <v>9.6</v>
      </c>
      <c r="EY49" s="265">
        <v>0</v>
      </c>
      <c r="EZ49" s="265">
        <v>0</v>
      </c>
      <c r="FA49" s="265">
        <v>0</v>
      </c>
      <c r="FB49" s="265">
        <v>0</v>
      </c>
      <c r="FC49" s="265">
        <v>20</v>
      </c>
      <c r="FD49" s="265">
        <v>19</v>
      </c>
      <c r="FE49" s="272">
        <v>6.9</v>
      </c>
      <c r="FF49" s="265">
        <v>0</v>
      </c>
      <c r="FG49" s="265">
        <v>4</v>
      </c>
      <c r="FH49" s="265">
        <v>0</v>
      </c>
      <c r="FI49" s="265">
        <v>0</v>
      </c>
      <c r="FJ49" s="269">
        <v>0</v>
      </c>
      <c r="FK49" s="278">
        <v>0</v>
      </c>
      <c r="FL49" s="265">
        <v>0</v>
      </c>
      <c r="FM49" s="265">
        <v>0</v>
      </c>
      <c r="FN49" s="265">
        <v>0</v>
      </c>
      <c r="FO49" s="265">
        <v>0</v>
      </c>
      <c r="FP49" s="265">
        <v>0</v>
      </c>
      <c r="FQ49" s="265">
        <v>0</v>
      </c>
      <c r="FR49" s="265">
        <v>0</v>
      </c>
      <c r="FS49" s="265">
        <v>0</v>
      </c>
      <c r="FT49" s="265">
        <v>0</v>
      </c>
      <c r="FU49" s="265">
        <v>0</v>
      </c>
      <c r="FV49" s="265">
        <v>0</v>
      </c>
      <c r="FW49" s="265">
        <v>0</v>
      </c>
      <c r="FX49" s="265">
        <v>0</v>
      </c>
      <c r="FY49" s="265">
        <v>0</v>
      </c>
      <c r="FZ49" s="265">
        <v>0</v>
      </c>
      <c r="GA49" s="265">
        <v>0</v>
      </c>
      <c r="GB49" s="265">
        <v>0</v>
      </c>
      <c r="GC49" s="265">
        <v>0</v>
      </c>
      <c r="GD49" s="265">
        <v>0</v>
      </c>
      <c r="GE49" s="265">
        <v>0</v>
      </c>
      <c r="GF49" s="265">
        <v>0</v>
      </c>
      <c r="GG49" s="265">
        <v>0</v>
      </c>
      <c r="GH49" s="265">
        <v>0</v>
      </c>
      <c r="GI49" s="265">
        <v>0</v>
      </c>
      <c r="GJ49" s="265">
        <v>0</v>
      </c>
      <c r="GK49" s="265">
        <v>0</v>
      </c>
      <c r="GL49" s="265">
        <v>0</v>
      </c>
      <c r="GM49" s="265">
        <v>0</v>
      </c>
      <c r="GN49" s="265">
        <v>0</v>
      </c>
      <c r="GO49" s="269">
        <v>0</v>
      </c>
      <c r="GP49" s="278">
        <v>0</v>
      </c>
      <c r="GQ49" s="265">
        <v>0</v>
      </c>
      <c r="GR49" s="265">
        <v>0</v>
      </c>
      <c r="GS49" s="265">
        <v>0</v>
      </c>
      <c r="GT49" s="265">
        <v>0</v>
      </c>
      <c r="GU49" s="265">
        <v>0</v>
      </c>
      <c r="GV49" s="265">
        <v>0</v>
      </c>
      <c r="GW49" s="265">
        <v>0</v>
      </c>
      <c r="GX49" s="265">
        <v>0</v>
      </c>
      <c r="GY49" s="265">
        <v>0</v>
      </c>
      <c r="GZ49" s="265">
        <v>0</v>
      </c>
      <c r="HA49" s="265">
        <v>0</v>
      </c>
      <c r="HB49" s="265">
        <v>0</v>
      </c>
      <c r="HC49" s="265">
        <v>0</v>
      </c>
      <c r="HD49" s="265">
        <v>0</v>
      </c>
      <c r="HE49" s="265">
        <v>0</v>
      </c>
      <c r="HF49" s="265">
        <v>0</v>
      </c>
      <c r="HG49" s="265">
        <v>0</v>
      </c>
      <c r="HH49" s="265">
        <v>0</v>
      </c>
      <c r="HI49" s="265"/>
      <c r="HJ49" s="265"/>
      <c r="HK49" s="265"/>
      <c r="HL49" s="265"/>
      <c r="HM49" s="265"/>
      <c r="HN49" s="265"/>
      <c r="HO49" s="265"/>
      <c r="HP49" s="265"/>
      <c r="HQ49" s="265"/>
      <c r="HR49" s="265"/>
      <c r="HS49" s="265"/>
      <c r="HT49" s="368"/>
      <c r="HU49" s="363">
        <f t="shared" ref="HU49:HU58" si="93">SUM(O49:HT49)</f>
        <v>137.6</v>
      </c>
    </row>
    <row r="50" spans="1:229" ht="15.75" thickBot="1" x14ac:dyDescent="0.3">
      <c r="A50" s="2">
        <v>3</v>
      </c>
      <c r="B50" s="474"/>
      <c r="C50" s="23" t="s">
        <v>3</v>
      </c>
      <c r="D50" s="29" t="s">
        <v>19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24">
        <f t="shared" si="92"/>
        <v>0</v>
      </c>
      <c r="N50" s="239"/>
      <c r="O50" s="7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80"/>
      <c r="AR50" s="7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3"/>
      <c r="BU50" s="13"/>
      <c r="BV50" s="13"/>
      <c r="BW50" s="180"/>
      <c r="BX50" s="68"/>
      <c r="BY50" s="13"/>
      <c r="BZ50" s="13"/>
      <c r="CA50" s="13"/>
      <c r="CB50" s="13"/>
      <c r="CC50" s="13"/>
      <c r="CD50" s="13"/>
      <c r="CE50" s="13"/>
      <c r="CF50" s="64"/>
      <c r="CG50" s="13"/>
      <c r="CH50" s="13"/>
      <c r="CI50" s="64"/>
      <c r="CJ50" s="13"/>
      <c r="CK50" s="13"/>
      <c r="CL50" s="13"/>
      <c r="CM50" s="13"/>
      <c r="CN50" s="265"/>
      <c r="CO50" s="270"/>
      <c r="CP50" s="270"/>
      <c r="CQ50" s="283"/>
      <c r="CR50" s="270"/>
      <c r="CS50" s="270"/>
      <c r="CT50" s="270"/>
      <c r="CU50" s="270"/>
      <c r="CV50" s="270"/>
      <c r="CW50" s="270"/>
      <c r="CX50" s="283"/>
      <c r="CY50" s="270"/>
      <c r="CZ50" s="265"/>
      <c r="DA50" s="269"/>
      <c r="DB50" s="73"/>
      <c r="DC50" s="13"/>
      <c r="DD50" s="13"/>
      <c r="DE50" s="13"/>
      <c r="DF50" s="13"/>
      <c r="DG50" s="13"/>
      <c r="DH50" s="265"/>
      <c r="DI50" s="265"/>
      <c r="DJ50" s="272"/>
      <c r="DK50" s="265"/>
      <c r="DL50" s="265"/>
      <c r="DM50" s="265"/>
      <c r="DN50" s="265"/>
      <c r="DO50" s="265"/>
      <c r="DP50" s="265"/>
      <c r="DQ50" s="265"/>
      <c r="DR50" s="265"/>
      <c r="DS50" s="265"/>
      <c r="DT50" s="265"/>
      <c r="DU50" s="265"/>
      <c r="DV50" s="265"/>
      <c r="DW50" s="265"/>
      <c r="DX50" s="265">
        <v>0</v>
      </c>
      <c r="DY50" s="265">
        <v>0</v>
      </c>
      <c r="DZ50" s="265">
        <v>0</v>
      </c>
      <c r="EA50" s="265">
        <v>0</v>
      </c>
      <c r="EB50" s="265">
        <v>0</v>
      </c>
      <c r="EC50" s="265">
        <v>0</v>
      </c>
      <c r="ED50" s="265">
        <v>0</v>
      </c>
      <c r="EE50" s="265">
        <v>0</v>
      </c>
      <c r="EF50" s="269">
        <v>0</v>
      </c>
      <c r="EG50" s="278">
        <v>0</v>
      </c>
      <c r="EH50" s="269">
        <v>0</v>
      </c>
      <c r="EI50" s="265">
        <v>0</v>
      </c>
      <c r="EJ50" s="265">
        <v>0</v>
      </c>
      <c r="EK50" s="265">
        <v>0</v>
      </c>
      <c r="EL50" s="265">
        <v>0</v>
      </c>
      <c r="EM50" s="265">
        <v>0</v>
      </c>
      <c r="EN50" s="272">
        <v>13.3</v>
      </c>
      <c r="EO50" s="265">
        <v>0</v>
      </c>
      <c r="EP50" s="265">
        <v>0</v>
      </c>
      <c r="EQ50" s="265">
        <v>0</v>
      </c>
      <c r="ER50" s="265">
        <v>0</v>
      </c>
      <c r="ES50" s="265">
        <v>0</v>
      </c>
      <c r="ET50" s="265">
        <v>0</v>
      </c>
      <c r="EU50" s="265">
        <v>0</v>
      </c>
      <c r="EV50" s="265">
        <v>0</v>
      </c>
      <c r="EW50" s="265">
        <v>0</v>
      </c>
      <c r="EX50" s="265">
        <v>0</v>
      </c>
      <c r="EY50" s="265">
        <v>0</v>
      </c>
      <c r="EZ50" s="265">
        <v>0</v>
      </c>
      <c r="FA50" s="265">
        <v>18</v>
      </c>
      <c r="FB50" s="265">
        <v>0</v>
      </c>
      <c r="FC50" s="265">
        <v>0</v>
      </c>
      <c r="FD50" s="265">
        <v>0</v>
      </c>
      <c r="FE50" s="265">
        <v>0</v>
      </c>
      <c r="FF50" s="265">
        <v>0</v>
      </c>
      <c r="FG50" s="265">
        <v>22</v>
      </c>
      <c r="FH50" s="265">
        <v>0</v>
      </c>
      <c r="FI50" s="265">
        <v>0</v>
      </c>
      <c r="FJ50" s="269">
        <v>0</v>
      </c>
      <c r="FK50" s="396">
        <v>24.4</v>
      </c>
      <c r="FL50" s="265">
        <v>6</v>
      </c>
      <c r="FM50" s="265">
        <v>0</v>
      </c>
      <c r="FN50" s="265">
        <v>0</v>
      </c>
      <c r="FO50" s="265">
        <v>0</v>
      </c>
      <c r="FP50" s="265">
        <v>0</v>
      </c>
      <c r="FQ50" s="265">
        <v>0</v>
      </c>
      <c r="FR50" s="265">
        <v>0</v>
      </c>
      <c r="FS50" s="265">
        <v>0</v>
      </c>
      <c r="FT50" s="265">
        <v>0</v>
      </c>
      <c r="FU50" s="265">
        <v>0</v>
      </c>
      <c r="FV50" s="265">
        <v>0</v>
      </c>
      <c r="FW50" s="265">
        <v>0</v>
      </c>
      <c r="FX50" s="265">
        <v>0</v>
      </c>
      <c r="FY50" s="265">
        <v>0</v>
      </c>
      <c r="FZ50" s="265">
        <v>0</v>
      </c>
      <c r="GA50" s="265">
        <v>0</v>
      </c>
      <c r="GB50" s="265">
        <v>0</v>
      </c>
      <c r="GC50" s="265">
        <v>0</v>
      </c>
      <c r="GD50" s="265">
        <v>0</v>
      </c>
      <c r="GE50" s="265">
        <v>0</v>
      </c>
      <c r="GF50" s="265">
        <v>0</v>
      </c>
      <c r="GG50" s="265">
        <v>0</v>
      </c>
      <c r="GH50" s="265">
        <v>0</v>
      </c>
      <c r="GI50" s="265">
        <v>0</v>
      </c>
      <c r="GJ50" s="265">
        <v>0</v>
      </c>
      <c r="GK50" s="265">
        <v>0</v>
      </c>
      <c r="GL50" s="265">
        <v>0</v>
      </c>
      <c r="GM50" s="265">
        <v>0</v>
      </c>
      <c r="GN50" s="265">
        <v>0</v>
      </c>
      <c r="GO50" s="269">
        <v>0</v>
      </c>
      <c r="GP50" s="278">
        <v>0</v>
      </c>
      <c r="GQ50" s="265">
        <v>0</v>
      </c>
      <c r="GR50" s="265">
        <v>0</v>
      </c>
      <c r="GS50" s="265">
        <v>0</v>
      </c>
      <c r="GT50" s="265">
        <v>0</v>
      </c>
      <c r="GU50" s="265">
        <v>0</v>
      </c>
      <c r="GV50" s="265">
        <v>0</v>
      </c>
      <c r="GW50" s="265">
        <v>0</v>
      </c>
      <c r="GX50" s="265">
        <v>0</v>
      </c>
      <c r="GY50" s="265">
        <v>0</v>
      </c>
      <c r="GZ50" s="265">
        <v>0</v>
      </c>
      <c r="HA50" s="265">
        <v>0</v>
      </c>
      <c r="HB50" s="265">
        <v>0</v>
      </c>
      <c r="HC50" s="265">
        <v>0</v>
      </c>
      <c r="HD50" s="265">
        <v>18</v>
      </c>
      <c r="HE50" s="265">
        <v>0</v>
      </c>
      <c r="HF50" s="265">
        <v>0</v>
      </c>
      <c r="HG50" s="265">
        <v>0</v>
      </c>
      <c r="HH50" s="265">
        <v>0</v>
      </c>
      <c r="HI50" s="265"/>
      <c r="HJ50" s="265"/>
      <c r="HK50" s="265"/>
      <c r="HL50" s="265"/>
      <c r="HM50" s="265"/>
      <c r="HN50" s="265"/>
      <c r="HO50" s="265"/>
      <c r="HP50" s="265"/>
      <c r="HQ50" s="265"/>
      <c r="HR50" s="265"/>
      <c r="HS50" s="265"/>
      <c r="HT50" s="368"/>
      <c r="HU50" s="363">
        <f t="shared" si="93"/>
        <v>101.69999999999999</v>
      </c>
    </row>
    <row r="51" spans="1:229" ht="15.75" thickBot="1" x14ac:dyDescent="0.3">
      <c r="A51" s="2">
        <v>4</v>
      </c>
      <c r="B51" s="474"/>
      <c r="C51" s="23" t="s">
        <v>4</v>
      </c>
      <c r="D51" s="29" t="s">
        <v>19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24">
        <f t="shared" si="92"/>
        <v>0</v>
      </c>
      <c r="N51" s="239"/>
      <c r="O51" s="7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62"/>
      <c r="AR51" s="7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3"/>
      <c r="BU51" s="13"/>
      <c r="BV51" s="13"/>
      <c r="BW51" s="162"/>
      <c r="BX51" s="68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265"/>
      <c r="CO51" s="269"/>
      <c r="CP51" s="269"/>
      <c r="CQ51" s="269"/>
      <c r="CR51" s="269"/>
      <c r="CS51" s="269"/>
      <c r="CT51" s="269"/>
      <c r="CU51" s="269"/>
      <c r="CV51" s="269"/>
      <c r="CW51" s="269"/>
      <c r="CX51" s="269"/>
      <c r="CY51" s="269"/>
      <c r="CZ51" s="265"/>
      <c r="DA51" s="269"/>
      <c r="DB51" s="73"/>
      <c r="DC51" s="13"/>
      <c r="DD51" s="13"/>
      <c r="DE51" s="13"/>
      <c r="DF51" s="13"/>
      <c r="DG51" s="13"/>
      <c r="DH51" s="272"/>
      <c r="DI51" s="265"/>
      <c r="DJ51" s="265"/>
      <c r="DK51" s="265"/>
      <c r="DL51" s="265"/>
      <c r="DM51" s="272"/>
      <c r="DN51" s="265"/>
      <c r="DO51" s="265"/>
      <c r="DP51" s="265"/>
      <c r="DQ51" s="265"/>
      <c r="DR51" s="265"/>
      <c r="DS51" s="265"/>
      <c r="DT51" s="265"/>
      <c r="DU51" s="265"/>
      <c r="DV51" s="265"/>
      <c r="DW51" s="265"/>
      <c r="DX51" s="265">
        <v>0</v>
      </c>
      <c r="DY51" s="265">
        <v>0</v>
      </c>
      <c r="DZ51" s="265">
        <v>0</v>
      </c>
      <c r="EA51" s="265">
        <v>0</v>
      </c>
      <c r="EB51" s="265">
        <v>0</v>
      </c>
      <c r="EC51" s="265">
        <v>0</v>
      </c>
      <c r="ED51" s="265">
        <v>0</v>
      </c>
      <c r="EE51" s="265">
        <v>0</v>
      </c>
      <c r="EF51" s="269">
        <v>0</v>
      </c>
      <c r="EG51" s="278">
        <v>0</v>
      </c>
      <c r="EH51" s="269">
        <v>0</v>
      </c>
      <c r="EI51" s="265">
        <v>0</v>
      </c>
      <c r="EJ51" s="265">
        <v>0</v>
      </c>
      <c r="EK51" s="265">
        <v>0</v>
      </c>
      <c r="EL51" s="265">
        <v>0</v>
      </c>
      <c r="EM51" s="265">
        <v>0</v>
      </c>
      <c r="EN51" s="265">
        <v>0</v>
      </c>
      <c r="EO51" s="265">
        <v>0</v>
      </c>
      <c r="EP51" s="265">
        <v>0</v>
      </c>
      <c r="EQ51" s="265">
        <v>0</v>
      </c>
      <c r="ER51" s="265">
        <v>0</v>
      </c>
      <c r="ES51" s="265">
        <v>0</v>
      </c>
      <c r="ET51" s="265">
        <v>0</v>
      </c>
      <c r="EU51" s="265">
        <v>0</v>
      </c>
      <c r="EV51" s="265">
        <v>0</v>
      </c>
      <c r="EW51" s="265">
        <v>0</v>
      </c>
      <c r="EX51" s="265">
        <v>0</v>
      </c>
      <c r="EY51" s="265">
        <v>0</v>
      </c>
      <c r="EZ51" s="265">
        <v>0</v>
      </c>
      <c r="FA51" s="265">
        <v>0</v>
      </c>
      <c r="FB51" s="265">
        <v>0</v>
      </c>
      <c r="FC51" s="265">
        <v>0</v>
      </c>
      <c r="FD51" s="265">
        <v>0</v>
      </c>
      <c r="FE51" s="265">
        <v>0</v>
      </c>
      <c r="FF51" s="265">
        <v>0</v>
      </c>
      <c r="FG51" s="265">
        <v>0</v>
      </c>
      <c r="FH51" s="265">
        <v>0</v>
      </c>
      <c r="FI51" s="265">
        <v>0</v>
      </c>
      <c r="FJ51" s="269">
        <v>0</v>
      </c>
      <c r="FK51" s="278">
        <v>0</v>
      </c>
      <c r="FL51" s="265">
        <v>0</v>
      </c>
      <c r="FM51" s="265">
        <v>0</v>
      </c>
      <c r="FN51" s="265">
        <v>0</v>
      </c>
      <c r="FO51" s="265">
        <v>0</v>
      </c>
      <c r="FP51" s="265">
        <v>0</v>
      </c>
      <c r="FQ51" s="265">
        <v>0</v>
      </c>
      <c r="FR51" s="265">
        <v>0</v>
      </c>
      <c r="FS51" s="265">
        <v>0</v>
      </c>
      <c r="FT51" s="265">
        <v>0</v>
      </c>
      <c r="FU51" s="265">
        <v>0</v>
      </c>
      <c r="FV51" s="265">
        <v>0</v>
      </c>
      <c r="FW51" s="265">
        <v>0</v>
      </c>
      <c r="FX51" s="265">
        <v>37</v>
      </c>
      <c r="FY51" s="265">
        <v>0</v>
      </c>
      <c r="FZ51" s="265">
        <v>0</v>
      </c>
      <c r="GA51" s="265">
        <v>0</v>
      </c>
      <c r="GB51" s="265">
        <v>15</v>
      </c>
      <c r="GC51" s="265">
        <v>0</v>
      </c>
      <c r="GD51" s="265">
        <v>0</v>
      </c>
      <c r="GE51" s="265">
        <v>0</v>
      </c>
      <c r="GF51" s="265">
        <v>15</v>
      </c>
      <c r="GG51" s="265">
        <v>0</v>
      </c>
      <c r="GH51" s="265">
        <v>0</v>
      </c>
      <c r="GI51" s="265">
        <v>0</v>
      </c>
      <c r="GJ51" s="265">
        <v>0</v>
      </c>
      <c r="GK51" s="265">
        <v>18</v>
      </c>
      <c r="GL51" s="265">
        <v>0</v>
      </c>
      <c r="GM51" s="265">
        <v>0</v>
      </c>
      <c r="GN51" s="265">
        <v>0</v>
      </c>
      <c r="GO51" s="269">
        <v>0</v>
      </c>
      <c r="GP51" s="278">
        <v>0</v>
      </c>
      <c r="GQ51" s="265">
        <v>0</v>
      </c>
      <c r="GR51" s="265">
        <v>0</v>
      </c>
      <c r="GS51" s="265">
        <v>0</v>
      </c>
      <c r="GT51" s="265">
        <v>0</v>
      </c>
      <c r="GU51" s="265">
        <v>13</v>
      </c>
      <c r="GV51" s="265">
        <v>0</v>
      </c>
      <c r="GW51" s="265">
        <v>0</v>
      </c>
      <c r="GX51" s="265">
        <v>0</v>
      </c>
      <c r="GY51" s="265">
        <v>0</v>
      </c>
      <c r="GZ51" s="265">
        <v>0</v>
      </c>
      <c r="HA51" s="265">
        <v>0</v>
      </c>
      <c r="HB51" s="265">
        <v>0</v>
      </c>
      <c r="HC51" s="265">
        <v>0</v>
      </c>
      <c r="HD51" s="265">
        <v>0</v>
      </c>
      <c r="HE51" s="265">
        <v>0</v>
      </c>
      <c r="HF51" s="265">
        <v>18</v>
      </c>
      <c r="HG51" s="265">
        <v>0</v>
      </c>
      <c r="HH51" s="265">
        <v>0</v>
      </c>
      <c r="HI51" s="265"/>
      <c r="HJ51" s="265"/>
      <c r="HK51" s="265"/>
      <c r="HL51" s="265"/>
      <c r="HM51" s="265"/>
      <c r="HN51" s="265"/>
      <c r="HO51" s="265"/>
      <c r="HP51" s="265"/>
      <c r="HQ51" s="265"/>
      <c r="HR51" s="265"/>
      <c r="HS51" s="265"/>
      <c r="HT51" s="368"/>
      <c r="HU51" s="363">
        <f t="shared" si="93"/>
        <v>116</v>
      </c>
    </row>
    <row r="52" spans="1:229" ht="15.75" thickBot="1" x14ac:dyDescent="0.3">
      <c r="A52" s="2">
        <v>5</v>
      </c>
      <c r="B52" s="474"/>
      <c r="C52" s="23" t="s">
        <v>5</v>
      </c>
      <c r="D52" s="29" t="s">
        <v>19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24">
        <f t="shared" si="92"/>
        <v>0</v>
      </c>
      <c r="N52" s="239"/>
      <c r="O52" s="7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62"/>
      <c r="AR52" s="7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3"/>
      <c r="BU52" s="13"/>
      <c r="BV52" s="13"/>
      <c r="BW52" s="162"/>
      <c r="BX52" s="68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265"/>
      <c r="CO52" s="269"/>
      <c r="CP52" s="269"/>
      <c r="CQ52" s="269"/>
      <c r="CR52" s="269"/>
      <c r="CS52" s="269"/>
      <c r="CT52" s="269"/>
      <c r="CU52" s="269"/>
      <c r="CV52" s="269"/>
      <c r="CW52" s="269"/>
      <c r="CX52" s="269"/>
      <c r="CY52" s="269"/>
      <c r="CZ52" s="265"/>
      <c r="DA52" s="269"/>
      <c r="DB52" s="73"/>
      <c r="DC52" s="13"/>
      <c r="DD52" s="13"/>
      <c r="DE52" s="13"/>
      <c r="DF52" s="13"/>
      <c r="DG52" s="13"/>
      <c r="DH52" s="265"/>
      <c r="DI52" s="265"/>
      <c r="DJ52" s="265"/>
      <c r="DK52" s="265"/>
      <c r="DL52" s="265"/>
      <c r="DM52" s="265"/>
      <c r="DN52" s="265"/>
      <c r="DO52" s="265"/>
      <c r="DP52" s="265"/>
      <c r="DQ52" s="265"/>
      <c r="DR52" s="265"/>
      <c r="DS52" s="265"/>
      <c r="DT52" s="265"/>
      <c r="DU52" s="265"/>
      <c r="DV52" s="265"/>
      <c r="DW52" s="265"/>
      <c r="DX52" s="265">
        <v>0</v>
      </c>
      <c r="DY52" s="265">
        <v>0</v>
      </c>
      <c r="DZ52" s="265">
        <v>0</v>
      </c>
      <c r="EA52" s="265">
        <v>0</v>
      </c>
      <c r="EB52" s="265">
        <v>0</v>
      </c>
      <c r="EC52" s="265">
        <v>0</v>
      </c>
      <c r="ED52" s="265">
        <v>0</v>
      </c>
      <c r="EE52" s="265">
        <v>0</v>
      </c>
      <c r="EF52" s="269">
        <v>0</v>
      </c>
      <c r="EG52" s="278">
        <v>0</v>
      </c>
      <c r="EH52" s="269">
        <v>0</v>
      </c>
      <c r="EI52" s="265">
        <v>0</v>
      </c>
      <c r="EJ52" s="265">
        <v>0</v>
      </c>
      <c r="EK52" s="265">
        <v>0</v>
      </c>
      <c r="EL52" s="265">
        <v>0</v>
      </c>
      <c r="EM52" s="265">
        <v>0</v>
      </c>
      <c r="EN52" s="265">
        <v>0</v>
      </c>
      <c r="EO52" s="265">
        <v>0</v>
      </c>
      <c r="EP52" s="265">
        <v>0</v>
      </c>
      <c r="EQ52" s="265">
        <v>0</v>
      </c>
      <c r="ER52" s="265">
        <v>0</v>
      </c>
      <c r="ES52" s="265">
        <v>0</v>
      </c>
      <c r="ET52" s="265">
        <v>0</v>
      </c>
      <c r="EU52" s="265">
        <v>0</v>
      </c>
      <c r="EV52" s="265">
        <v>0</v>
      </c>
      <c r="EW52" s="265">
        <v>0</v>
      </c>
      <c r="EX52" s="265">
        <v>0</v>
      </c>
      <c r="EY52" s="265">
        <v>0</v>
      </c>
      <c r="EZ52" s="265">
        <v>0</v>
      </c>
      <c r="FA52" s="265">
        <v>0</v>
      </c>
      <c r="FB52" s="265">
        <v>0</v>
      </c>
      <c r="FC52" s="265">
        <v>0</v>
      </c>
      <c r="FD52" s="265">
        <v>0</v>
      </c>
      <c r="FE52" s="265">
        <v>0</v>
      </c>
      <c r="FF52" s="265">
        <v>0</v>
      </c>
      <c r="FG52" s="265">
        <v>0</v>
      </c>
      <c r="FH52" s="265">
        <v>0</v>
      </c>
      <c r="FI52" s="265">
        <v>0</v>
      </c>
      <c r="FJ52" s="269">
        <v>0</v>
      </c>
      <c r="FK52" s="278">
        <v>0</v>
      </c>
      <c r="FL52" s="265">
        <v>0</v>
      </c>
      <c r="FM52" s="265">
        <v>0</v>
      </c>
      <c r="FN52" s="265">
        <v>0</v>
      </c>
      <c r="FO52" s="265">
        <v>0</v>
      </c>
      <c r="FP52" s="265">
        <v>0</v>
      </c>
      <c r="FQ52" s="265">
        <v>0</v>
      </c>
      <c r="FR52" s="265">
        <v>0</v>
      </c>
      <c r="FS52" s="265">
        <v>0</v>
      </c>
      <c r="FT52" s="265">
        <v>0</v>
      </c>
      <c r="FU52" s="265">
        <v>0</v>
      </c>
      <c r="FV52" s="265">
        <v>0</v>
      </c>
      <c r="FW52" s="265">
        <v>0</v>
      </c>
      <c r="FX52" s="265">
        <v>0</v>
      </c>
      <c r="FY52" s="265">
        <v>0</v>
      </c>
      <c r="FZ52" s="265">
        <v>0</v>
      </c>
      <c r="GA52" s="265">
        <v>0</v>
      </c>
      <c r="GB52" s="265">
        <v>0</v>
      </c>
      <c r="GC52" s="265">
        <v>0</v>
      </c>
      <c r="GD52" s="265">
        <v>0</v>
      </c>
      <c r="GE52" s="265">
        <v>0</v>
      </c>
      <c r="GF52" s="265">
        <v>0</v>
      </c>
      <c r="GG52" s="265">
        <v>0</v>
      </c>
      <c r="GH52" s="265">
        <v>0</v>
      </c>
      <c r="GI52" s="265">
        <v>0</v>
      </c>
      <c r="GJ52" s="265">
        <v>0</v>
      </c>
      <c r="GK52" s="265">
        <v>0</v>
      </c>
      <c r="GL52" s="265">
        <v>0</v>
      </c>
      <c r="GM52" s="265">
        <v>0</v>
      </c>
      <c r="GN52" s="265">
        <v>0</v>
      </c>
      <c r="GO52" s="269">
        <v>0</v>
      </c>
      <c r="GP52" s="278">
        <v>0</v>
      </c>
      <c r="GQ52" s="265">
        <v>0</v>
      </c>
      <c r="GR52" s="265">
        <v>0</v>
      </c>
      <c r="GS52" s="265">
        <v>0</v>
      </c>
      <c r="GT52" s="265">
        <v>20</v>
      </c>
      <c r="GU52" s="265">
        <v>0</v>
      </c>
      <c r="GV52" s="265">
        <v>0</v>
      </c>
      <c r="GW52" s="265">
        <v>0</v>
      </c>
      <c r="GX52" s="265">
        <v>0</v>
      </c>
      <c r="GY52" s="265">
        <v>0</v>
      </c>
      <c r="GZ52" s="265">
        <v>0</v>
      </c>
      <c r="HA52" s="265">
        <v>26</v>
      </c>
      <c r="HB52" s="265">
        <v>0</v>
      </c>
      <c r="HC52" s="265">
        <v>0</v>
      </c>
      <c r="HD52" s="265">
        <v>55</v>
      </c>
      <c r="HE52" s="265">
        <v>0</v>
      </c>
      <c r="HF52" s="265">
        <v>12</v>
      </c>
      <c r="HG52" s="265">
        <v>0</v>
      </c>
      <c r="HH52" s="439">
        <v>9</v>
      </c>
      <c r="HI52" s="265"/>
      <c r="HJ52" s="265"/>
      <c r="HK52" s="265"/>
      <c r="HL52" s="265"/>
      <c r="HM52" s="265"/>
      <c r="HN52" s="265"/>
      <c r="HO52" s="265"/>
      <c r="HP52" s="265"/>
      <c r="HQ52" s="265"/>
      <c r="HR52" s="265"/>
      <c r="HS52" s="265"/>
      <c r="HT52" s="368"/>
      <c r="HU52" s="363">
        <f t="shared" si="93"/>
        <v>122</v>
      </c>
    </row>
    <row r="53" spans="1:229" ht="15.75" thickBot="1" x14ac:dyDescent="0.3">
      <c r="A53" s="2">
        <v>6</v>
      </c>
      <c r="B53" s="474"/>
      <c r="C53" s="23" t="s">
        <v>6</v>
      </c>
      <c r="D53" s="29" t="s">
        <v>19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24">
        <f t="shared" si="92"/>
        <v>0</v>
      </c>
      <c r="N53" s="239"/>
      <c r="O53" s="7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62"/>
      <c r="AR53" s="7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3"/>
      <c r="BU53" s="13"/>
      <c r="BV53" s="13"/>
      <c r="BW53" s="162"/>
      <c r="BX53" s="68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265"/>
      <c r="CO53" s="269"/>
      <c r="CP53" s="269"/>
      <c r="CQ53" s="269"/>
      <c r="CR53" s="269"/>
      <c r="CS53" s="269"/>
      <c r="CT53" s="269"/>
      <c r="CU53" s="269"/>
      <c r="CV53" s="269"/>
      <c r="CW53" s="269"/>
      <c r="CX53" s="269"/>
      <c r="CY53" s="269"/>
      <c r="CZ53" s="265"/>
      <c r="DA53" s="269"/>
      <c r="DB53" s="73"/>
      <c r="DC53" s="64"/>
      <c r="DD53" s="272"/>
      <c r="DE53" s="13"/>
      <c r="DF53" s="64"/>
      <c r="DG53" s="265"/>
      <c r="DH53" s="265"/>
      <c r="DI53" s="265"/>
      <c r="DJ53" s="265"/>
      <c r="DK53" s="265"/>
      <c r="DL53" s="265"/>
      <c r="DM53" s="265"/>
      <c r="DN53" s="272"/>
      <c r="DO53" s="265"/>
      <c r="DP53" s="265"/>
      <c r="DQ53" s="265"/>
      <c r="DR53" s="265"/>
      <c r="DS53" s="265"/>
      <c r="DT53" s="265"/>
      <c r="DU53" s="265"/>
      <c r="DV53" s="265"/>
      <c r="DW53" s="265"/>
      <c r="DX53" s="265">
        <v>0</v>
      </c>
      <c r="DY53" s="265">
        <v>0</v>
      </c>
      <c r="DZ53" s="265">
        <v>0</v>
      </c>
      <c r="EA53" s="265">
        <v>0</v>
      </c>
      <c r="EB53" s="265">
        <v>0</v>
      </c>
      <c r="EC53" s="265">
        <v>0</v>
      </c>
      <c r="ED53" s="265">
        <v>0</v>
      </c>
      <c r="EE53" s="265">
        <v>0</v>
      </c>
      <c r="EF53" s="269">
        <v>0</v>
      </c>
      <c r="EG53" s="278">
        <v>0</v>
      </c>
      <c r="EH53" s="269">
        <v>0</v>
      </c>
      <c r="EI53" s="265">
        <v>0</v>
      </c>
      <c r="EJ53" s="265">
        <v>0</v>
      </c>
      <c r="EK53" s="265">
        <v>0</v>
      </c>
      <c r="EL53" s="265">
        <v>0</v>
      </c>
      <c r="EM53" s="265">
        <v>0</v>
      </c>
      <c r="EN53" s="265">
        <v>0</v>
      </c>
      <c r="EO53" s="265">
        <v>0</v>
      </c>
      <c r="EP53" s="265">
        <v>0</v>
      </c>
      <c r="EQ53" s="265">
        <v>0</v>
      </c>
      <c r="ER53" s="265">
        <v>0</v>
      </c>
      <c r="ES53" s="265">
        <v>0</v>
      </c>
      <c r="ET53" s="265">
        <v>0</v>
      </c>
      <c r="EU53" s="265">
        <v>0</v>
      </c>
      <c r="EV53" s="265">
        <v>0</v>
      </c>
      <c r="EW53" s="265">
        <v>0</v>
      </c>
      <c r="EX53" s="265">
        <v>0</v>
      </c>
      <c r="EY53" s="265">
        <v>0</v>
      </c>
      <c r="EZ53" s="265">
        <v>0</v>
      </c>
      <c r="FA53" s="265">
        <v>0</v>
      </c>
      <c r="FB53" s="265">
        <v>0</v>
      </c>
      <c r="FC53" s="265">
        <v>0</v>
      </c>
      <c r="FD53" s="265">
        <v>0</v>
      </c>
      <c r="FE53" s="265">
        <v>0</v>
      </c>
      <c r="FF53" s="265">
        <v>0</v>
      </c>
      <c r="FG53" s="265">
        <v>0</v>
      </c>
      <c r="FH53" s="265">
        <v>0</v>
      </c>
      <c r="FI53" s="265">
        <v>0</v>
      </c>
      <c r="FJ53" s="269">
        <v>0</v>
      </c>
      <c r="FK53" s="278">
        <v>0</v>
      </c>
      <c r="FL53" s="265">
        <v>0</v>
      </c>
      <c r="FM53" s="265">
        <v>0</v>
      </c>
      <c r="FN53" s="265">
        <v>0</v>
      </c>
      <c r="FO53" s="265">
        <v>0</v>
      </c>
      <c r="FP53" s="265">
        <v>0</v>
      </c>
      <c r="FQ53" s="265">
        <v>0</v>
      </c>
      <c r="FR53" s="265">
        <v>29</v>
      </c>
      <c r="FS53" s="265">
        <v>0</v>
      </c>
      <c r="FT53" s="265">
        <v>0</v>
      </c>
      <c r="FU53" s="265">
        <v>23</v>
      </c>
      <c r="FV53" s="272">
        <v>23.5</v>
      </c>
      <c r="FW53" s="265">
        <v>0</v>
      </c>
      <c r="FX53" s="265">
        <v>0</v>
      </c>
      <c r="FY53" s="265">
        <v>0</v>
      </c>
      <c r="FZ53" s="265">
        <v>0</v>
      </c>
      <c r="GA53" s="265">
        <v>0</v>
      </c>
      <c r="GB53" s="265">
        <v>0</v>
      </c>
      <c r="GC53" s="265">
        <v>0</v>
      </c>
      <c r="GD53" s="265">
        <v>0</v>
      </c>
      <c r="GE53" s="265">
        <v>0</v>
      </c>
      <c r="GF53" s="265">
        <v>0</v>
      </c>
      <c r="GG53" s="265">
        <v>0</v>
      </c>
      <c r="GH53" s="265">
        <v>0</v>
      </c>
      <c r="GI53" s="265">
        <v>0</v>
      </c>
      <c r="GJ53" s="265">
        <v>0</v>
      </c>
      <c r="GK53" s="265">
        <v>11</v>
      </c>
      <c r="GL53" s="272">
        <v>30.3</v>
      </c>
      <c r="GM53" s="265">
        <v>11</v>
      </c>
      <c r="GN53" s="265">
        <v>0</v>
      </c>
      <c r="GO53" s="269">
        <v>0</v>
      </c>
      <c r="GP53" s="396">
        <v>46.1</v>
      </c>
      <c r="GQ53" s="265">
        <v>0</v>
      </c>
      <c r="GR53" s="265">
        <v>0</v>
      </c>
      <c r="GS53" s="272">
        <v>5.5</v>
      </c>
      <c r="GT53" s="265">
        <v>8</v>
      </c>
      <c r="GU53" s="265">
        <v>0</v>
      </c>
      <c r="GV53" s="265">
        <v>0</v>
      </c>
      <c r="GW53" s="265">
        <v>0</v>
      </c>
      <c r="GX53" s="265">
        <v>0</v>
      </c>
      <c r="GY53" s="265">
        <v>0</v>
      </c>
      <c r="GZ53" s="265">
        <v>0</v>
      </c>
      <c r="HA53" s="265">
        <v>0</v>
      </c>
      <c r="HB53" s="265">
        <v>0</v>
      </c>
      <c r="HC53" s="265">
        <v>0</v>
      </c>
      <c r="HD53" s="265">
        <v>0</v>
      </c>
      <c r="HE53" s="265">
        <v>0</v>
      </c>
      <c r="HF53" s="265">
        <v>0</v>
      </c>
      <c r="HG53" s="265">
        <v>0</v>
      </c>
      <c r="HH53" s="517">
        <v>28.6</v>
      </c>
      <c r="HI53" s="265"/>
      <c r="HJ53" s="265"/>
      <c r="HK53" s="265"/>
      <c r="HL53" s="265"/>
      <c r="HM53" s="265"/>
      <c r="HN53" s="265"/>
      <c r="HO53" s="265"/>
      <c r="HP53" s="265"/>
      <c r="HQ53" s="265"/>
      <c r="HR53" s="265"/>
      <c r="HS53" s="265"/>
      <c r="HT53" s="368"/>
      <c r="HU53" s="363">
        <f t="shared" si="93"/>
        <v>216</v>
      </c>
    </row>
    <row r="54" spans="1:229" ht="15.75" thickBot="1" x14ac:dyDescent="0.3">
      <c r="A54" s="2">
        <v>7</v>
      </c>
      <c r="B54" s="474"/>
      <c r="C54" s="23" t="s">
        <v>7</v>
      </c>
      <c r="D54" s="29" t="s">
        <v>19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24">
        <f t="shared" si="92"/>
        <v>0</v>
      </c>
      <c r="N54" s="239"/>
      <c r="O54" s="7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62"/>
      <c r="AR54" s="7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3"/>
      <c r="BU54" s="13"/>
      <c r="BV54" s="13"/>
      <c r="BW54" s="162"/>
      <c r="BX54" s="68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265"/>
      <c r="CO54" s="269"/>
      <c r="CP54" s="269"/>
      <c r="CQ54" s="269"/>
      <c r="CR54" s="269"/>
      <c r="CS54" s="269"/>
      <c r="CT54" s="269"/>
      <c r="CU54" s="269"/>
      <c r="CV54" s="269"/>
      <c r="CW54" s="269"/>
      <c r="CX54" s="269"/>
      <c r="CY54" s="269"/>
      <c r="CZ54" s="265"/>
      <c r="DA54" s="269"/>
      <c r="DB54" s="73"/>
      <c r="DC54" s="13"/>
      <c r="DD54" s="13"/>
      <c r="DE54" s="13"/>
      <c r="DF54" s="13"/>
      <c r="DG54" s="13"/>
      <c r="DH54" s="265"/>
      <c r="DI54" s="265"/>
      <c r="DJ54" s="265"/>
      <c r="DK54" s="265"/>
      <c r="DL54" s="265"/>
      <c r="DM54" s="265"/>
      <c r="DN54" s="265"/>
      <c r="DO54" s="265"/>
      <c r="DP54" s="265"/>
      <c r="DQ54" s="265"/>
      <c r="DR54" s="265"/>
      <c r="DS54" s="265"/>
      <c r="DT54" s="265"/>
      <c r="DU54" s="265"/>
      <c r="DV54" s="265"/>
      <c r="DW54" s="265"/>
      <c r="DX54" s="265">
        <v>0</v>
      </c>
      <c r="DY54" s="265">
        <v>0</v>
      </c>
      <c r="DZ54" s="265">
        <v>0</v>
      </c>
      <c r="EA54" s="265">
        <v>0</v>
      </c>
      <c r="EB54" s="265">
        <v>0</v>
      </c>
      <c r="EC54" s="265">
        <v>0</v>
      </c>
      <c r="ED54" s="265">
        <v>0</v>
      </c>
      <c r="EE54" s="265">
        <v>0</v>
      </c>
      <c r="EF54" s="269">
        <v>0</v>
      </c>
      <c r="EG54" s="278">
        <v>0</v>
      </c>
      <c r="EH54" s="269">
        <v>0</v>
      </c>
      <c r="EI54" s="265">
        <v>0</v>
      </c>
      <c r="EJ54" s="265">
        <v>0</v>
      </c>
      <c r="EK54" s="265">
        <v>0</v>
      </c>
      <c r="EL54" s="265">
        <v>0</v>
      </c>
      <c r="EM54" s="265">
        <v>0</v>
      </c>
      <c r="EN54" s="265">
        <v>0</v>
      </c>
      <c r="EO54" s="265">
        <v>0</v>
      </c>
      <c r="EP54" s="265">
        <v>0</v>
      </c>
      <c r="EQ54" s="265">
        <v>0</v>
      </c>
      <c r="ER54" s="265">
        <v>0</v>
      </c>
      <c r="ES54" s="265">
        <v>0</v>
      </c>
      <c r="ET54" s="265">
        <v>0</v>
      </c>
      <c r="EU54" s="265">
        <v>0</v>
      </c>
      <c r="EV54" s="265">
        <v>0</v>
      </c>
      <c r="EW54" s="265">
        <v>0</v>
      </c>
      <c r="EX54" s="265">
        <v>0</v>
      </c>
      <c r="EY54" s="265">
        <v>0</v>
      </c>
      <c r="EZ54" s="265">
        <v>0</v>
      </c>
      <c r="FA54" s="265">
        <v>0</v>
      </c>
      <c r="FB54" s="265">
        <v>0</v>
      </c>
      <c r="FC54" s="265">
        <v>0</v>
      </c>
      <c r="FD54" s="265">
        <v>0</v>
      </c>
      <c r="FE54" s="265">
        <v>0</v>
      </c>
      <c r="FF54" s="265">
        <v>0</v>
      </c>
      <c r="FG54" s="265">
        <v>0</v>
      </c>
      <c r="FH54" s="265">
        <v>0</v>
      </c>
      <c r="FI54" s="265">
        <v>0</v>
      </c>
      <c r="FJ54" s="269">
        <v>0</v>
      </c>
      <c r="FK54" s="278">
        <v>0</v>
      </c>
      <c r="FL54" s="265">
        <v>0</v>
      </c>
      <c r="FM54" s="265">
        <v>0</v>
      </c>
      <c r="FN54" s="265">
        <v>0</v>
      </c>
      <c r="FO54" s="265">
        <v>0</v>
      </c>
      <c r="FP54" s="265">
        <v>0</v>
      </c>
      <c r="FQ54" s="265">
        <v>0</v>
      </c>
      <c r="FR54" s="265">
        <v>0</v>
      </c>
      <c r="FS54" s="265">
        <v>0</v>
      </c>
      <c r="FT54" s="265">
        <v>0</v>
      </c>
      <c r="FU54" s="265">
        <v>0</v>
      </c>
      <c r="FV54" s="265">
        <v>0</v>
      </c>
      <c r="FW54" s="265">
        <v>0</v>
      </c>
      <c r="FX54" s="265">
        <v>0</v>
      </c>
      <c r="FY54" s="265">
        <v>0</v>
      </c>
      <c r="FZ54" s="265">
        <v>0</v>
      </c>
      <c r="GA54" s="265">
        <v>0</v>
      </c>
      <c r="GB54" s="265">
        <v>0</v>
      </c>
      <c r="GC54" s="265">
        <v>0</v>
      </c>
      <c r="GD54" s="265">
        <v>0</v>
      </c>
      <c r="GE54" s="265">
        <v>0</v>
      </c>
      <c r="GF54" s="265">
        <v>0</v>
      </c>
      <c r="GG54" s="265">
        <v>0</v>
      </c>
      <c r="GH54" s="265">
        <v>0</v>
      </c>
      <c r="GI54" s="265">
        <v>0</v>
      </c>
      <c r="GJ54" s="265">
        <v>0</v>
      </c>
      <c r="GK54" s="265">
        <v>0</v>
      </c>
      <c r="GL54" s="265">
        <v>0</v>
      </c>
      <c r="GM54" s="265">
        <v>0</v>
      </c>
      <c r="GN54" s="265">
        <v>0</v>
      </c>
      <c r="GO54" s="269">
        <v>0</v>
      </c>
      <c r="GP54" s="278">
        <v>0</v>
      </c>
      <c r="GQ54" s="265">
        <v>0</v>
      </c>
      <c r="GR54" s="265">
        <v>0</v>
      </c>
      <c r="GS54" s="265">
        <v>0</v>
      </c>
      <c r="GT54" s="265">
        <v>0</v>
      </c>
      <c r="GU54" s="265">
        <v>0</v>
      </c>
      <c r="GV54" s="265">
        <v>0</v>
      </c>
      <c r="GW54" s="265">
        <v>0</v>
      </c>
      <c r="GX54" s="265">
        <v>0</v>
      </c>
      <c r="GY54" s="265">
        <v>0</v>
      </c>
      <c r="GZ54" s="265">
        <v>0</v>
      </c>
      <c r="HA54" s="265">
        <v>0</v>
      </c>
      <c r="HB54" s="265">
        <v>0</v>
      </c>
      <c r="HC54" s="265">
        <v>0</v>
      </c>
      <c r="HD54" s="265">
        <v>0</v>
      </c>
      <c r="HE54" s="265">
        <v>0</v>
      </c>
      <c r="HF54" s="265">
        <v>0</v>
      </c>
      <c r="HG54" s="265">
        <v>0</v>
      </c>
      <c r="HH54" s="265">
        <v>0</v>
      </c>
      <c r="HI54" s="265"/>
      <c r="HJ54" s="265"/>
      <c r="HK54" s="265"/>
      <c r="HL54" s="265"/>
      <c r="HM54" s="265"/>
      <c r="HN54" s="265"/>
      <c r="HO54" s="265"/>
      <c r="HP54" s="265"/>
      <c r="HQ54" s="265"/>
      <c r="HR54" s="265"/>
      <c r="HS54" s="265"/>
      <c r="HT54" s="368"/>
      <c r="HU54" s="363">
        <f t="shared" si="93"/>
        <v>0</v>
      </c>
    </row>
    <row r="55" spans="1:229" ht="15.75" thickBot="1" x14ac:dyDescent="0.3">
      <c r="A55" s="2">
        <v>8</v>
      </c>
      <c r="B55" s="474"/>
      <c r="C55" s="23" t="s">
        <v>8</v>
      </c>
      <c r="D55" s="29" t="s">
        <v>19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24">
        <f t="shared" si="92"/>
        <v>0</v>
      </c>
      <c r="N55" s="239"/>
      <c r="O55" s="7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62"/>
      <c r="AR55" s="7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1"/>
      <c r="BT55" s="13"/>
      <c r="BU55" s="13"/>
      <c r="BV55" s="13"/>
      <c r="BW55" s="162"/>
      <c r="BX55" s="68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265"/>
      <c r="CO55" s="269"/>
      <c r="CP55" s="269"/>
      <c r="CQ55" s="269"/>
      <c r="CR55" s="269"/>
      <c r="CS55" s="269"/>
      <c r="CT55" s="269"/>
      <c r="CU55" s="269"/>
      <c r="CV55" s="269"/>
      <c r="CW55" s="269"/>
      <c r="CX55" s="269"/>
      <c r="CY55" s="269"/>
      <c r="CZ55" s="265"/>
      <c r="DA55" s="269"/>
      <c r="DB55" s="73"/>
      <c r="DC55" s="13"/>
      <c r="DD55" s="13"/>
      <c r="DE55" s="13"/>
      <c r="DF55" s="13"/>
      <c r="DG55" s="13"/>
      <c r="DH55" s="265"/>
      <c r="DI55" s="265"/>
      <c r="DJ55" s="265"/>
      <c r="DK55" s="265"/>
      <c r="DL55" s="265"/>
      <c r="DM55" s="265"/>
      <c r="DN55" s="265"/>
      <c r="DO55" s="265"/>
      <c r="DP55" s="265"/>
      <c r="DQ55" s="265"/>
      <c r="DR55" s="265"/>
      <c r="DS55" s="265"/>
      <c r="DT55" s="265"/>
      <c r="DU55" s="265"/>
      <c r="DV55" s="265"/>
      <c r="DW55" s="265"/>
      <c r="DX55" s="265">
        <v>0</v>
      </c>
      <c r="DY55" s="265">
        <v>0</v>
      </c>
      <c r="DZ55" s="265">
        <v>0</v>
      </c>
      <c r="EA55" s="265">
        <v>0</v>
      </c>
      <c r="EB55" s="265">
        <v>0</v>
      </c>
      <c r="EC55" s="265">
        <v>0</v>
      </c>
      <c r="ED55" s="265">
        <v>0</v>
      </c>
      <c r="EE55" s="265">
        <v>0</v>
      </c>
      <c r="EF55" s="269">
        <v>0</v>
      </c>
      <c r="EG55" s="278">
        <v>0</v>
      </c>
      <c r="EH55" s="269">
        <v>0</v>
      </c>
      <c r="EI55" s="265">
        <v>0</v>
      </c>
      <c r="EJ55" s="265">
        <v>0</v>
      </c>
      <c r="EK55" s="265">
        <v>0</v>
      </c>
      <c r="EL55" s="265">
        <v>0</v>
      </c>
      <c r="EM55" s="265">
        <v>0</v>
      </c>
      <c r="EN55" s="265">
        <v>0</v>
      </c>
      <c r="EO55" s="265">
        <v>0</v>
      </c>
      <c r="EP55" s="265">
        <v>0</v>
      </c>
      <c r="EQ55" s="265">
        <v>0</v>
      </c>
      <c r="ER55" s="265">
        <v>0</v>
      </c>
      <c r="ES55" s="265">
        <v>0</v>
      </c>
      <c r="ET55" s="265">
        <v>0</v>
      </c>
      <c r="EU55" s="265">
        <v>0</v>
      </c>
      <c r="EV55" s="265">
        <v>0</v>
      </c>
      <c r="EW55" s="265">
        <v>0</v>
      </c>
      <c r="EX55" s="265">
        <v>0</v>
      </c>
      <c r="EY55" s="265">
        <v>0</v>
      </c>
      <c r="EZ55" s="265">
        <v>0</v>
      </c>
      <c r="FA55" s="265">
        <v>0</v>
      </c>
      <c r="FB55" s="265">
        <v>0</v>
      </c>
      <c r="FC55" s="265">
        <v>0</v>
      </c>
      <c r="FD55" s="265">
        <v>0</v>
      </c>
      <c r="FE55" s="265">
        <v>0</v>
      </c>
      <c r="FF55" s="265">
        <v>0</v>
      </c>
      <c r="FG55" s="265">
        <v>0</v>
      </c>
      <c r="FH55" s="265">
        <v>0</v>
      </c>
      <c r="FI55" s="265">
        <v>0</v>
      </c>
      <c r="FJ55" s="269">
        <v>0</v>
      </c>
      <c r="FK55" s="278">
        <v>0</v>
      </c>
      <c r="FL55" s="265">
        <v>0</v>
      </c>
      <c r="FM55" s="265">
        <v>0</v>
      </c>
      <c r="FN55" s="265">
        <v>0</v>
      </c>
      <c r="FO55" s="265">
        <v>0</v>
      </c>
      <c r="FP55" s="265">
        <v>0</v>
      </c>
      <c r="FQ55" s="265">
        <v>0</v>
      </c>
      <c r="FR55" s="265">
        <v>0</v>
      </c>
      <c r="FS55" s="265">
        <v>0</v>
      </c>
      <c r="FT55" s="265">
        <v>0</v>
      </c>
      <c r="FU55" s="265">
        <v>0</v>
      </c>
      <c r="FV55" s="265">
        <v>0</v>
      </c>
      <c r="FW55" s="265">
        <v>0</v>
      </c>
      <c r="FX55" s="265">
        <v>0</v>
      </c>
      <c r="FY55" s="265">
        <v>0</v>
      </c>
      <c r="FZ55" s="265">
        <v>0</v>
      </c>
      <c r="GA55" s="265">
        <v>0</v>
      </c>
      <c r="GB55" s="265">
        <v>0</v>
      </c>
      <c r="GC55" s="265">
        <v>0</v>
      </c>
      <c r="GD55" s="265">
        <v>0</v>
      </c>
      <c r="GE55" s="265">
        <v>0</v>
      </c>
      <c r="GF55" s="265">
        <v>0</v>
      </c>
      <c r="GG55" s="265">
        <v>0</v>
      </c>
      <c r="GH55" s="265">
        <v>0</v>
      </c>
      <c r="GI55" s="265">
        <v>0</v>
      </c>
      <c r="GJ55" s="265">
        <v>0</v>
      </c>
      <c r="GK55" s="265">
        <v>0</v>
      </c>
      <c r="GL55" s="265">
        <v>0</v>
      </c>
      <c r="GM55" s="265">
        <v>0</v>
      </c>
      <c r="GN55" s="265">
        <v>0</v>
      </c>
      <c r="GO55" s="269">
        <v>0</v>
      </c>
      <c r="GP55" s="278">
        <v>0</v>
      </c>
      <c r="GQ55" s="265">
        <v>0</v>
      </c>
      <c r="GR55" s="265">
        <v>0</v>
      </c>
      <c r="GS55" s="265">
        <v>0</v>
      </c>
      <c r="GT55" s="265">
        <v>0</v>
      </c>
      <c r="GU55" s="265">
        <v>0</v>
      </c>
      <c r="GV55" s="265">
        <v>0</v>
      </c>
      <c r="GW55" s="265">
        <v>0</v>
      </c>
      <c r="GX55" s="265">
        <v>0</v>
      </c>
      <c r="GY55" s="265">
        <v>0</v>
      </c>
      <c r="GZ55" s="265">
        <v>0</v>
      </c>
      <c r="HA55" s="265">
        <v>0</v>
      </c>
      <c r="HB55" s="265">
        <v>0</v>
      </c>
      <c r="HC55" s="265">
        <v>0</v>
      </c>
      <c r="HD55" s="265">
        <v>0</v>
      </c>
      <c r="HE55" s="265">
        <v>0</v>
      </c>
      <c r="HF55" s="265">
        <v>0</v>
      </c>
      <c r="HG55" s="265">
        <v>0</v>
      </c>
      <c r="HH55" s="265">
        <v>0</v>
      </c>
      <c r="HI55" s="265"/>
      <c r="HJ55" s="265"/>
      <c r="HK55" s="265"/>
      <c r="HL55" s="265"/>
      <c r="HM55" s="265"/>
      <c r="HN55" s="265"/>
      <c r="HO55" s="265"/>
      <c r="HP55" s="265"/>
      <c r="HQ55" s="265"/>
      <c r="HR55" s="265"/>
      <c r="HS55" s="265"/>
      <c r="HT55" s="368"/>
      <c r="HU55" s="363">
        <f t="shared" si="93"/>
        <v>0</v>
      </c>
    </row>
    <row r="56" spans="1:229" ht="15.75" thickBot="1" x14ac:dyDescent="0.3">
      <c r="A56" s="2">
        <v>9</v>
      </c>
      <c r="B56" s="474"/>
      <c r="C56" s="23" t="s">
        <v>9</v>
      </c>
      <c r="D56" s="29" t="s">
        <v>19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24">
        <f t="shared" si="92"/>
        <v>0</v>
      </c>
      <c r="N56" s="239"/>
      <c r="O56" s="7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62"/>
      <c r="AR56" s="7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3"/>
      <c r="BU56" s="13"/>
      <c r="BV56" s="13"/>
      <c r="BW56" s="162"/>
      <c r="BX56" s="68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265"/>
      <c r="CO56" s="269"/>
      <c r="CP56" s="269"/>
      <c r="CQ56" s="269"/>
      <c r="CR56" s="269"/>
      <c r="CS56" s="269"/>
      <c r="CT56" s="269"/>
      <c r="CU56" s="269"/>
      <c r="CV56" s="269"/>
      <c r="CW56" s="269"/>
      <c r="CX56" s="269"/>
      <c r="CY56" s="269"/>
      <c r="CZ56" s="265"/>
      <c r="DA56" s="269"/>
      <c r="DB56" s="73"/>
      <c r="DC56" s="13"/>
      <c r="DD56" s="13"/>
      <c r="DE56" s="13"/>
      <c r="DF56" s="13"/>
      <c r="DG56" s="13"/>
      <c r="DH56" s="265"/>
      <c r="DI56" s="265"/>
      <c r="DJ56" s="265"/>
      <c r="DK56" s="265"/>
      <c r="DL56" s="265"/>
      <c r="DM56" s="265"/>
      <c r="DN56" s="265"/>
      <c r="DO56" s="265"/>
      <c r="DP56" s="265"/>
      <c r="DQ56" s="265"/>
      <c r="DR56" s="265"/>
      <c r="DS56" s="265"/>
      <c r="DT56" s="265"/>
      <c r="DU56" s="265"/>
      <c r="DV56" s="265"/>
      <c r="DW56" s="265"/>
      <c r="DX56" s="265">
        <v>0</v>
      </c>
      <c r="DY56" s="265">
        <v>0</v>
      </c>
      <c r="DZ56" s="265">
        <v>0</v>
      </c>
      <c r="EA56" s="265">
        <v>0</v>
      </c>
      <c r="EB56" s="265">
        <v>0</v>
      </c>
      <c r="EC56" s="265">
        <v>0</v>
      </c>
      <c r="ED56" s="265">
        <v>0</v>
      </c>
      <c r="EE56" s="265">
        <v>0</v>
      </c>
      <c r="EF56" s="269">
        <v>0</v>
      </c>
      <c r="EG56" s="278">
        <v>0</v>
      </c>
      <c r="EH56" s="269">
        <v>0</v>
      </c>
      <c r="EI56" s="265">
        <v>0</v>
      </c>
      <c r="EJ56" s="265">
        <v>0</v>
      </c>
      <c r="EK56" s="265">
        <v>0</v>
      </c>
      <c r="EL56" s="265">
        <v>0</v>
      </c>
      <c r="EM56" s="265">
        <v>0</v>
      </c>
      <c r="EN56" s="265">
        <v>0</v>
      </c>
      <c r="EO56" s="265">
        <v>0</v>
      </c>
      <c r="EP56" s="265">
        <v>0</v>
      </c>
      <c r="EQ56" s="265">
        <v>0</v>
      </c>
      <c r="ER56" s="265">
        <v>0</v>
      </c>
      <c r="ES56" s="265">
        <v>0</v>
      </c>
      <c r="ET56" s="265">
        <v>0</v>
      </c>
      <c r="EU56" s="265">
        <v>0</v>
      </c>
      <c r="EV56" s="265">
        <v>0</v>
      </c>
      <c r="EW56" s="265">
        <v>0</v>
      </c>
      <c r="EX56" s="265">
        <v>0</v>
      </c>
      <c r="EY56" s="265">
        <v>0</v>
      </c>
      <c r="EZ56" s="265">
        <v>0</v>
      </c>
      <c r="FA56" s="265">
        <v>0</v>
      </c>
      <c r="FB56" s="265">
        <v>0</v>
      </c>
      <c r="FC56" s="265">
        <v>0</v>
      </c>
      <c r="FD56" s="265">
        <v>0</v>
      </c>
      <c r="FE56" s="265">
        <v>0</v>
      </c>
      <c r="FF56" s="265">
        <v>0</v>
      </c>
      <c r="FG56" s="265">
        <v>0</v>
      </c>
      <c r="FH56" s="265">
        <v>0</v>
      </c>
      <c r="FI56" s="265">
        <v>0</v>
      </c>
      <c r="FJ56" s="269">
        <v>0</v>
      </c>
      <c r="FK56" s="278">
        <v>0</v>
      </c>
      <c r="FL56" s="265">
        <v>0</v>
      </c>
      <c r="FM56" s="265">
        <v>0</v>
      </c>
      <c r="FN56" s="265">
        <v>0</v>
      </c>
      <c r="FO56" s="265">
        <v>0</v>
      </c>
      <c r="FP56" s="265">
        <v>0</v>
      </c>
      <c r="FQ56" s="265">
        <v>0</v>
      </c>
      <c r="FR56" s="265">
        <v>0</v>
      </c>
      <c r="FS56" s="265">
        <v>0</v>
      </c>
      <c r="FT56" s="265">
        <v>0</v>
      </c>
      <c r="FU56" s="265">
        <v>0</v>
      </c>
      <c r="FV56" s="265">
        <v>0</v>
      </c>
      <c r="FW56" s="265">
        <v>0</v>
      </c>
      <c r="FX56" s="265">
        <v>0</v>
      </c>
      <c r="FY56" s="265">
        <v>0</v>
      </c>
      <c r="FZ56" s="265">
        <v>0</v>
      </c>
      <c r="GA56" s="265">
        <v>0</v>
      </c>
      <c r="GB56" s="265">
        <v>0</v>
      </c>
      <c r="GC56" s="265">
        <v>0</v>
      </c>
      <c r="GD56" s="265">
        <v>0</v>
      </c>
      <c r="GE56" s="265">
        <v>0</v>
      </c>
      <c r="GF56" s="265">
        <v>0</v>
      </c>
      <c r="GG56" s="265">
        <v>0</v>
      </c>
      <c r="GH56" s="265">
        <v>0</v>
      </c>
      <c r="GI56" s="265">
        <v>0</v>
      </c>
      <c r="GJ56" s="265">
        <v>0</v>
      </c>
      <c r="GK56" s="265">
        <v>0</v>
      </c>
      <c r="GL56" s="265">
        <v>0</v>
      </c>
      <c r="GM56" s="265">
        <v>0</v>
      </c>
      <c r="GN56" s="265">
        <v>0</v>
      </c>
      <c r="GO56" s="269">
        <v>0</v>
      </c>
      <c r="GP56" s="278">
        <v>0</v>
      </c>
      <c r="GQ56" s="265">
        <v>0</v>
      </c>
      <c r="GR56" s="265">
        <v>0</v>
      </c>
      <c r="GS56" s="265">
        <v>0</v>
      </c>
      <c r="GT56" s="265">
        <v>0</v>
      </c>
      <c r="GU56" s="265">
        <v>0</v>
      </c>
      <c r="GV56" s="265">
        <v>0</v>
      </c>
      <c r="GW56" s="265">
        <v>0</v>
      </c>
      <c r="GX56" s="265">
        <v>0</v>
      </c>
      <c r="GY56" s="265">
        <v>0</v>
      </c>
      <c r="GZ56" s="265">
        <v>0</v>
      </c>
      <c r="HA56" s="265">
        <v>0</v>
      </c>
      <c r="HB56" s="265">
        <v>0</v>
      </c>
      <c r="HC56" s="265">
        <v>0</v>
      </c>
      <c r="HD56" s="265">
        <v>0</v>
      </c>
      <c r="HE56" s="265">
        <v>0</v>
      </c>
      <c r="HF56" s="265">
        <v>0</v>
      </c>
      <c r="HG56" s="265">
        <v>0</v>
      </c>
      <c r="HH56" s="265">
        <v>0</v>
      </c>
      <c r="HI56" s="265"/>
      <c r="HJ56" s="265"/>
      <c r="HK56" s="265"/>
      <c r="HL56" s="265"/>
      <c r="HM56" s="265"/>
      <c r="HN56" s="265"/>
      <c r="HO56" s="265"/>
      <c r="HP56" s="265"/>
      <c r="HQ56" s="265"/>
      <c r="HR56" s="265"/>
      <c r="HS56" s="265"/>
      <c r="HT56" s="368"/>
      <c r="HU56" s="363">
        <f t="shared" si="93"/>
        <v>0</v>
      </c>
    </row>
    <row r="57" spans="1:229" ht="15.75" thickBot="1" x14ac:dyDescent="0.3">
      <c r="A57" s="2">
        <v>10</v>
      </c>
      <c r="B57" s="474"/>
      <c r="C57" s="23" t="s">
        <v>10</v>
      </c>
      <c r="D57" s="29" t="s">
        <v>19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24">
        <f t="shared" si="92"/>
        <v>0</v>
      </c>
      <c r="N57" s="239"/>
      <c r="O57" s="7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62"/>
      <c r="AR57" s="7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3"/>
      <c r="BU57" s="13"/>
      <c r="BV57" s="13"/>
      <c r="BW57" s="162"/>
      <c r="BX57" s="68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265"/>
      <c r="CO57" s="269"/>
      <c r="CP57" s="269"/>
      <c r="CQ57" s="269"/>
      <c r="CR57" s="269"/>
      <c r="CS57" s="269"/>
      <c r="CT57" s="269"/>
      <c r="CU57" s="269"/>
      <c r="CV57" s="269"/>
      <c r="CW57" s="269"/>
      <c r="CX57" s="269"/>
      <c r="CY57" s="269"/>
      <c r="CZ57" s="265"/>
      <c r="DA57" s="269"/>
      <c r="DB57" s="73"/>
      <c r="DC57" s="13"/>
      <c r="DD57" s="13"/>
      <c r="DE57" s="13"/>
      <c r="DF57" s="13"/>
      <c r="DG57" s="13"/>
      <c r="DH57" s="265"/>
      <c r="DI57" s="265"/>
      <c r="DJ57" s="265"/>
      <c r="DK57" s="265"/>
      <c r="DL57" s="265"/>
      <c r="DM57" s="265"/>
      <c r="DN57" s="265"/>
      <c r="DO57" s="265"/>
      <c r="DP57" s="265"/>
      <c r="DQ57" s="265"/>
      <c r="DR57" s="265"/>
      <c r="DS57" s="265"/>
      <c r="DT57" s="265"/>
      <c r="DU57" s="265"/>
      <c r="DV57" s="265"/>
      <c r="DW57" s="265"/>
      <c r="DX57" s="265">
        <v>0</v>
      </c>
      <c r="DY57" s="265">
        <v>0</v>
      </c>
      <c r="DZ57" s="265">
        <v>0</v>
      </c>
      <c r="EA57" s="265">
        <v>0</v>
      </c>
      <c r="EB57" s="265">
        <v>0</v>
      </c>
      <c r="EC57" s="265">
        <v>0</v>
      </c>
      <c r="ED57" s="265">
        <v>0</v>
      </c>
      <c r="EE57" s="265">
        <v>0</v>
      </c>
      <c r="EF57" s="269">
        <v>0</v>
      </c>
      <c r="EG57" s="278">
        <v>0</v>
      </c>
      <c r="EH57" s="269">
        <v>0</v>
      </c>
      <c r="EI57" s="265">
        <v>0</v>
      </c>
      <c r="EJ57" s="265">
        <v>0</v>
      </c>
      <c r="EK57" s="265">
        <v>0</v>
      </c>
      <c r="EL57" s="265">
        <v>0</v>
      </c>
      <c r="EM57" s="265">
        <v>0</v>
      </c>
      <c r="EN57" s="265">
        <v>0</v>
      </c>
      <c r="EO57" s="265">
        <v>0</v>
      </c>
      <c r="EP57" s="265">
        <v>0</v>
      </c>
      <c r="EQ57" s="265">
        <v>0</v>
      </c>
      <c r="ER57" s="265">
        <v>0</v>
      </c>
      <c r="ES57" s="265">
        <v>0</v>
      </c>
      <c r="ET57" s="265">
        <v>0</v>
      </c>
      <c r="EU57" s="265">
        <v>0</v>
      </c>
      <c r="EV57" s="265">
        <v>0</v>
      </c>
      <c r="EW57" s="265">
        <v>0</v>
      </c>
      <c r="EX57" s="265">
        <v>0</v>
      </c>
      <c r="EY57" s="265">
        <v>0</v>
      </c>
      <c r="EZ57" s="265">
        <v>0</v>
      </c>
      <c r="FA57" s="265">
        <v>0</v>
      </c>
      <c r="FB57" s="265">
        <v>0</v>
      </c>
      <c r="FC57" s="265">
        <v>0</v>
      </c>
      <c r="FD57" s="265">
        <v>0</v>
      </c>
      <c r="FE57" s="265">
        <v>0</v>
      </c>
      <c r="FF57" s="265">
        <v>0</v>
      </c>
      <c r="FG57" s="265">
        <v>0</v>
      </c>
      <c r="FH57" s="265">
        <v>0</v>
      </c>
      <c r="FI57" s="265">
        <v>0</v>
      </c>
      <c r="FJ57" s="269">
        <v>0</v>
      </c>
      <c r="FK57" s="278">
        <v>0</v>
      </c>
      <c r="FL57" s="265">
        <v>0</v>
      </c>
      <c r="FM57" s="265">
        <v>0</v>
      </c>
      <c r="FN57" s="265">
        <v>0</v>
      </c>
      <c r="FO57" s="265">
        <v>0</v>
      </c>
      <c r="FP57" s="265">
        <v>0</v>
      </c>
      <c r="FQ57" s="265">
        <v>0</v>
      </c>
      <c r="FR57" s="265">
        <v>0</v>
      </c>
      <c r="FS57" s="265">
        <v>0</v>
      </c>
      <c r="FT57" s="265">
        <v>0</v>
      </c>
      <c r="FU57" s="265">
        <v>0</v>
      </c>
      <c r="FV57" s="265">
        <v>0</v>
      </c>
      <c r="FW57" s="265">
        <v>0</v>
      </c>
      <c r="FX57" s="265">
        <v>0</v>
      </c>
      <c r="FY57" s="265">
        <v>0</v>
      </c>
      <c r="FZ57" s="265">
        <v>0</v>
      </c>
      <c r="GA57" s="265">
        <v>0</v>
      </c>
      <c r="GB57" s="265">
        <v>0</v>
      </c>
      <c r="GC57" s="265">
        <v>0</v>
      </c>
      <c r="GD57" s="265">
        <v>0</v>
      </c>
      <c r="GE57" s="265">
        <v>0</v>
      </c>
      <c r="GF57" s="265">
        <v>0</v>
      </c>
      <c r="GG57" s="265">
        <v>0</v>
      </c>
      <c r="GH57" s="265">
        <v>0</v>
      </c>
      <c r="GI57" s="265">
        <v>0</v>
      </c>
      <c r="GJ57" s="265">
        <v>0</v>
      </c>
      <c r="GK57" s="265">
        <v>0</v>
      </c>
      <c r="GL57" s="265">
        <v>0</v>
      </c>
      <c r="GM57" s="265">
        <v>0</v>
      </c>
      <c r="GN57" s="265">
        <v>0</v>
      </c>
      <c r="GO57" s="269">
        <v>0</v>
      </c>
      <c r="GP57" s="278">
        <v>0</v>
      </c>
      <c r="GQ57" s="265">
        <v>0</v>
      </c>
      <c r="GR57" s="265">
        <v>0</v>
      </c>
      <c r="GS57" s="265">
        <v>0</v>
      </c>
      <c r="GT57" s="265">
        <v>0</v>
      </c>
      <c r="GU57" s="265">
        <v>0</v>
      </c>
      <c r="GV57" s="265">
        <v>0</v>
      </c>
      <c r="GW57" s="265">
        <v>0</v>
      </c>
      <c r="GX57" s="265">
        <v>0</v>
      </c>
      <c r="GY57" s="265">
        <v>0</v>
      </c>
      <c r="GZ57" s="265">
        <v>0</v>
      </c>
      <c r="HA57" s="265">
        <v>0</v>
      </c>
      <c r="HB57" s="265">
        <v>0</v>
      </c>
      <c r="HC57" s="265">
        <v>0</v>
      </c>
      <c r="HD57" s="265">
        <v>0</v>
      </c>
      <c r="HE57" s="265">
        <v>0</v>
      </c>
      <c r="HF57" s="265">
        <v>0</v>
      </c>
      <c r="HG57" s="265">
        <v>0</v>
      </c>
      <c r="HH57" s="265">
        <v>0</v>
      </c>
      <c r="HI57" s="265"/>
      <c r="HJ57" s="265"/>
      <c r="HK57" s="265"/>
      <c r="HL57" s="265"/>
      <c r="HM57" s="265"/>
      <c r="HN57" s="265"/>
      <c r="HO57" s="265"/>
      <c r="HP57" s="265"/>
      <c r="HQ57" s="265"/>
      <c r="HR57" s="265"/>
      <c r="HS57" s="265"/>
      <c r="HT57" s="368"/>
      <c r="HU57" s="363">
        <f t="shared" si="93"/>
        <v>0</v>
      </c>
    </row>
    <row r="58" spans="1:229" x14ac:dyDescent="0.25">
      <c r="A58" s="2">
        <v>11</v>
      </c>
      <c r="B58" s="496"/>
      <c r="C58" s="23" t="s">
        <v>11</v>
      </c>
      <c r="D58" s="29" t="s">
        <v>19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24">
        <f t="shared" si="92"/>
        <v>0</v>
      </c>
      <c r="N58" s="239"/>
      <c r="O58" s="7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62"/>
      <c r="AR58" s="7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3"/>
      <c r="BU58" s="13"/>
      <c r="BV58" s="13"/>
      <c r="BW58" s="162"/>
      <c r="BX58" s="68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265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69"/>
      <c r="CZ58" s="265"/>
      <c r="DA58" s="269"/>
      <c r="DB58" s="73"/>
      <c r="DC58" s="13"/>
      <c r="DD58" s="13"/>
      <c r="DE58" s="13"/>
      <c r="DF58" s="13"/>
      <c r="DG58" s="13"/>
      <c r="DH58" s="265"/>
      <c r="DI58" s="265"/>
      <c r="DJ58" s="265"/>
      <c r="DK58" s="265"/>
      <c r="DL58" s="265"/>
      <c r="DM58" s="265"/>
      <c r="DN58" s="265"/>
      <c r="DO58" s="265"/>
      <c r="DP58" s="265"/>
      <c r="DQ58" s="265"/>
      <c r="DR58" s="265"/>
      <c r="DS58" s="265"/>
      <c r="DT58" s="265"/>
      <c r="DU58" s="265"/>
      <c r="DV58" s="265"/>
      <c r="DW58" s="265"/>
      <c r="DX58" s="265">
        <v>0</v>
      </c>
      <c r="DY58" s="265">
        <v>0</v>
      </c>
      <c r="DZ58" s="265">
        <v>0</v>
      </c>
      <c r="EA58" s="265">
        <v>0</v>
      </c>
      <c r="EB58" s="265">
        <v>0</v>
      </c>
      <c r="EC58" s="265">
        <v>0</v>
      </c>
      <c r="ED58" s="265">
        <v>0</v>
      </c>
      <c r="EE58" s="265">
        <v>0</v>
      </c>
      <c r="EF58" s="269">
        <v>0</v>
      </c>
      <c r="EG58" s="278">
        <v>0</v>
      </c>
      <c r="EH58" s="269">
        <v>0</v>
      </c>
      <c r="EI58" s="265">
        <v>0</v>
      </c>
      <c r="EJ58" s="265">
        <v>0</v>
      </c>
      <c r="EK58" s="265">
        <v>0</v>
      </c>
      <c r="EL58" s="265">
        <v>0</v>
      </c>
      <c r="EM58" s="265">
        <v>0</v>
      </c>
      <c r="EN58" s="265">
        <v>0</v>
      </c>
      <c r="EO58" s="265">
        <v>0</v>
      </c>
      <c r="EP58" s="265">
        <v>0</v>
      </c>
      <c r="EQ58" s="265">
        <v>0</v>
      </c>
      <c r="ER58" s="265">
        <v>0</v>
      </c>
      <c r="ES58" s="265">
        <v>0</v>
      </c>
      <c r="ET58" s="265">
        <v>0</v>
      </c>
      <c r="EU58" s="265">
        <v>0</v>
      </c>
      <c r="EV58" s="265">
        <v>0</v>
      </c>
      <c r="EW58" s="265">
        <v>0</v>
      </c>
      <c r="EX58" s="265">
        <v>0</v>
      </c>
      <c r="EY58" s="265">
        <v>0</v>
      </c>
      <c r="EZ58" s="265">
        <v>0</v>
      </c>
      <c r="FA58" s="265">
        <v>0</v>
      </c>
      <c r="FB58" s="265">
        <v>0</v>
      </c>
      <c r="FC58" s="265">
        <v>0</v>
      </c>
      <c r="FD58" s="265">
        <v>0</v>
      </c>
      <c r="FE58" s="265">
        <v>0</v>
      </c>
      <c r="FF58" s="265">
        <v>0</v>
      </c>
      <c r="FG58" s="265">
        <v>0</v>
      </c>
      <c r="FH58" s="265">
        <v>0</v>
      </c>
      <c r="FI58" s="265">
        <v>0</v>
      </c>
      <c r="FJ58" s="269">
        <v>0</v>
      </c>
      <c r="FK58" s="278">
        <v>0</v>
      </c>
      <c r="FL58" s="265">
        <v>0</v>
      </c>
      <c r="FM58" s="265">
        <v>0</v>
      </c>
      <c r="FN58" s="265">
        <v>0</v>
      </c>
      <c r="FO58" s="265">
        <v>0</v>
      </c>
      <c r="FP58" s="265">
        <v>0</v>
      </c>
      <c r="FQ58" s="265">
        <v>0</v>
      </c>
      <c r="FR58" s="265">
        <v>0</v>
      </c>
      <c r="FS58" s="265">
        <v>0</v>
      </c>
      <c r="FT58" s="265">
        <v>0</v>
      </c>
      <c r="FU58" s="265">
        <v>0</v>
      </c>
      <c r="FV58" s="265">
        <v>0</v>
      </c>
      <c r="FW58" s="265">
        <v>0</v>
      </c>
      <c r="FX58" s="265">
        <v>0</v>
      </c>
      <c r="FY58" s="265">
        <v>0</v>
      </c>
      <c r="FZ58" s="265">
        <v>0</v>
      </c>
      <c r="GA58" s="265">
        <v>0</v>
      </c>
      <c r="GB58" s="265">
        <v>0</v>
      </c>
      <c r="GC58" s="265">
        <v>0</v>
      </c>
      <c r="GD58" s="265">
        <v>0</v>
      </c>
      <c r="GE58" s="265">
        <v>0</v>
      </c>
      <c r="GF58" s="265">
        <v>0</v>
      </c>
      <c r="GG58" s="265">
        <v>0</v>
      </c>
      <c r="GH58" s="265">
        <v>0</v>
      </c>
      <c r="GI58" s="265">
        <v>0</v>
      </c>
      <c r="GJ58" s="265">
        <v>0</v>
      </c>
      <c r="GK58" s="265">
        <v>0</v>
      </c>
      <c r="GL58" s="265">
        <v>0</v>
      </c>
      <c r="GM58" s="265">
        <v>0</v>
      </c>
      <c r="GN58" s="265">
        <v>0</v>
      </c>
      <c r="GO58" s="269">
        <v>0</v>
      </c>
      <c r="GP58" s="278">
        <v>0</v>
      </c>
      <c r="GQ58" s="265">
        <v>0</v>
      </c>
      <c r="GR58" s="265">
        <v>0</v>
      </c>
      <c r="GS58" s="265">
        <v>0</v>
      </c>
      <c r="GT58" s="265">
        <v>0</v>
      </c>
      <c r="GU58" s="265">
        <v>0</v>
      </c>
      <c r="GV58" s="265">
        <v>0</v>
      </c>
      <c r="GW58" s="265">
        <v>0</v>
      </c>
      <c r="GX58" s="265">
        <v>0</v>
      </c>
      <c r="GY58" s="265">
        <v>0</v>
      </c>
      <c r="GZ58" s="265">
        <v>0</v>
      </c>
      <c r="HA58" s="265">
        <v>0</v>
      </c>
      <c r="HB58" s="265">
        <v>0</v>
      </c>
      <c r="HC58" s="265">
        <v>0</v>
      </c>
      <c r="HD58" s="265">
        <v>0</v>
      </c>
      <c r="HE58" s="265">
        <v>0</v>
      </c>
      <c r="HF58" s="265">
        <v>0</v>
      </c>
      <c r="HG58" s="265">
        <v>0</v>
      </c>
      <c r="HH58" s="265">
        <v>0</v>
      </c>
      <c r="HI58" s="265"/>
      <c r="HJ58" s="265"/>
      <c r="HK58" s="265"/>
      <c r="HL58" s="265"/>
      <c r="HM58" s="265"/>
      <c r="HN58" s="265"/>
      <c r="HO58" s="265"/>
      <c r="HP58" s="265"/>
      <c r="HQ58" s="265"/>
      <c r="HR58" s="265"/>
      <c r="HS58" s="265"/>
      <c r="HT58" s="368"/>
      <c r="HU58" s="363">
        <f t="shared" si="93"/>
        <v>0</v>
      </c>
    </row>
    <row r="59" spans="1:229" ht="16.5" thickBot="1" x14ac:dyDescent="0.3">
      <c r="A59" s="15"/>
      <c r="B59" s="15"/>
      <c r="C59" s="24" t="s">
        <v>12</v>
      </c>
      <c r="D59" s="79" t="s">
        <v>19</v>
      </c>
      <c r="E59" s="20">
        <f>SUM(E48:E58)</f>
        <v>0</v>
      </c>
      <c r="F59" s="20">
        <f>SUM(F48:F58)</f>
        <v>0</v>
      </c>
      <c r="G59" s="20">
        <f t="shared" ref="G59:L59" si="94">SUM(G48:G58)</f>
        <v>0</v>
      </c>
      <c r="H59" s="20">
        <f t="shared" si="94"/>
        <v>0</v>
      </c>
      <c r="I59" s="20">
        <f t="shared" si="94"/>
        <v>0</v>
      </c>
      <c r="J59" s="20">
        <f t="shared" si="94"/>
        <v>0</v>
      </c>
      <c r="K59" s="20">
        <f t="shared" si="94"/>
        <v>0</v>
      </c>
      <c r="L59" s="20">
        <f t="shared" si="94"/>
        <v>0</v>
      </c>
      <c r="M59" s="125">
        <f>SUM(M48:M58)</f>
        <v>0</v>
      </c>
      <c r="N59" s="192"/>
      <c r="O59" s="83">
        <f t="shared" ref="O59:AP59" si="95">SUM(O48:O58)</f>
        <v>0</v>
      </c>
      <c r="P59" s="20">
        <f t="shared" si="95"/>
        <v>0</v>
      </c>
      <c r="Q59" s="20">
        <f t="shared" si="95"/>
        <v>0</v>
      </c>
      <c r="R59" s="20">
        <f t="shared" si="95"/>
        <v>0</v>
      </c>
      <c r="S59" s="20">
        <f t="shared" si="95"/>
        <v>0</v>
      </c>
      <c r="T59" s="20">
        <f t="shared" si="95"/>
        <v>0</v>
      </c>
      <c r="U59" s="20">
        <f t="shared" si="95"/>
        <v>0</v>
      </c>
      <c r="V59" s="20">
        <f t="shared" si="95"/>
        <v>0</v>
      </c>
      <c r="W59" s="20">
        <f t="shared" si="95"/>
        <v>0</v>
      </c>
      <c r="X59" s="20">
        <f t="shared" si="95"/>
        <v>0</v>
      </c>
      <c r="Y59" s="20">
        <f t="shared" si="95"/>
        <v>0</v>
      </c>
      <c r="Z59" s="20">
        <f t="shared" si="95"/>
        <v>0</v>
      </c>
      <c r="AA59" s="20">
        <f t="shared" si="95"/>
        <v>0</v>
      </c>
      <c r="AB59" s="20">
        <f t="shared" si="95"/>
        <v>0</v>
      </c>
      <c r="AC59" s="20">
        <f t="shared" si="95"/>
        <v>0</v>
      </c>
      <c r="AD59" s="20">
        <f t="shared" si="95"/>
        <v>0</v>
      </c>
      <c r="AE59" s="20">
        <f t="shared" si="95"/>
        <v>0</v>
      </c>
      <c r="AF59" s="20">
        <f t="shared" si="95"/>
        <v>0</v>
      </c>
      <c r="AG59" s="20">
        <f t="shared" si="95"/>
        <v>0</v>
      </c>
      <c r="AH59" s="20">
        <f t="shared" si="95"/>
        <v>0</v>
      </c>
      <c r="AI59" s="20">
        <f t="shared" si="95"/>
        <v>0</v>
      </c>
      <c r="AJ59" s="20">
        <f t="shared" si="95"/>
        <v>0</v>
      </c>
      <c r="AK59" s="20">
        <f t="shared" si="95"/>
        <v>0</v>
      </c>
      <c r="AL59" s="20">
        <f t="shared" si="95"/>
        <v>0</v>
      </c>
      <c r="AM59" s="20">
        <f t="shared" si="95"/>
        <v>0</v>
      </c>
      <c r="AN59" s="20">
        <f t="shared" si="95"/>
        <v>0</v>
      </c>
      <c r="AO59" s="20">
        <f t="shared" si="95"/>
        <v>0</v>
      </c>
      <c r="AP59" s="20">
        <f t="shared" si="95"/>
        <v>0</v>
      </c>
      <c r="AQ59" s="177"/>
      <c r="AR59" s="83">
        <f t="shared" ref="AR59:BB59" si="96">SUM(AR48:AR58)</f>
        <v>0</v>
      </c>
      <c r="AS59" s="20">
        <f t="shared" si="96"/>
        <v>0</v>
      </c>
      <c r="AT59" s="20">
        <f t="shared" si="96"/>
        <v>0</v>
      </c>
      <c r="AU59" s="20">
        <f t="shared" si="96"/>
        <v>0</v>
      </c>
      <c r="AV59" s="20">
        <f t="shared" si="96"/>
        <v>0</v>
      </c>
      <c r="AW59" s="20">
        <f t="shared" si="96"/>
        <v>0</v>
      </c>
      <c r="AX59" s="20">
        <f t="shared" si="96"/>
        <v>0</v>
      </c>
      <c r="AY59" s="20">
        <f t="shared" si="96"/>
        <v>0</v>
      </c>
      <c r="AZ59" s="20">
        <f t="shared" si="96"/>
        <v>0</v>
      </c>
      <c r="BA59" s="20">
        <f t="shared" si="96"/>
        <v>0</v>
      </c>
      <c r="BB59" s="20">
        <f t="shared" si="96"/>
        <v>0</v>
      </c>
      <c r="BC59" s="20">
        <f>SUM(BC48:BC58)</f>
        <v>0</v>
      </c>
      <c r="BD59" s="20">
        <f>SUM(BD48:BD58)</f>
        <v>0</v>
      </c>
      <c r="BE59" s="20">
        <f>SUM(BE48:BE58)</f>
        <v>0</v>
      </c>
      <c r="BF59" s="20">
        <f>SUM(BF48:BF58)</f>
        <v>0</v>
      </c>
      <c r="BG59" s="20">
        <f t="shared" ref="BG59:BV59" si="97">SUM(BG48:BG58)</f>
        <v>0</v>
      </c>
      <c r="BH59" s="20">
        <f t="shared" si="97"/>
        <v>0</v>
      </c>
      <c r="BI59" s="20">
        <f t="shared" si="97"/>
        <v>0</v>
      </c>
      <c r="BJ59" s="20">
        <f t="shared" si="97"/>
        <v>0</v>
      </c>
      <c r="BK59" s="20">
        <f t="shared" si="97"/>
        <v>0</v>
      </c>
      <c r="BL59" s="20">
        <f t="shared" si="97"/>
        <v>0</v>
      </c>
      <c r="BM59" s="20">
        <f t="shared" si="97"/>
        <v>0</v>
      </c>
      <c r="BN59" s="20">
        <f t="shared" si="97"/>
        <v>0</v>
      </c>
      <c r="BO59" s="20">
        <f t="shared" si="97"/>
        <v>0</v>
      </c>
      <c r="BP59" s="20">
        <f t="shared" si="97"/>
        <v>0</v>
      </c>
      <c r="BQ59" s="20">
        <f t="shared" si="97"/>
        <v>0</v>
      </c>
      <c r="BR59" s="20">
        <f t="shared" si="97"/>
        <v>0</v>
      </c>
      <c r="BS59" s="20">
        <f t="shared" si="97"/>
        <v>0</v>
      </c>
      <c r="BT59" s="20">
        <f t="shared" si="97"/>
        <v>0</v>
      </c>
      <c r="BU59" s="20">
        <f t="shared" si="97"/>
        <v>0</v>
      </c>
      <c r="BV59" s="20">
        <f t="shared" si="97"/>
        <v>0</v>
      </c>
      <c r="BW59" s="177"/>
      <c r="BX59" s="83">
        <f t="shared" ref="BX59" si="98">SUM(BX48:BX58)</f>
        <v>0</v>
      </c>
      <c r="BY59" s="20">
        <f>SUM(BY48:BY58)</f>
        <v>0</v>
      </c>
      <c r="BZ59" s="20">
        <f t="shared" ref="BZ59:CJ59" si="99">SUM(BZ48:BZ58)</f>
        <v>0</v>
      </c>
      <c r="CA59" s="20">
        <f t="shared" si="99"/>
        <v>0</v>
      </c>
      <c r="CB59" s="20">
        <f t="shared" si="99"/>
        <v>0</v>
      </c>
      <c r="CC59" s="20">
        <f t="shared" si="99"/>
        <v>0</v>
      </c>
      <c r="CD59" s="20">
        <f t="shared" si="99"/>
        <v>0</v>
      </c>
      <c r="CE59" s="20">
        <f t="shared" si="99"/>
        <v>0</v>
      </c>
      <c r="CF59" s="20">
        <f t="shared" si="99"/>
        <v>0</v>
      </c>
      <c r="CG59" s="20">
        <f t="shared" si="99"/>
        <v>0</v>
      </c>
      <c r="CH59" s="20">
        <f t="shared" si="99"/>
        <v>0</v>
      </c>
      <c r="CI59" s="20">
        <f t="shared" si="99"/>
        <v>0</v>
      </c>
      <c r="CJ59" s="20">
        <f t="shared" si="99"/>
        <v>0</v>
      </c>
      <c r="CK59" s="20">
        <v>0</v>
      </c>
      <c r="CL59" s="20">
        <f t="shared" ref="CL59:DI59" si="100">SUM(CL48:CL58)</f>
        <v>0</v>
      </c>
      <c r="CM59" s="20">
        <f t="shared" si="100"/>
        <v>0</v>
      </c>
      <c r="CN59" s="20">
        <f t="shared" si="100"/>
        <v>0</v>
      </c>
      <c r="CO59" s="20">
        <f t="shared" si="100"/>
        <v>0</v>
      </c>
      <c r="CP59" s="20">
        <f t="shared" si="100"/>
        <v>0</v>
      </c>
      <c r="CQ59" s="20">
        <f t="shared" si="100"/>
        <v>0</v>
      </c>
      <c r="CR59" s="20">
        <f t="shared" si="100"/>
        <v>0</v>
      </c>
      <c r="CS59" s="20">
        <f t="shared" si="100"/>
        <v>0</v>
      </c>
      <c r="CT59" s="20">
        <f t="shared" si="100"/>
        <v>0</v>
      </c>
      <c r="CU59" s="20">
        <f t="shared" si="100"/>
        <v>0</v>
      </c>
      <c r="CV59" s="20">
        <f t="shared" si="100"/>
        <v>0</v>
      </c>
      <c r="CW59" s="20">
        <f t="shared" si="100"/>
        <v>0</v>
      </c>
      <c r="CX59" s="20">
        <f t="shared" si="100"/>
        <v>0</v>
      </c>
      <c r="CY59" s="20">
        <f t="shared" si="100"/>
        <v>0</v>
      </c>
      <c r="CZ59" s="20">
        <f t="shared" si="100"/>
        <v>0</v>
      </c>
      <c r="DA59" s="159">
        <f t="shared" si="100"/>
        <v>0</v>
      </c>
      <c r="DB59" s="83">
        <f t="shared" si="100"/>
        <v>0</v>
      </c>
      <c r="DC59" s="20">
        <f t="shared" si="100"/>
        <v>0</v>
      </c>
      <c r="DD59" s="20">
        <f t="shared" si="100"/>
        <v>0</v>
      </c>
      <c r="DE59" s="20">
        <f t="shared" si="100"/>
        <v>0</v>
      </c>
      <c r="DF59" s="20">
        <f t="shared" si="100"/>
        <v>0</v>
      </c>
      <c r="DG59" s="20">
        <f t="shared" si="100"/>
        <v>0</v>
      </c>
      <c r="DH59" s="20">
        <f t="shared" si="100"/>
        <v>0</v>
      </c>
      <c r="DI59" s="20">
        <f t="shared" si="100"/>
        <v>0</v>
      </c>
      <c r="DJ59" s="20">
        <f>SUM(DJ48:DJ58)</f>
        <v>0</v>
      </c>
      <c r="DK59" s="20">
        <f t="shared" ref="DK59:DX59" si="101">SUM(DK48:DK58)</f>
        <v>0</v>
      </c>
      <c r="DL59" s="20">
        <f t="shared" si="101"/>
        <v>0</v>
      </c>
      <c r="DM59" s="20">
        <f t="shared" si="101"/>
        <v>0</v>
      </c>
      <c r="DN59" s="20">
        <f t="shared" si="101"/>
        <v>0</v>
      </c>
      <c r="DO59" s="20">
        <f t="shared" si="101"/>
        <v>0</v>
      </c>
      <c r="DP59" s="20">
        <f t="shared" si="101"/>
        <v>0</v>
      </c>
      <c r="DQ59" s="20">
        <f t="shared" si="101"/>
        <v>0</v>
      </c>
      <c r="DR59" s="20">
        <f t="shared" si="101"/>
        <v>0</v>
      </c>
      <c r="DS59" s="20">
        <f t="shared" si="101"/>
        <v>0</v>
      </c>
      <c r="DT59" s="20">
        <f t="shared" si="101"/>
        <v>0</v>
      </c>
      <c r="DU59" s="20">
        <f t="shared" si="101"/>
        <v>0</v>
      </c>
      <c r="DV59" s="20">
        <f t="shared" si="101"/>
        <v>0</v>
      </c>
      <c r="DW59" s="20">
        <f t="shared" si="101"/>
        <v>0</v>
      </c>
      <c r="DX59" s="20">
        <f t="shared" si="101"/>
        <v>16</v>
      </c>
      <c r="DY59" s="20">
        <f t="shared" ref="DY59:EP59" si="102">SUM(DY48:DY58)</f>
        <v>12</v>
      </c>
      <c r="DZ59" s="20">
        <f t="shared" si="102"/>
        <v>0</v>
      </c>
      <c r="EA59" s="20">
        <f t="shared" si="102"/>
        <v>0</v>
      </c>
      <c r="EB59" s="20">
        <f t="shared" si="102"/>
        <v>0</v>
      </c>
      <c r="EC59" s="20">
        <f t="shared" si="102"/>
        <v>0</v>
      </c>
      <c r="ED59" s="20">
        <f t="shared" si="102"/>
        <v>0</v>
      </c>
      <c r="EE59" s="20">
        <f t="shared" si="102"/>
        <v>0</v>
      </c>
      <c r="EF59" s="159">
        <f t="shared" si="102"/>
        <v>8</v>
      </c>
      <c r="EG59" s="159">
        <f t="shared" si="102"/>
        <v>0</v>
      </c>
      <c r="EH59" s="159">
        <f t="shared" si="102"/>
        <v>0</v>
      </c>
      <c r="EI59" s="159">
        <f t="shared" si="102"/>
        <v>0</v>
      </c>
      <c r="EJ59" s="159">
        <f t="shared" si="102"/>
        <v>0</v>
      </c>
      <c r="EK59" s="159">
        <f t="shared" si="102"/>
        <v>0</v>
      </c>
      <c r="EL59" s="159">
        <f t="shared" si="102"/>
        <v>0</v>
      </c>
      <c r="EM59" s="159">
        <f t="shared" si="102"/>
        <v>0</v>
      </c>
      <c r="EN59" s="159">
        <f t="shared" si="102"/>
        <v>35.299999999999997</v>
      </c>
      <c r="EO59" s="159">
        <f t="shared" si="102"/>
        <v>0</v>
      </c>
      <c r="EP59" s="159">
        <f t="shared" si="102"/>
        <v>0</v>
      </c>
      <c r="EQ59" s="159">
        <f t="shared" ref="EQ59:ES59" si="103">SUM(EQ48:EQ58)</f>
        <v>0</v>
      </c>
      <c r="ER59" s="159">
        <f t="shared" si="103"/>
        <v>0</v>
      </c>
      <c r="ES59" s="159">
        <f t="shared" si="103"/>
        <v>20.100000000000001</v>
      </c>
      <c r="ET59" s="159">
        <f t="shared" ref="ET59:EW59" si="104">SUM(ET48:ET58)</f>
        <v>0</v>
      </c>
      <c r="EU59" s="159">
        <f t="shared" si="104"/>
        <v>0</v>
      </c>
      <c r="EV59" s="159">
        <f t="shared" si="104"/>
        <v>0</v>
      </c>
      <c r="EW59" s="159">
        <f t="shared" si="104"/>
        <v>0</v>
      </c>
      <c r="EX59" s="159">
        <f t="shared" ref="EX59:EY59" si="105">SUM(EX48:EX58)</f>
        <v>9.6</v>
      </c>
      <c r="EY59" s="159">
        <f t="shared" si="105"/>
        <v>0</v>
      </c>
      <c r="EZ59" s="159">
        <f t="shared" ref="EZ59:FB59" si="106">SUM(EZ48:EZ58)</f>
        <v>0</v>
      </c>
      <c r="FA59" s="159">
        <f t="shared" si="106"/>
        <v>18</v>
      </c>
      <c r="FB59" s="159">
        <f t="shared" si="106"/>
        <v>0</v>
      </c>
      <c r="FC59" s="159">
        <f t="shared" ref="FC59:FG59" si="107">SUM(FC48:FC58)</f>
        <v>20</v>
      </c>
      <c r="FD59" s="159">
        <f t="shared" si="107"/>
        <v>19</v>
      </c>
      <c r="FE59" s="159">
        <f t="shared" si="107"/>
        <v>6.9</v>
      </c>
      <c r="FF59" s="159">
        <f t="shared" si="107"/>
        <v>0</v>
      </c>
      <c r="FG59" s="159">
        <f t="shared" si="107"/>
        <v>26</v>
      </c>
      <c r="FH59" s="159">
        <f t="shared" ref="FH59:FN59" si="108">SUM(FH48:FH58)</f>
        <v>0</v>
      </c>
      <c r="FI59" s="159">
        <f t="shared" si="108"/>
        <v>0</v>
      </c>
      <c r="FJ59" s="159">
        <f t="shared" si="108"/>
        <v>0</v>
      </c>
      <c r="FK59" s="371">
        <f t="shared" si="108"/>
        <v>24.4</v>
      </c>
      <c r="FL59" s="159">
        <f t="shared" si="108"/>
        <v>19</v>
      </c>
      <c r="FM59" s="159">
        <f t="shared" si="108"/>
        <v>0</v>
      </c>
      <c r="FN59" s="159">
        <f t="shared" si="108"/>
        <v>0</v>
      </c>
      <c r="FO59" s="159">
        <f t="shared" ref="FO59:FP59" si="109">SUM(FO48:FO58)</f>
        <v>0</v>
      </c>
      <c r="FP59" s="159">
        <f t="shared" si="109"/>
        <v>0</v>
      </c>
      <c r="FQ59" s="159">
        <f t="shared" ref="FQ59:FR59" si="110">SUM(FQ48:FQ58)</f>
        <v>0</v>
      </c>
      <c r="FR59" s="159">
        <f t="shared" si="110"/>
        <v>29</v>
      </c>
      <c r="FS59" s="159">
        <f t="shared" ref="FS59:FU59" si="111">SUM(FS48:FS58)</f>
        <v>11.5</v>
      </c>
      <c r="FT59" s="159">
        <f t="shared" si="111"/>
        <v>0</v>
      </c>
      <c r="FU59" s="159">
        <f t="shared" si="111"/>
        <v>23</v>
      </c>
      <c r="FV59" s="159">
        <f t="shared" ref="FV59:GA59" si="112">SUM(FV48:FV58)</f>
        <v>23.5</v>
      </c>
      <c r="FW59" s="159">
        <f t="shared" si="112"/>
        <v>0</v>
      </c>
      <c r="FX59" s="159">
        <f t="shared" si="112"/>
        <v>37</v>
      </c>
      <c r="FY59" s="159">
        <f t="shared" si="112"/>
        <v>0</v>
      </c>
      <c r="FZ59" s="159">
        <f t="shared" si="112"/>
        <v>0</v>
      </c>
      <c r="GA59" s="159">
        <f t="shared" si="112"/>
        <v>0</v>
      </c>
      <c r="GB59" s="159">
        <f t="shared" ref="GB59:GC59" si="113">SUM(GB48:GB58)</f>
        <v>15</v>
      </c>
      <c r="GC59" s="159">
        <f t="shared" si="113"/>
        <v>0</v>
      </c>
      <c r="GD59" s="159">
        <f t="shared" ref="GD59:GE59" si="114">SUM(GD48:GD58)</f>
        <v>0</v>
      </c>
      <c r="GE59" s="159">
        <f t="shared" si="114"/>
        <v>0</v>
      </c>
      <c r="GF59" s="159">
        <f t="shared" ref="GF59:GH59" si="115">SUM(GF48:GF58)</f>
        <v>15</v>
      </c>
      <c r="GG59" s="159">
        <f t="shared" si="115"/>
        <v>0</v>
      </c>
      <c r="GH59" s="159">
        <f t="shared" si="115"/>
        <v>0</v>
      </c>
      <c r="GI59" s="159">
        <f t="shared" ref="GI59:GP59" si="116">SUM(GI48:GI58)</f>
        <v>0</v>
      </c>
      <c r="GJ59" s="159">
        <f t="shared" si="116"/>
        <v>6.5</v>
      </c>
      <c r="GK59" s="159">
        <f t="shared" si="116"/>
        <v>29</v>
      </c>
      <c r="GL59" s="159">
        <f t="shared" si="116"/>
        <v>30.3</v>
      </c>
      <c r="GM59" s="159">
        <f t="shared" si="116"/>
        <v>11</v>
      </c>
      <c r="GN59" s="159">
        <f t="shared" si="116"/>
        <v>0</v>
      </c>
      <c r="GO59" s="159">
        <f t="shared" si="116"/>
        <v>0</v>
      </c>
      <c r="GP59" s="83">
        <f t="shared" si="116"/>
        <v>46.1</v>
      </c>
      <c r="GQ59" s="20">
        <f t="shared" ref="GQ59:GW59" si="117">SUM(GQ48:GQ58)</f>
        <v>0</v>
      </c>
      <c r="GR59" s="159">
        <f t="shared" si="117"/>
        <v>0</v>
      </c>
      <c r="GS59" s="159">
        <f t="shared" si="117"/>
        <v>5.5</v>
      </c>
      <c r="GT59" s="159">
        <f t="shared" si="117"/>
        <v>28</v>
      </c>
      <c r="GU59" s="159">
        <f t="shared" si="117"/>
        <v>13</v>
      </c>
      <c r="GV59" s="159">
        <f t="shared" si="117"/>
        <v>0</v>
      </c>
      <c r="GW59" s="159">
        <f t="shared" si="117"/>
        <v>0</v>
      </c>
      <c r="GX59" s="159">
        <f t="shared" ref="GX59:GZ59" si="118">SUM(GX48:GX58)</f>
        <v>0</v>
      </c>
      <c r="GY59" s="159">
        <f t="shared" si="118"/>
        <v>0</v>
      </c>
      <c r="GZ59" s="159">
        <f t="shared" si="118"/>
        <v>0</v>
      </c>
      <c r="HA59" s="159">
        <f t="shared" ref="HA59:HB59" si="119">SUM(HA48:HA58)</f>
        <v>26</v>
      </c>
      <c r="HB59" s="159">
        <f t="shared" si="119"/>
        <v>0</v>
      </c>
      <c r="HC59" s="159">
        <f t="shared" ref="HC59:HE59" si="120">SUM(HC48:HC58)</f>
        <v>0</v>
      </c>
      <c r="HD59" s="159">
        <f t="shared" si="120"/>
        <v>83</v>
      </c>
      <c r="HE59" s="159">
        <f t="shared" si="120"/>
        <v>0</v>
      </c>
      <c r="HF59" s="159">
        <f t="shared" ref="HF59:HG59" si="121">SUM(HF48:HF58)</f>
        <v>40</v>
      </c>
      <c r="HG59" s="159">
        <f t="shared" si="121"/>
        <v>0</v>
      </c>
      <c r="HH59" s="159">
        <f t="shared" ref="HH59" si="122">SUM(HH48:HH58)</f>
        <v>37.6</v>
      </c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369"/>
      <c r="HU59" s="364">
        <f>SUM(HU48:HU58)</f>
        <v>744.3</v>
      </c>
    </row>
    <row r="60" spans="1:229" ht="15.75" thickBot="1" x14ac:dyDescent="0.3">
      <c r="GP60" s="21"/>
      <c r="GQ60" s="275"/>
      <c r="HI60" s="275"/>
      <c r="HJ60" s="275"/>
      <c r="HK60" s="275"/>
      <c r="HL60" s="275"/>
      <c r="HM60" s="275"/>
      <c r="HN60" s="275"/>
      <c r="HO60" s="275"/>
      <c r="HP60" s="275"/>
      <c r="HQ60" s="275"/>
      <c r="HR60" s="275"/>
      <c r="HS60" s="275"/>
      <c r="HT60" s="357"/>
    </row>
    <row r="61" spans="1:229" ht="15.75" thickBot="1" x14ac:dyDescent="0.3">
      <c r="A61" s="189">
        <v>1</v>
      </c>
      <c r="B61" s="481" t="s">
        <v>138</v>
      </c>
      <c r="C61" s="25" t="s">
        <v>1</v>
      </c>
      <c r="D61" s="189" t="s">
        <v>19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191">
        <f>SUM(E61:L61)</f>
        <v>0</v>
      </c>
      <c r="N61" s="237"/>
      <c r="O61" s="71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165"/>
      <c r="AR61" s="71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157"/>
      <c r="BJ61" s="157"/>
      <c r="BK61" s="157"/>
      <c r="BL61" s="157"/>
      <c r="BM61" s="157"/>
      <c r="BN61" s="157"/>
      <c r="BO61" s="157"/>
      <c r="BP61" s="157"/>
      <c r="BQ61" s="157"/>
      <c r="BR61" s="157"/>
      <c r="BS61" s="157"/>
      <c r="BT61" s="37"/>
      <c r="BU61" s="37"/>
      <c r="BV61" s="37"/>
      <c r="BW61" s="165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267"/>
      <c r="CO61" s="268"/>
      <c r="CP61" s="268"/>
      <c r="CQ61" s="268"/>
      <c r="CR61" s="268"/>
      <c r="CS61" s="268"/>
      <c r="CT61" s="268"/>
      <c r="CU61" s="268"/>
      <c r="CV61" s="268"/>
      <c r="CW61" s="268"/>
      <c r="CX61" s="268"/>
      <c r="CY61" s="268"/>
      <c r="CZ61" s="267"/>
      <c r="DA61" s="268"/>
      <c r="DB61" s="71"/>
      <c r="DC61" s="37"/>
      <c r="DD61" s="37"/>
      <c r="DE61" s="37"/>
      <c r="DF61" s="37"/>
      <c r="DG61" s="37"/>
      <c r="DH61" s="267"/>
      <c r="DI61" s="267"/>
      <c r="DJ61" s="267"/>
      <c r="DK61" s="267"/>
      <c r="DL61" s="267"/>
      <c r="DM61" s="267"/>
      <c r="DN61" s="267"/>
      <c r="DO61" s="267"/>
      <c r="DP61" s="267"/>
      <c r="DQ61" s="267"/>
      <c r="DR61" s="267"/>
      <c r="DS61" s="267"/>
      <c r="DT61" s="267"/>
      <c r="DU61" s="267"/>
      <c r="DV61" s="267"/>
      <c r="DW61" s="267"/>
      <c r="DX61" s="267"/>
      <c r="DY61" s="267"/>
      <c r="DZ61" s="267"/>
      <c r="EA61" s="267"/>
      <c r="EB61" s="267"/>
      <c r="EC61" s="267"/>
      <c r="ED61" s="267"/>
      <c r="EE61" s="267"/>
      <c r="EF61" s="268"/>
      <c r="EG61" s="279"/>
      <c r="EH61" s="268"/>
      <c r="EI61" s="267"/>
      <c r="EJ61" s="267"/>
      <c r="EK61" s="267"/>
      <c r="EL61" s="267"/>
      <c r="EM61" s="267"/>
      <c r="EN61" s="267"/>
      <c r="EO61" s="267"/>
      <c r="EP61" s="267"/>
      <c r="EQ61" s="267"/>
      <c r="ER61" s="267"/>
      <c r="ES61" s="267"/>
      <c r="ET61" s="267"/>
      <c r="EU61" s="267"/>
      <c r="EV61" s="267"/>
      <c r="EW61" s="267"/>
      <c r="EX61" s="267"/>
      <c r="EY61" s="267"/>
      <c r="EZ61" s="267"/>
      <c r="FA61" s="267"/>
      <c r="FB61" s="267"/>
      <c r="FC61" s="267"/>
      <c r="FD61" s="267"/>
      <c r="FE61" s="267"/>
      <c r="FF61" s="267"/>
      <c r="FG61" s="267"/>
      <c r="FH61" s="267"/>
      <c r="FI61" s="267"/>
      <c r="FJ61" s="268"/>
      <c r="FK61" s="279"/>
      <c r="FL61" s="267"/>
      <c r="FM61" s="267"/>
      <c r="FN61" s="267"/>
      <c r="FO61" s="267"/>
      <c r="FP61" s="267"/>
      <c r="FQ61" s="267"/>
      <c r="FR61" s="267"/>
      <c r="FS61" s="281"/>
      <c r="FT61" s="267"/>
      <c r="FU61" s="267"/>
      <c r="FV61" s="267"/>
      <c r="FW61" s="267"/>
      <c r="FX61" s="267"/>
      <c r="FY61" s="267"/>
      <c r="FZ61" s="267"/>
      <c r="GA61" s="267"/>
      <c r="GB61" s="267"/>
      <c r="GC61" s="267"/>
      <c r="GD61" s="267"/>
      <c r="GE61" s="267"/>
      <c r="GF61" s="267">
        <v>0</v>
      </c>
      <c r="GG61" s="267">
        <v>0</v>
      </c>
      <c r="GH61" s="267">
        <v>0</v>
      </c>
      <c r="GI61" s="267">
        <v>0</v>
      </c>
      <c r="GJ61" s="267">
        <v>0</v>
      </c>
      <c r="GK61" s="267">
        <v>0</v>
      </c>
      <c r="GL61" s="267">
        <v>0</v>
      </c>
      <c r="GM61" s="267">
        <v>0</v>
      </c>
      <c r="GN61" s="267">
        <v>0</v>
      </c>
      <c r="GO61" s="268">
        <v>0</v>
      </c>
      <c r="GP61" s="279">
        <v>0</v>
      </c>
      <c r="GQ61" s="267">
        <v>0</v>
      </c>
      <c r="GR61" s="267">
        <v>12</v>
      </c>
      <c r="GS61" s="267">
        <v>0</v>
      </c>
      <c r="GT61" s="281">
        <v>8.5</v>
      </c>
      <c r="GU61" s="267">
        <v>0</v>
      </c>
      <c r="GV61" s="267">
        <v>0</v>
      </c>
      <c r="GW61" s="267">
        <v>0</v>
      </c>
      <c r="GX61" s="267">
        <v>0</v>
      </c>
      <c r="GY61" s="267">
        <v>10</v>
      </c>
      <c r="GZ61" s="267">
        <v>0</v>
      </c>
      <c r="HA61" s="267">
        <v>0</v>
      </c>
      <c r="HB61" s="267">
        <v>0</v>
      </c>
      <c r="HC61" s="267">
        <v>0</v>
      </c>
      <c r="HD61" s="267">
        <v>0</v>
      </c>
      <c r="HE61" s="267">
        <v>0</v>
      </c>
      <c r="HF61" s="267">
        <v>0</v>
      </c>
      <c r="HG61" s="267">
        <v>0</v>
      </c>
      <c r="HH61" s="267">
        <v>0</v>
      </c>
      <c r="HI61" s="267"/>
      <c r="HJ61" s="267"/>
      <c r="HK61" s="267"/>
      <c r="HL61" s="267"/>
      <c r="HM61" s="267"/>
      <c r="HN61" s="267"/>
      <c r="HO61" s="267"/>
      <c r="HP61" s="267"/>
      <c r="HQ61" s="267"/>
      <c r="HR61" s="267"/>
      <c r="HS61" s="267"/>
      <c r="HT61" s="367"/>
      <c r="HU61" s="363">
        <f>SUM(O61:HT61)</f>
        <v>30.5</v>
      </c>
    </row>
    <row r="62" spans="1:229" ht="15.75" thickBot="1" x14ac:dyDescent="0.3">
      <c r="A62" s="29">
        <v>2</v>
      </c>
      <c r="B62" s="474"/>
      <c r="C62" s="23" t="s">
        <v>2</v>
      </c>
      <c r="D62" s="29" t="s">
        <v>19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24">
        <f t="shared" ref="M62:M71" si="123">SUM(E62:L62)</f>
        <v>0</v>
      </c>
      <c r="N62" s="238"/>
      <c r="O62" s="7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79"/>
      <c r="AR62" s="73"/>
      <c r="AS62" s="13"/>
      <c r="AT62" s="13"/>
      <c r="AU62" s="13"/>
      <c r="AV62" s="13"/>
      <c r="AW62" s="13"/>
      <c r="AX62" s="13"/>
      <c r="AY62" s="13"/>
      <c r="AZ62" s="13"/>
      <c r="BA62" s="13"/>
      <c r="BB62" s="64"/>
      <c r="BC62" s="13"/>
      <c r="BD62" s="13"/>
      <c r="BE62" s="13"/>
      <c r="BF62" s="13"/>
      <c r="BG62" s="13"/>
      <c r="BH62" s="13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3"/>
      <c r="BU62" s="13"/>
      <c r="BV62" s="13"/>
      <c r="BW62" s="179"/>
      <c r="BX62" s="7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265"/>
      <c r="CO62" s="270"/>
      <c r="CP62" s="270"/>
      <c r="CQ62" s="270"/>
      <c r="CR62" s="270"/>
      <c r="CS62" s="270"/>
      <c r="CT62" s="270"/>
      <c r="CU62" s="270"/>
      <c r="CV62" s="270"/>
      <c r="CW62" s="270"/>
      <c r="CX62" s="270"/>
      <c r="CY62" s="270"/>
      <c r="CZ62" s="265"/>
      <c r="DA62" s="269"/>
      <c r="DB62" s="73"/>
      <c r="DC62" s="13"/>
      <c r="DD62" s="13"/>
      <c r="DE62" s="13"/>
      <c r="DF62" s="13"/>
      <c r="DG62" s="13"/>
      <c r="DH62" s="265"/>
      <c r="DI62" s="265"/>
      <c r="DJ62" s="265"/>
      <c r="DK62" s="265"/>
      <c r="DL62" s="265"/>
      <c r="DM62" s="265"/>
      <c r="DN62" s="265"/>
      <c r="DO62" s="265"/>
      <c r="DP62" s="265"/>
      <c r="DQ62" s="265"/>
      <c r="DR62" s="265"/>
      <c r="DS62" s="265"/>
      <c r="DT62" s="265"/>
      <c r="DU62" s="265"/>
      <c r="DV62" s="265"/>
      <c r="DW62" s="265"/>
      <c r="DX62" s="265"/>
      <c r="DY62" s="265"/>
      <c r="DZ62" s="265"/>
      <c r="EA62" s="265"/>
      <c r="EB62" s="265"/>
      <c r="EC62" s="265"/>
      <c r="ED62" s="265"/>
      <c r="EE62" s="265"/>
      <c r="EF62" s="269"/>
      <c r="EG62" s="278"/>
      <c r="EH62" s="269"/>
      <c r="EI62" s="265"/>
      <c r="EJ62" s="265"/>
      <c r="EK62" s="265"/>
      <c r="EL62" s="265"/>
      <c r="EM62" s="265"/>
      <c r="EN62" s="265"/>
      <c r="EO62" s="265"/>
      <c r="EP62" s="265"/>
      <c r="EQ62" s="265"/>
      <c r="ER62" s="265"/>
      <c r="ES62" s="272"/>
      <c r="ET62" s="265"/>
      <c r="EU62" s="265"/>
      <c r="EV62" s="265"/>
      <c r="EW62" s="265"/>
      <c r="EX62" s="272"/>
      <c r="EY62" s="265"/>
      <c r="EZ62" s="265"/>
      <c r="FA62" s="265"/>
      <c r="FB62" s="265"/>
      <c r="FC62" s="265"/>
      <c r="FD62" s="265"/>
      <c r="FE62" s="272"/>
      <c r="FF62" s="265"/>
      <c r="FG62" s="265"/>
      <c r="FH62" s="265"/>
      <c r="FI62" s="265"/>
      <c r="FJ62" s="269"/>
      <c r="FK62" s="278"/>
      <c r="FL62" s="265"/>
      <c r="FM62" s="265"/>
      <c r="FN62" s="265"/>
      <c r="FO62" s="265"/>
      <c r="FP62" s="265"/>
      <c r="FQ62" s="265"/>
      <c r="FR62" s="265"/>
      <c r="FS62" s="265"/>
      <c r="FT62" s="265"/>
      <c r="FU62" s="265"/>
      <c r="FV62" s="265"/>
      <c r="FW62" s="265"/>
      <c r="FX62" s="265"/>
      <c r="FY62" s="265"/>
      <c r="FZ62" s="265"/>
      <c r="GA62" s="265"/>
      <c r="GB62" s="265"/>
      <c r="GC62" s="265"/>
      <c r="GD62" s="265"/>
      <c r="GE62" s="265"/>
      <c r="GF62" s="265">
        <v>12</v>
      </c>
      <c r="GG62" s="265">
        <v>0</v>
      </c>
      <c r="GH62" s="265">
        <v>0</v>
      </c>
      <c r="GI62" s="265">
        <v>36</v>
      </c>
      <c r="GJ62" s="265">
        <v>0</v>
      </c>
      <c r="GK62" s="265">
        <v>0</v>
      </c>
      <c r="GL62" s="265">
        <v>0</v>
      </c>
      <c r="GM62" s="265">
        <v>0</v>
      </c>
      <c r="GN62" s="265">
        <v>0</v>
      </c>
      <c r="GO62" s="269">
        <v>0</v>
      </c>
      <c r="GP62" s="278">
        <v>0</v>
      </c>
      <c r="GQ62" s="265">
        <v>0</v>
      </c>
      <c r="GR62" s="265">
        <v>14</v>
      </c>
      <c r="GS62" s="265">
        <v>0</v>
      </c>
      <c r="GT62" s="265">
        <v>0</v>
      </c>
      <c r="GU62" s="265">
        <v>16</v>
      </c>
      <c r="GV62" s="265">
        <v>0</v>
      </c>
      <c r="GW62" s="265">
        <v>0</v>
      </c>
      <c r="GX62" s="265">
        <v>0</v>
      </c>
      <c r="GY62" s="265">
        <v>0</v>
      </c>
      <c r="GZ62" s="265">
        <v>0</v>
      </c>
      <c r="HA62" s="265">
        <v>0</v>
      </c>
      <c r="HB62" s="265">
        <v>0</v>
      </c>
      <c r="HC62" s="265">
        <v>0</v>
      </c>
      <c r="HD62" s="265">
        <v>0</v>
      </c>
      <c r="HE62" s="265">
        <v>0</v>
      </c>
      <c r="HF62" s="265">
        <v>20</v>
      </c>
      <c r="HG62" s="265">
        <v>0</v>
      </c>
      <c r="HH62" s="265">
        <v>0</v>
      </c>
      <c r="HI62" s="265"/>
      <c r="HJ62" s="265"/>
      <c r="HK62" s="265"/>
      <c r="HL62" s="265"/>
      <c r="HM62" s="265"/>
      <c r="HN62" s="265"/>
      <c r="HO62" s="265"/>
      <c r="HP62" s="265"/>
      <c r="HQ62" s="265"/>
      <c r="HR62" s="265"/>
      <c r="HS62" s="265"/>
      <c r="HT62" s="368"/>
      <c r="HU62" s="363">
        <f t="shared" ref="HU62:HU70" si="124">SUM(O62:HT62)</f>
        <v>98</v>
      </c>
    </row>
    <row r="63" spans="1:229" ht="15.75" thickBot="1" x14ac:dyDescent="0.3">
      <c r="A63" s="29">
        <v>3</v>
      </c>
      <c r="B63" s="474"/>
      <c r="C63" s="23" t="s">
        <v>3</v>
      </c>
      <c r="D63" s="29" t="s">
        <v>19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24">
        <f t="shared" si="123"/>
        <v>0</v>
      </c>
      <c r="N63" s="239"/>
      <c r="O63" s="7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80"/>
      <c r="AR63" s="7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3"/>
      <c r="BU63" s="13"/>
      <c r="BV63" s="13"/>
      <c r="BW63" s="180"/>
      <c r="BX63" s="68"/>
      <c r="BY63" s="13"/>
      <c r="BZ63" s="13"/>
      <c r="CA63" s="13"/>
      <c r="CB63" s="13"/>
      <c r="CC63" s="13"/>
      <c r="CD63" s="13"/>
      <c r="CE63" s="13"/>
      <c r="CF63" s="64"/>
      <c r="CG63" s="13"/>
      <c r="CH63" s="13"/>
      <c r="CI63" s="64"/>
      <c r="CJ63" s="13"/>
      <c r="CK63" s="13"/>
      <c r="CL63" s="13"/>
      <c r="CM63" s="13"/>
      <c r="CN63" s="265"/>
      <c r="CO63" s="270"/>
      <c r="CP63" s="270"/>
      <c r="CQ63" s="283"/>
      <c r="CR63" s="270"/>
      <c r="CS63" s="270"/>
      <c r="CT63" s="270"/>
      <c r="CU63" s="270"/>
      <c r="CV63" s="270"/>
      <c r="CW63" s="270"/>
      <c r="CX63" s="283"/>
      <c r="CY63" s="270"/>
      <c r="CZ63" s="265"/>
      <c r="DA63" s="269"/>
      <c r="DB63" s="73"/>
      <c r="DC63" s="13"/>
      <c r="DD63" s="13"/>
      <c r="DE63" s="13"/>
      <c r="DF63" s="13"/>
      <c r="DG63" s="13"/>
      <c r="DH63" s="265"/>
      <c r="DI63" s="265"/>
      <c r="DJ63" s="272"/>
      <c r="DK63" s="265"/>
      <c r="DL63" s="265"/>
      <c r="DM63" s="265"/>
      <c r="DN63" s="265"/>
      <c r="DO63" s="265"/>
      <c r="DP63" s="265"/>
      <c r="DQ63" s="265"/>
      <c r="DR63" s="265"/>
      <c r="DS63" s="265"/>
      <c r="DT63" s="265"/>
      <c r="DU63" s="265"/>
      <c r="DV63" s="265"/>
      <c r="DW63" s="265"/>
      <c r="DX63" s="265"/>
      <c r="DY63" s="265"/>
      <c r="DZ63" s="265"/>
      <c r="EA63" s="265"/>
      <c r="EB63" s="265"/>
      <c r="EC63" s="265"/>
      <c r="ED63" s="265"/>
      <c r="EE63" s="265"/>
      <c r="EF63" s="269"/>
      <c r="EG63" s="278"/>
      <c r="EH63" s="269"/>
      <c r="EI63" s="265"/>
      <c r="EJ63" s="265"/>
      <c r="EK63" s="265"/>
      <c r="EL63" s="265"/>
      <c r="EM63" s="265"/>
      <c r="EN63" s="272"/>
      <c r="EO63" s="265"/>
      <c r="EP63" s="265"/>
      <c r="EQ63" s="265"/>
      <c r="ER63" s="265"/>
      <c r="ES63" s="265"/>
      <c r="ET63" s="265"/>
      <c r="EU63" s="265"/>
      <c r="EV63" s="265"/>
      <c r="EW63" s="265"/>
      <c r="EX63" s="265"/>
      <c r="EY63" s="265"/>
      <c r="EZ63" s="265"/>
      <c r="FA63" s="265"/>
      <c r="FB63" s="265"/>
      <c r="FC63" s="265"/>
      <c r="FD63" s="265"/>
      <c r="FE63" s="265"/>
      <c r="FF63" s="265"/>
      <c r="FG63" s="265"/>
      <c r="FH63" s="265"/>
      <c r="FI63" s="265"/>
      <c r="FJ63" s="269"/>
      <c r="FK63" s="396"/>
      <c r="FL63" s="265"/>
      <c r="FM63" s="265"/>
      <c r="FN63" s="265"/>
      <c r="FO63" s="265"/>
      <c r="FP63" s="265"/>
      <c r="FQ63" s="265"/>
      <c r="FR63" s="265"/>
      <c r="FS63" s="265"/>
      <c r="FT63" s="265"/>
      <c r="FU63" s="265"/>
      <c r="FV63" s="265"/>
      <c r="FW63" s="265"/>
      <c r="FX63" s="265"/>
      <c r="FY63" s="265"/>
      <c r="FZ63" s="265"/>
      <c r="GA63" s="265"/>
      <c r="GB63" s="265"/>
      <c r="GC63" s="265"/>
      <c r="GD63" s="265"/>
      <c r="GE63" s="265"/>
      <c r="GF63" s="265">
        <v>0</v>
      </c>
      <c r="GG63" s="265">
        <v>0</v>
      </c>
      <c r="GH63" s="265">
        <v>0</v>
      </c>
      <c r="GI63" s="265">
        <v>0</v>
      </c>
      <c r="GJ63" s="265">
        <v>0</v>
      </c>
      <c r="GK63" s="265">
        <v>0</v>
      </c>
      <c r="GL63" s="265">
        <v>0</v>
      </c>
      <c r="GM63" s="265">
        <v>0</v>
      </c>
      <c r="GN63" s="265">
        <v>0</v>
      </c>
      <c r="GO63" s="269">
        <v>0</v>
      </c>
      <c r="GP63" s="278">
        <v>18</v>
      </c>
      <c r="GQ63" s="265">
        <v>0</v>
      </c>
      <c r="GR63" s="265">
        <v>0</v>
      </c>
      <c r="GS63" s="265">
        <v>0</v>
      </c>
      <c r="GT63" s="265">
        <v>0</v>
      </c>
      <c r="GU63" s="265">
        <v>16</v>
      </c>
      <c r="GV63" s="265">
        <v>0</v>
      </c>
      <c r="GW63" s="265">
        <v>0</v>
      </c>
      <c r="GX63" s="265">
        <v>0</v>
      </c>
      <c r="GY63" s="265">
        <v>0</v>
      </c>
      <c r="GZ63" s="265">
        <v>0</v>
      </c>
      <c r="HA63" s="265">
        <v>0</v>
      </c>
      <c r="HB63" s="265">
        <v>0</v>
      </c>
      <c r="HC63" s="265">
        <v>0</v>
      </c>
      <c r="HD63" s="265">
        <v>0</v>
      </c>
      <c r="HE63" s="265">
        <v>0</v>
      </c>
      <c r="HF63" s="265">
        <v>0</v>
      </c>
      <c r="HG63" s="265">
        <v>0</v>
      </c>
      <c r="HH63" s="265">
        <v>0</v>
      </c>
      <c r="HI63" s="265"/>
      <c r="HJ63" s="265"/>
      <c r="HK63" s="265"/>
      <c r="HL63" s="265"/>
      <c r="HM63" s="265"/>
      <c r="HN63" s="265"/>
      <c r="HO63" s="265"/>
      <c r="HP63" s="265"/>
      <c r="HQ63" s="265"/>
      <c r="HR63" s="265"/>
      <c r="HS63" s="265"/>
      <c r="HT63" s="368"/>
      <c r="HU63" s="363">
        <f t="shared" si="124"/>
        <v>34</v>
      </c>
    </row>
    <row r="64" spans="1:229" ht="15.75" thickBot="1" x14ac:dyDescent="0.3">
      <c r="A64" s="29">
        <v>4</v>
      </c>
      <c r="B64" s="474"/>
      <c r="C64" s="23" t="s">
        <v>4</v>
      </c>
      <c r="D64" s="29" t="s">
        <v>19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24">
        <f t="shared" si="123"/>
        <v>0</v>
      </c>
      <c r="N64" s="239"/>
      <c r="O64" s="7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62"/>
      <c r="AR64" s="7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3"/>
      <c r="BU64" s="13"/>
      <c r="BV64" s="13"/>
      <c r="BW64" s="162"/>
      <c r="BX64" s="68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265"/>
      <c r="CO64" s="269"/>
      <c r="CP64" s="269"/>
      <c r="CQ64" s="269"/>
      <c r="CR64" s="269"/>
      <c r="CS64" s="269"/>
      <c r="CT64" s="269"/>
      <c r="CU64" s="269"/>
      <c r="CV64" s="269"/>
      <c r="CW64" s="269"/>
      <c r="CX64" s="269"/>
      <c r="CY64" s="269"/>
      <c r="CZ64" s="265"/>
      <c r="DA64" s="269"/>
      <c r="DB64" s="73"/>
      <c r="DC64" s="13"/>
      <c r="DD64" s="13"/>
      <c r="DE64" s="13"/>
      <c r="DF64" s="13"/>
      <c r="DG64" s="13"/>
      <c r="DH64" s="272"/>
      <c r="DI64" s="265"/>
      <c r="DJ64" s="265"/>
      <c r="DK64" s="265"/>
      <c r="DL64" s="265"/>
      <c r="DM64" s="272"/>
      <c r="DN64" s="265"/>
      <c r="DO64" s="265"/>
      <c r="DP64" s="265"/>
      <c r="DQ64" s="265"/>
      <c r="DR64" s="265"/>
      <c r="DS64" s="265"/>
      <c r="DT64" s="265"/>
      <c r="DU64" s="265"/>
      <c r="DV64" s="265"/>
      <c r="DW64" s="265"/>
      <c r="DX64" s="265"/>
      <c r="DY64" s="265"/>
      <c r="DZ64" s="265"/>
      <c r="EA64" s="265"/>
      <c r="EB64" s="265"/>
      <c r="EC64" s="265"/>
      <c r="ED64" s="265"/>
      <c r="EE64" s="265"/>
      <c r="EF64" s="269"/>
      <c r="EG64" s="278"/>
      <c r="EH64" s="269"/>
      <c r="EI64" s="265"/>
      <c r="EJ64" s="265"/>
      <c r="EK64" s="265"/>
      <c r="EL64" s="265"/>
      <c r="EM64" s="265"/>
      <c r="EN64" s="265"/>
      <c r="EO64" s="265"/>
      <c r="EP64" s="265"/>
      <c r="EQ64" s="265"/>
      <c r="ER64" s="265"/>
      <c r="ES64" s="265"/>
      <c r="ET64" s="265"/>
      <c r="EU64" s="265"/>
      <c r="EV64" s="265"/>
      <c r="EW64" s="265"/>
      <c r="EX64" s="265"/>
      <c r="EY64" s="265"/>
      <c r="EZ64" s="265"/>
      <c r="FA64" s="265"/>
      <c r="FB64" s="265"/>
      <c r="FC64" s="265"/>
      <c r="FD64" s="265"/>
      <c r="FE64" s="265"/>
      <c r="FF64" s="265"/>
      <c r="FG64" s="265"/>
      <c r="FH64" s="265"/>
      <c r="FI64" s="265"/>
      <c r="FJ64" s="269"/>
      <c r="FK64" s="278"/>
      <c r="FL64" s="265"/>
      <c r="FM64" s="265"/>
      <c r="FN64" s="265"/>
      <c r="FO64" s="265"/>
      <c r="FP64" s="265"/>
      <c r="FQ64" s="265"/>
      <c r="FR64" s="265"/>
      <c r="FS64" s="265"/>
      <c r="FT64" s="265"/>
      <c r="FU64" s="265"/>
      <c r="FV64" s="265"/>
      <c r="FW64" s="265"/>
      <c r="FX64" s="265"/>
      <c r="FY64" s="265"/>
      <c r="FZ64" s="265"/>
      <c r="GA64" s="265"/>
      <c r="GB64" s="265"/>
      <c r="GC64" s="265"/>
      <c r="GD64" s="265"/>
      <c r="GE64" s="265"/>
      <c r="GF64" s="265">
        <v>0</v>
      </c>
      <c r="GG64" s="265">
        <v>0</v>
      </c>
      <c r="GH64" s="265">
        <v>0</v>
      </c>
      <c r="GI64" s="265">
        <v>0</v>
      </c>
      <c r="GJ64" s="265">
        <v>0</v>
      </c>
      <c r="GK64" s="265">
        <v>0</v>
      </c>
      <c r="GL64" s="265">
        <v>0</v>
      </c>
      <c r="GM64" s="265">
        <v>0</v>
      </c>
      <c r="GN64" s="265">
        <v>0</v>
      </c>
      <c r="GO64" s="269">
        <v>0</v>
      </c>
      <c r="GP64" s="278">
        <v>0</v>
      </c>
      <c r="GQ64" s="265">
        <v>0</v>
      </c>
      <c r="GR64" s="265">
        <v>0</v>
      </c>
      <c r="GS64" s="265">
        <v>0</v>
      </c>
      <c r="GT64" s="265">
        <v>0</v>
      </c>
      <c r="GU64" s="265">
        <v>0</v>
      </c>
      <c r="GV64" s="265">
        <v>0</v>
      </c>
      <c r="GW64" s="265">
        <v>0</v>
      </c>
      <c r="GX64" s="265">
        <v>0</v>
      </c>
      <c r="GY64" s="265">
        <v>0</v>
      </c>
      <c r="GZ64" s="265">
        <v>0</v>
      </c>
      <c r="HA64" s="265">
        <v>0</v>
      </c>
      <c r="HB64" s="265">
        <v>0</v>
      </c>
      <c r="HC64" s="265">
        <v>0</v>
      </c>
      <c r="HD64" s="265">
        <v>0</v>
      </c>
      <c r="HE64" s="265">
        <v>0</v>
      </c>
      <c r="HF64" s="265">
        <v>0</v>
      </c>
      <c r="HG64" s="265">
        <v>0</v>
      </c>
      <c r="HH64" s="265">
        <v>0</v>
      </c>
      <c r="HI64" s="265"/>
      <c r="HJ64" s="265"/>
      <c r="HK64" s="265"/>
      <c r="HL64" s="265"/>
      <c r="HM64" s="265"/>
      <c r="HN64" s="265"/>
      <c r="HO64" s="265"/>
      <c r="HP64" s="265"/>
      <c r="HQ64" s="265"/>
      <c r="HR64" s="265"/>
      <c r="HS64" s="265"/>
      <c r="HT64" s="368"/>
      <c r="HU64" s="363">
        <f t="shared" si="124"/>
        <v>0</v>
      </c>
    </row>
    <row r="65" spans="1:229" ht="15.75" thickBot="1" x14ac:dyDescent="0.3">
      <c r="A65" s="29">
        <v>5</v>
      </c>
      <c r="B65" s="474"/>
      <c r="C65" s="23" t="s">
        <v>5</v>
      </c>
      <c r="D65" s="29" t="s">
        <v>19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24">
        <f t="shared" si="123"/>
        <v>0</v>
      </c>
      <c r="N65" s="239"/>
      <c r="O65" s="7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62"/>
      <c r="AR65" s="7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3"/>
      <c r="BU65" s="13"/>
      <c r="BV65" s="13"/>
      <c r="BW65" s="162"/>
      <c r="BX65" s="68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265"/>
      <c r="CO65" s="269"/>
      <c r="CP65" s="269"/>
      <c r="CQ65" s="269"/>
      <c r="CR65" s="269"/>
      <c r="CS65" s="269"/>
      <c r="CT65" s="269"/>
      <c r="CU65" s="269"/>
      <c r="CV65" s="269"/>
      <c r="CW65" s="269"/>
      <c r="CX65" s="269"/>
      <c r="CY65" s="269"/>
      <c r="CZ65" s="265"/>
      <c r="DA65" s="269"/>
      <c r="DB65" s="73"/>
      <c r="DC65" s="13"/>
      <c r="DD65" s="13"/>
      <c r="DE65" s="13"/>
      <c r="DF65" s="13"/>
      <c r="DG65" s="13"/>
      <c r="DH65" s="265"/>
      <c r="DI65" s="265"/>
      <c r="DJ65" s="265"/>
      <c r="DK65" s="265"/>
      <c r="DL65" s="265"/>
      <c r="DM65" s="265"/>
      <c r="DN65" s="265"/>
      <c r="DO65" s="265"/>
      <c r="DP65" s="265"/>
      <c r="DQ65" s="265"/>
      <c r="DR65" s="265"/>
      <c r="DS65" s="265"/>
      <c r="DT65" s="265"/>
      <c r="DU65" s="265"/>
      <c r="DV65" s="265"/>
      <c r="DW65" s="265"/>
      <c r="DX65" s="265"/>
      <c r="DY65" s="265"/>
      <c r="DZ65" s="265"/>
      <c r="EA65" s="265"/>
      <c r="EB65" s="265"/>
      <c r="EC65" s="265"/>
      <c r="ED65" s="265"/>
      <c r="EE65" s="265"/>
      <c r="EF65" s="269"/>
      <c r="EG65" s="278"/>
      <c r="EH65" s="269"/>
      <c r="EI65" s="265"/>
      <c r="EJ65" s="265"/>
      <c r="EK65" s="265"/>
      <c r="EL65" s="265"/>
      <c r="EM65" s="265"/>
      <c r="EN65" s="265"/>
      <c r="EO65" s="265"/>
      <c r="EP65" s="265"/>
      <c r="EQ65" s="265"/>
      <c r="ER65" s="265"/>
      <c r="ES65" s="265"/>
      <c r="ET65" s="265"/>
      <c r="EU65" s="265"/>
      <c r="EV65" s="265"/>
      <c r="EW65" s="265"/>
      <c r="EX65" s="265"/>
      <c r="EY65" s="265"/>
      <c r="EZ65" s="265"/>
      <c r="FA65" s="265"/>
      <c r="FB65" s="265"/>
      <c r="FC65" s="265"/>
      <c r="FD65" s="265"/>
      <c r="FE65" s="265"/>
      <c r="FF65" s="265"/>
      <c r="FG65" s="265"/>
      <c r="FH65" s="265"/>
      <c r="FI65" s="265"/>
      <c r="FJ65" s="269"/>
      <c r="FK65" s="278"/>
      <c r="FL65" s="265"/>
      <c r="FM65" s="265"/>
      <c r="FN65" s="265"/>
      <c r="FO65" s="265"/>
      <c r="FP65" s="265"/>
      <c r="FQ65" s="265"/>
      <c r="FR65" s="265"/>
      <c r="FS65" s="265"/>
      <c r="FT65" s="265"/>
      <c r="FU65" s="265"/>
      <c r="FV65" s="265"/>
      <c r="FW65" s="265"/>
      <c r="FX65" s="265"/>
      <c r="FY65" s="265"/>
      <c r="FZ65" s="265"/>
      <c r="GA65" s="265"/>
      <c r="GB65" s="265"/>
      <c r="GC65" s="265"/>
      <c r="GD65" s="265"/>
      <c r="GE65" s="265"/>
      <c r="GF65" s="265">
        <v>0</v>
      </c>
      <c r="GG65" s="265">
        <v>0</v>
      </c>
      <c r="GH65" s="265">
        <v>0</v>
      </c>
      <c r="GI65" s="265">
        <v>0</v>
      </c>
      <c r="GJ65" s="265">
        <v>0</v>
      </c>
      <c r="GK65" s="265">
        <v>0</v>
      </c>
      <c r="GL65" s="265">
        <v>0</v>
      </c>
      <c r="GM65" s="265">
        <v>0</v>
      </c>
      <c r="GN65" s="265">
        <v>0</v>
      </c>
      <c r="GO65" s="269">
        <v>0</v>
      </c>
      <c r="GP65" s="278">
        <v>0</v>
      </c>
      <c r="GQ65" s="265">
        <v>0</v>
      </c>
      <c r="GR65" s="265">
        <v>0</v>
      </c>
      <c r="GS65" s="265">
        <v>0</v>
      </c>
      <c r="GT65" s="265">
        <v>0</v>
      </c>
      <c r="GU65" s="265">
        <v>0</v>
      </c>
      <c r="GV65" s="265">
        <v>0</v>
      </c>
      <c r="GW65" s="265">
        <v>0</v>
      </c>
      <c r="GX65" s="265">
        <v>0</v>
      </c>
      <c r="GY65" s="265">
        <v>0</v>
      </c>
      <c r="GZ65" s="265">
        <v>0</v>
      </c>
      <c r="HA65" s="265">
        <v>0</v>
      </c>
      <c r="HB65" s="265">
        <v>0</v>
      </c>
      <c r="HC65" s="265">
        <v>0</v>
      </c>
      <c r="HD65" s="265">
        <v>0</v>
      </c>
      <c r="HE65" s="265">
        <v>0</v>
      </c>
      <c r="HF65" s="265">
        <v>0</v>
      </c>
      <c r="HG65" s="265">
        <v>0</v>
      </c>
      <c r="HH65" s="265">
        <v>0</v>
      </c>
      <c r="HI65" s="265"/>
      <c r="HJ65" s="265"/>
      <c r="HK65" s="265"/>
      <c r="HL65" s="265"/>
      <c r="HM65" s="265"/>
      <c r="HN65" s="265"/>
      <c r="HO65" s="265"/>
      <c r="HP65" s="265"/>
      <c r="HQ65" s="265"/>
      <c r="HR65" s="265"/>
      <c r="HS65" s="265"/>
      <c r="HT65" s="368"/>
      <c r="HU65" s="363">
        <f t="shared" si="124"/>
        <v>0</v>
      </c>
    </row>
    <row r="66" spans="1:229" ht="15.75" thickBot="1" x14ac:dyDescent="0.3">
      <c r="A66" s="29">
        <v>6</v>
      </c>
      <c r="B66" s="474"/>
      <c r="C66" s="23" t="s">
        <v>6</v>
      </c>
      <c r="D66" s="29" t="s">
        <v>19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24">
        <f t="shared" si="123"/>
        <v>0</v>
      </c>
      <c r="N66" s="239"/>
      <c r="O66" s="7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62"/>
      <c r="AR66" s="7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3"/>
      <c r="BU66" s="13"/>
      <c r="BV66" s="13"/>
      <c r="BW66" s="162"/>
      <c r="BX66" s="68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265"/>
      <c r="CO66" s="269"/>
      <c r="CP66" s="269"/>
      <c r="CQ66" s="269"/>
      <c r="CR66" s="269"/>
      <c r="CS66" s="269"/>
      <c r="CT66" s="269"/>
      <c r="CU66" s="269"/>
      <c r="CV66" s="269"/>
      <c r="CW66" s="269"/>
      <c r="CX66" s="269"/>
      <c r="CY66" s="269"/>
      <c r="CZ66" s="265"/>
      <c r="DA66" s="269"/>
      <c r="DB66" s="73"/>
      <c r="DC66" s="64"/>
      <c r="DD66" s="272"/>
      <c r="DE66" s="13"/>
      <c r="DF66" s="64"/>
      <c r="DG66" s="265"/>
      <c r="DH66" s="265"/>
      <c r="DI66" s="265"/>
      <c r="DJ66" s="265"/>
      <c r="DK66" s="265"/>
      <c r="DL66" s="265"/>
      <c r="DM66" s="265"/>
      <c r="DN66" s="272"/>
      <c r="DO66" s="265"/>
      <c r="DP66" s="265"/>
      <c r="DQ66" s="265"/>
      <c r="DR66" s="265"/>
      <c r="DS66" s="265"/>
      <c r="DT66" s="265"/>
      <c r="DU66" s="265"/>
      <c r="DV66" s="265"/>
      <c r="DW66" s="265"/>
      <c r="DX66" s="265"/>
      <c r="DY66" s="265"/>
      <c r="DZ66" s="265"/>
      <c r="EA66" s="265"/>
      <c r="EB66" s="265"/>
      <c r="EC66" s="265"/>
      <c r="ED66" s="265"/>
      <c r="EE66" s="265"/>
      <c r="EF66" s="269"/>
      <c r="EG66" s="278"/>
      <c r="EH66" s="269"/>
      <c r="EI66" s="265"/>
      <c r="EJ66" s="265"/>
      <c r="EK66" s="265"/>
      <c r="EL66" s="265"/>
      <c r="EM66" s="265"/>
      <c r="EN66" s="265"/>
      <c r="EO66" s="265"/>
      <c r="EP66" s="265"/>
      <c r="EQ66" s="265"/>
      <c r="ER66" s="265"/>
      <c r="ES66" s="265"/>
      <c r="ET66" s="265"/>
      <c r="EU66" s="265"/>
      <c r="EV66" s="265"/>
      <c r="EW66" s="265"/>
      <c r="EX66" s="265"/>
      <c r="EY66" s="265"/>
      <c r="EZ66" s="265"/>
      <c r="FA66" s="265"/>
      <c r="FB66" s="265"/>
      <c r="FC66" s="265"/>
      <c r="FD66" s="265"/>
      <c r="FE66" s="265"/>
      <c r="FF66" s="265"/>
      <c r="FG66" s="265"/>
      <c r="FH66" s="265"/>
      <c r="FI66" s="265"/>
      <c r="FJ66" s="269"/>
      <c r="FK66" s="278"/>
      <c r="FL66" s="265"/>
      <c r="FM66" s="265"/>
      <c r="FN66" s="265"/>
      <c r="FO66" s="265"/>
      <c r="FP66" s="265"/>
      <c r="FQ66" s="265"/>
      <c r="FR66" s="265"/>
      <c r="FS66" s="265"/>
      <c r="FT66" s="265"/>
      <c r="FU66" s="265"/>
      <c r="FV66" s="272"/>
      <c r="FW66" s="265"/>
      <c r="FX66" s="265"/>
      <c r="FY66" s="265"/>
      <c r="FZ66" s="265"/>
      <c r="GA66" s="265"/>
      <c r="GB66" s="265"/>
      <c r="GC66" s="265"/>
      <c r="GD66" s="265"/>
      <c r="GE66" s="265"/>
      <c r="GF66" s="265">
        <v>0</v>
      </c>
      <c r="GG66" s="265">
        <v>0</v>
      </c>
      <c r="GH66" s="265">
        <v>0</v>
      </c>
      <c r="GI66" s="265">
        <v>0</v>
      </c>
      <c r="GJ66" s="265">
        <v>0</v>
      </c>
      <c r="GK66" s="265">
        <v>0</v>
      </c>
      <c r="GL66" s="265">
        <v>0</v>
      </c>
      <c r="GM66" s="265">
        <v>0</v>
      </c>
      <c r="GN66" s="265">
        <v>0</v>
      </c>
      <c r="GO66" s="269">
        <v>0</v>
      </c>
      <c r="GP66" s="278">
        <v>0</v>
      </c>
      <c r="GQ66" s="265">
        <v>0</v>
      </c>
      <c r="GR66" s="265">
        <v>0</v>
      </c>
      <c r="GS66" s="265">
        <v>0</v>
      </c>
      <c r="GT66" s="265">
        <v>0</v>
      </c>
      <c r="GU66" s="265">
        <v>0</v>
      </c>
      <c r="GV66" s="265">
        <v>0</v>
      </c>
      <c r="GW66" s="265">
        <v>0</v>
      </c>
      <c r="GX66" s="265">
        <v>0</v>
      </c>
      <c r="GY66" s="265">
        <v>0</v>
      </c>
      <c r="GZ66" s="265">
        <v>0</v>
      </c>
      <c r="HA66" s="265">
        <v>0</v>
      </c>
      <c r="HB66" s="265">
        <v>0</v>
      </c>
      <c r="HC66" s="265">
        <v>0</v>
      </c>
      <c r="HD66" s="265">
        <v>0</v>
      </c>
      <c r="HE66" s="265">
        <v>0</v>
      </c>
      <c r="HF66" s="265">
        <v>0</v>
      </c>
      <c r="HG66" s="265">
        <v>0</v>
      </c>
      <c r="HH66" s="265">
        <v>0</v>
      </c>
      <c r="HI66" s="265"/>
      <c r="HJ66" s="265"/>
      <c r="HK66" s="265"/>
      <c r="HL66" s="265"/>
      <c r="HM66" s="265"/>
      <c r="HN66" s="265"/>
      <c r="HO66" s="265"/>
      <c r="HP66" s="265"/>
      <c r="HQ66" s="265"/>
      <c r="HR66" s="265"/>
      <c r="HS66" s="265"/>
      <c r="HT66" s="368"/>
      <c r="HU66" s="363">
        <f t="shared" si="124"/>
        <v>0</v>
      </c>
    </row>
    <row r="67" spans="1:229" ht="15.75" thickBot="1" x14ac:dyDescent="0.3">
      <c r="A67" s="29">
        <v>7</v>
      </c>
      <c r="B67" s="474"/>
      <c r="C67" s="23" t="s">
        <v>7</v>
      </c>
      <c r="D67" s="29" t="s">
        <v>19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24">
        <f t="shared" si="123"/>
        <v>0</v>
      </c>
      <c r="N67" s="239"/>
      <c r="O67" s="7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62"/>
      <c r="AR67" s="7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3"/>
      <c r="BU67" s="13"/>
      <c r="BV67" s="13"/>
      <c r="BW67" s="162"/>
      <c r="BX67" s="68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265"/>
      <c r="CO67" s="269"/>
      <c r="CP67" s="269"/>
      <c r="CQ67" s="269"/>
      <c r="CR67" s="269"/>
      <c r="CS67" s="269"/>
      <c r="CT67" s="269"/>
      <c r="CU67" s="269"/>
      <c r="CV67" s="269"/>
      <c r="CW67" s="269"/>
      <c r="CX67" s="269"/>
      <c r="CY67" s="269"/>
      <c r="CZ67" s="265"/>
      <c r="DA67" s="269"/>
      <c r="DB67" s="73"/>
      <c r="DC67" s="13"/>
      <c r="DD67" s="13"/>
      <c r="DE67" s="13"/>
      <c r="DF67" s="13"/>
      <c r="DG67" s="13"/>
      <c r="DH67" s="265"/>
      <c r="DI67" s="265"/>
      <c r="DJ67" s="265"/>
      <c r="DK67" s="265"/>
      <c r="DL67" s="265"/>
      <c r="DM67" s="265"/>
      <c r="DN67" s="265"/>
      <c r="DO67" s="265"/>
      <c r="DP67" s="265"/>
      <c r="DQ67" s="265"/>
      <c r="DR67" s="265"/>
      <c r="DS67" s="265"/>
      <c r="DT67" s="265"/>
      <c r="DU67" s="265"/>
      <c r="DV67" s="265"/>
      <c r="DW67" s="265"/>
      <c r="DX67" s="265"/>
      <c r="DY67" s="265"/>
      <c r="DZ67" s="265"/>
      <c r="EA67" s="265"/>
      <c r="EB67" s="265"/>
      <c r="EC67" s="265"/>
      <c r="ED67" s="265"/>
      <c r="EE67" s="265"/>
      <c r="EF67" s="269"/>
      <c r="EG67" s="278"/>
      <c r="EH67" s="269"/>
      <c r="EI67" s="265"/>
      <c r="EJ67" s="265"/>
      <c r="EK67" s="265"/>
      <c r="EL67" s="265"/>
      <c r="EM67" s="265"/>
      <c r="EN67" s="265"/>
      <c r="EO67" s="265"/>
      <c r="EP67" s="265"/>
      <c r="EQ67" s="265"/>
      <c r="ER67" s="265"/>
      <c r="ES67" s="265"/>
      <c r="ET67" s="265"/>
      <c r="EU67" s="265"/>
      <c r="EV67" s="265"/>
      <c r="EW67" s="265"/>
      <c r="EX67" s="265"/>
      <c r="EY67" s="265"/>
      <c r="EZ67" s="265"/>
      <c r="FA67" s="265"/>
      <c r="FB67" s="265"/>
      <c r="FC67" s="265"/>
      <c r="FD67" s="265"/>
      <c r="FE67" s="265"/>
      <c r="FF67" s="265"/>
      <c r="FG67" s="265"/>
      <c r="FH67" s="265"/>
      <c r="FI67" s="265"/>
      <c r="FJ67" s="269"/>
      <c r="FK67" s="278"/>
      <c r="FL67" s="265"/>
      <c r="FM67" s="265"/>
      <c r="FN67" s="265"/>
      <c r="FO67" s="265"/>
      <c r="FP67" s="265"/>
      <c r="FQ67" s="265"/>
      <c r="FR67" s="265"/>
      <c r="FS67" s="265"/>
      <c r="FT67" s="265"/>
      <c r="FU67" s="265"/>
      <c r="FV67" s="265"/>
      <c r="FW67" s="265"/>
      <c r="FX67" s="265"/>
      <c r="FY67" s="265"/>
      <c r="FZ67" s="265"/>
      <c r="GA67" s="265"/>
      <c r="GB67" s="265"/>
      <c r="GC67" s="265"/>
      <c r="GD67" s="265"/>
      <c r="GE67" s="265"/>
      <c r="GF67" s="265">
        <v>0</v>
      </c>
      <c r="GG67" s="265">
        <v>0</v>
      </c>
      <c r="GH67" s="265">
        <v>0</v>
      </c>
      <c r="GI67" s="265">
        <v>0</v>
      </c>
      <c r="GJ67" s="265">
        <v>0</v>
      </c>
      <c r="GK67" s="265">
        <v>0</v>
      </c>
      <c r="GL67" s="265">
        <v>0</v>
      </c>
      <c r="GM67" s="265">
        <v>0</v>
      </c>
      <c r="GN67" s="265">
        <v>0</v>
      </c>
      <c r="GO67" s="269">
        <v>0</v>
      </c>
      <c r="GP67" s="278">
        <v>0</v>
      </c>
      <c r="GQ67" s="265">
        <v>0</v>
      </c>
      <c r="GR67" s="265">
        <v>0</v>
      </c>
      <c r="GS67" s="265">
        <v>0</v>
      </c>
      <c r="GT67" s="265">
        <v>0</v>
      </c>
      <c r="GU67" s="265">
        <v>0</v>
      </c>
      <c r="GV67" s="265">
        <v>0</v>
      </c>
      <c r="GW67" s="265">
        <v>0</v>
      </c>
      <c r="GX67" s="265">
        <v>0</v>
      </c>
      <c r="GY67" s="265">
        <v>0</v>
      </c>
      <c r="GZ67" s="265">
        <v>0</v>
      </c>
      <c r="HA67" s="265">
        <v>0</v>
      </c>
      <c r="HB67" s="265">
        <v>0</v>
      </c>
      <c r="HC67" s="265">
        <v>0</v>
      </c>
      <c r="HD67" s="265">
        <v>0</v>
      </c>
      <c r="HE67" s="265">
        <v>0</v>
      </c>
      <c r="HF67" s="265">
        <v>0</v>
      </c>
      <c r="HG67" s="265">
        <v>0</v>
      </c>
      <c r="HH67" s="265">
        <v>0</v>
      </c>
      <c r="HI67" s="265"/>
      <c r="HJ67" s="265"/>
      <c r="HK67" s="265"/>
      <c r="HL67" s="265"/>
      <c r="HM67" s="265"/>
      <c r="HN67" s="265"/>
      <c r="HO67" s="265"/>
      <c r="HP67" s="265"/>
      <c r="HQ67" s="265"/>
      <c r="HR67" s="265"/>
      <c r="HS67" s="265"/>
      <c r="HT67" s="368"/>
      <c r="HU67" s="363">
        <f t="shared" si="124"/>
        <v>0</v>
      </c>
    </row>
    <row r="68" spans="1:229" ht="15.75" thickBot="1" x14ac:dyDescent="0.3">
      <c r="A68" s="29">
        <v>8</v>
      </c>
      <c r="B68" s="474"/>
      <c r="C68" s="23" t="s">
        <v>8</v>
      </c>
      <c r="D68" s="29" t="s">
        <v>19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24">
        <f t="shared" si="123"/>
        <v>0</v>
      </c>
      <c r="N68" s="239"/>
      <c r="O68" s="7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62"/>
      <c r="AR68" s="7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3"/>
      <c r="BU68" s="13"/>
      <c r="BV68" s="13"/>
      <c r="BW68" s="162"/>
      <c r="BX68" s="68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265"/>
      <c r="CO68" s="269"/>
      <c r="CP68" s="269"/>
      <c r="CQ68" s="269"/>
      <c r="CR68" s="269"/>
      <c r="CS68" s="269"/>
      <c r="CT68" s="269"/>
      <c r="CU68" s="269"/>
      <c r="CV68" s="269"/>
      <c r="CW68" s="269"/>
      <c r="CX68" s="269"/>
      <c r="CY68" s="269"/>
      <c r="CZ68" s="265"/>
      <c r="DA68" s="269"/>
      <c r="DB68" s="73"/>
      <c r="DC68" s="13"/>
      <c r="DD68" s="13"/>
      <c r="DE68" s="13"/>
      <c r="DF68" s="13"/>
      <c r="DG68" s="13"/>
      <c r="DH68" s="265"/>
      <c r="DI68" s="265"/>
      <c r="DJ68" s="265"/>
      <c r="DK68" s="265"/>
      <c r="DL68" s="265"/>
      <c r="DM68" s="265"/>
      <c r="DN68" s="265"/>
      <c r="DO68" s="265"/>
      <c r="DP68" s="265"/>
      <c r="DQ68" s="265"/>
      <c r="DR68" s="265"/>
      <c r="DS68" s="265"/>
      <c r="DT68" s="265"/>
      <c r="DU68" s="265"/>
      <c r="DV68" s="265"/>
      <c r="DW68" s="265"/>
      <c r="DX68" s="265"/>
      <c r="DY68" s="265"/>
      <c r="DZ68" s="265"/>
      <c r="EA68" s="265"/>
      <c r="EB68" s="265"/>
      <c r="EC68" s="265"/>
      <c r="ED68" s="265"/>
      <c r="EE68" s="265"/>
      <c r="EF68" s="269"/>
      <c r="EG68" s="278"/>
      <c r="EH68" s="269"/>
      <c r="EI68" s="265"/>
      <c r="EJ68" s="265"/>
      <c r="EK68" s="265"/>
      <c r="EL68" s="265"/>
      <c r="EM68" s="265"/>
      <c r="EN68" s="265"/>
      <c r="EO68" s="265"/>
      <c r="EP68" s="265"/>
      <c r="EQ68" s="265"/>
      <c r="ER68" s="265"/>
      <c r="ES68" s="265"/>
      <c r="ET68" s="265"/>
      <c r="EU68" s="265"/>
      <c r="EV68" s="265"/>
      <c r="EW68" s="265"/>
      <c r="EX68" s="265"/>
      <c r="EY68" s="265"/>
      <c r="EZ68" s="265"/>
      <c r="FA68" s="265"/>
      <c r="FB68" s="265"/>
      <c r="FC68" s="265"/>
      <c r="FD68" s="265"/>
      <c r="FE68" s="265"/>
      <c r="FF68" s="265"/>
      <c r="FG68" s="265"/>
      <c r="FH68" s="265"/>
      <c r="FI68" s="265"/>
      <c r="FJ68" s="269"/>
      <c r="FK68" s="278"/>
      <c r="FL68" s="265"/>
      <c r="FM68" s="265"/>
      <c r="FN68" s="265"/>
      <c r="FO68" s="265"/>
      <c r="FP68" s="265"/>
      <c r="FQ68" s="265"/>
      <c r="FR68" s="265"/>
      <c r="FS68" s="265"/>
      <c r="FT68" s="265"/>
      <c r="FU68" s="265"/>
      <c r="FV68" s="265"/>
      <c r="FW68" s="265"/>
      <c r="FX68" s="265"/>
      <c r="FY68" s="265"/>
      <c r="FZ68" s="265"/>
      <c r="GA68" s="265"/>
      <c r="GB68" s="265"/>
      <c r="GC68" s="265"/>
      <c r="GD68" s="265"/>
      <c r="GE68" s="265"/>
      <c r="GF68" s="265">
        <v>0</v>
      </c>
      <c r="GG68" s="265">
        <v>0</v>
      </c>
      <c r="GH68" s="265">
        <v>0</v>
      </c>
      <c r="GI68" s="265">
        <v>0</v>
      </c>
      <c r="GJ68" s="265">
        <v>0</v>
      </c>
      <c r="GK68" s="265">
        <v>0</v>
      </c>
      <c r="GL68" s="265">
        <v>0</v>
      </c>
      <c r="GM68" s="265">
        <v>0</v>
      </c>
      <c r="GN68" s="265">
        <v>0</v>
      </c>
      <c r="GO68" s="269">
        <v>0</v>
      </c>
      <c r="GP68" s="278">
        <v>0</v>
      </c>
      <c r="GQ68" s="265">
        <v>0</v>
      </c>
      <c r="GR68" s="265">
        <v>0</v>
      </c>
      <c r="GS68" s="265">
        <v>0</v>
      </c>
      <c r="GT68" s="265">
        <v>0</v>
      </c>
      <c r="GU68" s="265">
        <v>0</v>
      </c>
      <c r="GV68" s="265">
        <v>0</v>
      </c>
      <c r="GW68" s="265">
        <v>0</v>
      </c>
      <c r="GX68" s="265">
        <v>0</v>
      </c>
      <c r="GY68" s="265">
        <v>0</v>
      </c>
      <c r="GZ68" s="265">
        <v>0</v>
      </c>
      <c r="HA68" s="265">
        <v>0</v>
      </c>
      <c r="HB68" s="265">
        <v>0</v>
      </c>
      <c r="HC68" s="265">
        <v>0</v>
      </c>
      <c r="HD68" s="265">
        <v>0</v>
      </c>
      <c r="HE68" s="265">
        <v>0</v>
      </c>
      <c r="HF68" s="265">
        <v>0</v>
      </c>
      <c r="HG68" s="265">
        <v>0</v>
      </c>
      <c r="HH68" s="265">
        <v>0</v>
      </c>
      <c r="HI68" s="265"/>
      <c r="HJ68" s="265"/>
      <c r="HK68" s="265"/>
      <c r="HL68" s="265"/>
      <c r="HM68" s="265"/>
      <c r="HN68" s="265"/>
      <c r="HO68" s="265"/>
      <c r="HP68" s="265"/>
      <c r="HQ68" s="265"/>
      <c r="HR68" s="265"/>
      <c r="HS68" s="265"/>
      <c r="HT68" s="368"/>
      <c r="HU68" s="363">
        <f t="shared" si="124"/>
        <v>0</v>
      </c>
    </row>
    <row r="69" spans="1:229" ht="15.75" thickBot="1" x14ac:dyDescent="0.3">
      <c r="A69" s="29">
        <v>9</v>
      </c>
      <c r="B69" s="474"/>
      <c r="C69" s="23" t="s">
        <v>9</v>
      </c>
      <c r="D69" s="29" t="s">
        <v>19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24">
        <f t="shared" si="123"/>
        <v>0</v>
      </c>
      <c r="N69" s="239"/>
      <c r="O69" s="7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62"/>
      <c r="AR69" s="7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3"/>
      <c r="BU69" s="13"/>
      <c r="BV69" s="13"/>
      <c r="BW69" s="162"/>
      <c r="BX69" s="68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265"/>
      <c r="CO69" s="269"/>
      <c r="CP69" s="269"/>
      <c r="CQ69" s="269"/>
      <c r="CR69" s="269"/>
      <c r="CS69" s="269"/>
      <c r="CT69" s="269"/>
      <c r="CU69" s="269"/>
      <c r="CV69" s="269"/>
      <c r="CW69" s="269"/>
      <c r="CX69" s="269"/>
      <c r="CY69" s="269"/>
      <c r="CZ69" s="265"/>
      <c r="DA69" s="269"/>
      <c r="DB69" s="73"/>
      <c r="DC69" s="13"/>
      <c r="DD69" s="13"/>
      <c r="DE69" s="13"/>
      <c r="DF69" s="13"/>
      <c r="DG69" s="13"/>
      <c r="DH69" s="265"/>
      <c r="DI69" s="265"/>
      <c r="DJ69" s="265"/>
      <c r="DK69" s="265"/>
      <c r="DL69" s="265"/>
      <c r="DM69" s="265"/>
      <c r="DN69" s="265"/>
      <c r="DO69" s="265"/>
      <c r="DP69" s="265"/>
      <c r="DQ69" s="265"/>
      <c r="DR69" s="265"/>
      <c r="DS69" s="265"/>
      <c r="DT69" s="265"/>
      <c r="DU69" s="265"/>
      <c r="DV69" s="265"/>
      <c r="DW69" s="265"/>
      <c r="DX69" s="265"/>
      <c r="DY69" s="265"/>
      <c r="DZ69" s="265"/>
      <c r="EA69" s="265"/>
      <c r="EB69" s="265"/>
      <c r="EC69" s="265"/>
      <c r="ED69" s="265"/>
      <c r="EE69" s="265"/>
      <c r="EF69" s="269"/>
      <c r="EG69" s="278"/>
      <c r="EH69" s="269"/>
      <c r="EI69" s="265"/>
      <c r="EJ69" s="265"/>
      <c r="EK69" s="265"/>
      <c r="EL69" s="265"/>
      <c r="EM69" s="265"/>
      <c r="EN69" s="265"/>
      <c r="EO69" s="265"/>
      <c r="EP69" s="265"/>
      <c r="EQ69" s="265"/>
      <c r="ER69" s="265"/>
      <c r="ES69" s="265"/>
      <c r="ET69" s="265"/>
      <c r="EU69" s="265"/>
      <c r="EV69" s="265"/>
      <c r="EW69" s="265"/>
      <c r="EX69" s="265"/>
      <c r="EY69" s="265"/>
      <c r="EZ69" s="265"/>
      <c r="FA69" s="265"/>
      <c r="FB69" s="265"/>
      <c r="FC69" s="265"/>
      <c r="FD69" s="265"/>
      <c r="FE69" s="265"/>
      <c r="FF69" s="265"/>
      <c r="FG69" s="265"/>
      <c r="FH69" s="265"/>
      <c r="FI69" s="265"/>
      <c r="FJ69" s="269"/>
      <c r="FK69" s="278"/>
      <c r="FL69" s="265"/>
      <c r="FM69" s="265"/>
      <c r="FN69" s="265"/>
      <c r="FO69" s="265"/>
      <c r="FP69" s="265"/>
      <c r="FQ69" s="265"/>
      <c r="FR69" s="265"/>
      <c r="FS69" s="265"/>
      <c r="FT69" s="265"/>
      <c r="FU69" s="265"/>
      <c r="FV69" s="265"/>
      <c r="FW69" s="265"/>
      <c r="FX69" s="265"/>
      <c r="FY69" s="265"/>
      <c r="FZ69" s="265"/>
      <c r="GA69" s="265"/>
      <c r="GB69" s="265"/>
      <c r="GC69" s="265"/>
      <c r="GD69" s="265"/>
      <c r="GE69" s="265"/>
      <c r="GF69" s="265">
        <v>0</v>
      </c>
      <c r="GG69" s="265">
        <v>0</v>
      </c>
      <c r="GH69" s="265">
        <v>0</v>
      </c>
      <c r="GI69" s="265">
        <v>0</v>
      </c>
      <c r="GJ69" s="265">
        <v>0</v>
      </c>
      <c r="GK69" s="265">
        <v>0</v>
      </c>
      <c r="GL69" s="265">
        <v>0</v>
      </c>
      <c r="GM69" s="265">
        <v>0</v>
      </c>
      <c r="GN69" s="265">
        <v>0</v>
      </c>
      <c r="GO69" s="269">
        <v>0</v>
      </c>
      <c r="GP69" s="278">
        <v>0</v>
      </c>
      <c r="GQ69" s="265">
        <v>0</v>
      </c>
      <c r="GR69" s="265">
        <v>0</v>
      </c>
      <c r="GS69" s="265">
        <v>0</v>
      </c>
      <c r="GT69" s="265">
        <v>0</v>
      </c>
      <c r="GU69" s="265">
        <v>0</v>
      </c>
      <c r="GV69" s="265">
        <v>0</v>
      </c>
      <c r="GW69" s="265">
        <v>0</v>
      </c>
      <c r="GX69" s="265">
        <v>0</v>
      </c>
      <c r="GY69" s="265">
        <v>0</v>
      </c>
      <c r="GZ69" s="265">
        <v>0</v>
      </c>
      <c r="HA69" s="265">
        <v>0</v>
      </c>
      <c r="HB69" s="265">
        <v>0</v>
      </c>
      <c r="HC69" s="265">
        <v>0</v>
      </c>
      <c r="HD69" s="265">
        <v>0</v>
      </c>
      <c r="HE69" s="265">
        <v>0</v>
      </c>
      <c r="HF69" s="265">
        <v>0</v>
      </c>
      <c r="HG69" s="265">
        <v>0</v>
      </c>
      <c r="HH69" s="265">
        <v>0</v>
      </c>
      <c r="HI69" s="265"/>
      <c r="HJ69" s="265"/>
      <c r="HK69" s="265"/>
      <c r="HL69" s="265"/>
      <c r="HM69" s="265"/>
      <c r="HN69" s="265"/>
      <c r="HO69" s="265"/>
      <c r="HP69" s="265"/>
      <c r="HQ69" s="265"/>
      <c r="HR69" s="265"/>
      <c r="HS69" s="265"/>
      <c r="HT69" s="368"/>
      <c r="HU69" s="363">
        <f t="shared" si="124"/>
        <v>0</v>
      </c>
    </row>
    <row r="70" spans="1:229" ht="15.75" thickBot="1" x14ac:dyDescent="0.3">
      <c r="A70" s="29">
        <v>10</v>
      </c>
      <c r="B70" s="474"/>
      <c r="C70" s="23" t="s">
        <v>10</v>
      </c>
      <c r="D70" s="29" t="s">
        <v>19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24">
        <f t="shared" si="123"/>
        <v>0</v>
      </c>
      <c r="N70" s="239"/>
      <c r="O70" s="7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62"/>
      <c r="AR70" s="7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3"/>
      <c r="BU70" s="13"/>
      <c r="BV70" s="13"/>
      <c r="BW70" s="162"/>
      <c r="BX70" s="68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265"/>
      <c r="CO70" s="269"/>
      <c r="CP70" s="269"/>
      <c r="CQ70" s="269"/>
      <c r="CR70" s="269"/>
      <c r="CS70" s="269"/>
      <c r="CT70" s="269"/>
      <c r="CU70" s="269"/>
      <c r="CV70" s="269"/>
      <c r="CW70" s="269"/>
      <c r="CX70" s="269"/>
      <c r="CY70" s="269"/>
      <c r="CZ70" s="265"/>
      <c r="DA70" s="269"/>
      <c r="DB70" s="73"/>
      <c r="DC70" s="13"/>
      <c r="DD70" s="13"/>
      <c r="DE70" s="13"/>
      <c r="DF70" s="13"/>
      <c r="DG70" s="13"/>
      <c r="DH70" s="265"/>
      <c r="DI70" s="265"/>
      <c r="DJ70" s="265"/>
      <c r="DK70" s="265"/>
      <c r="DL70" s="265"/>
      <c r="DM70" s="265"/>
      <c r="DN70" s="265"/>
      <c r="DO70" s="265"/>
      <c r="DP70" s="265"/>
      <c r="DQ70" s="265"/>
      <c r="DR70" s="265"/>
      <c r="DS70" s="265"/>
      <c r="DT70" s="265"/>
      <c r="DU70" s="265"/>
      <c r="DV70" s="265"/>
      <c r="DW70" s="265"/>
      <c r="DX70" s="265"/>
      <c r="DY70" s="265"/>
      <c r="DZ70" s="265"/>
      <c r="EA70" s="265"/>
      <c r="EB70" s="265"/>
      <c r="EC70" s="265"/>
      <c r="ED70" s="265"/>
      <c r="EE70" s="265"/>
      <c r="EF70" s="269"/>
      <c r="EG70" s="278"/>
      <c r="EH70" s="269"/>
      <c r="EI70" s="265"/>
      <c r="EJ70" s="265"/>
      <c r="EK70" s="265"/>
      <c r="EL70" s="265"/>
      <c r="EM70" s="265"/>
      <c r="EN70" s="265"/>
      <c r="EO70" s="265"/>
      <c r="EP70" s="265"/>
      <c r="EQ70" s="265"/>
      <c r="ER70" s="265"/>
      <c r="ES70" s="265"/>
      <c r="ET70" s="265"/>
      <c r="EU70" s="265"/>
      <c r="EV70" s="265"/>
      <c r="EW70" s="265"/>
      <c r="EX70" s="265"/>
      <c r="EY70" s="265"/>
      <c r="EZ70" s="265"/>
      <c r="FA70" s="265"/>
      <c r="FB70" s="265"/>
      <c r="FC70" s="265"/>
      <c r="FD70" s="265"/>
      <c r="FE70" s="265"/>
      <c r="FF70" s="265"/>
      <c r="FG70" s="265"/>
      <c r="FH70" s="265"/>
      <c r="FI70" s="265"/>
      <c r="FJ70" s="269"/>
      <c r="FK70" s="278"/>
      <c r="FL70" s="265"/>
      <c r="FM70" s="265"/>
      <c r="FN70" s="265"/>
      <c r="FO70" s="265"/>
      <c r="FP70" s="265"/>
      <c r="FQ70" s="265"/>
      <c r="FR70" s="265"/>
      <c r="FS70" s="265"/>
      <c r="FT70" s="265"/>
      <c r="FU70" s="265"/>
      <c r="FV70" s="265"/>
      <c r="FW70" s="265"/>
      <c r="FX70" s="265"/>
      <c r="FY70" s="265"/>
      <c r="FZ70" s="265"/>
      <c r="GA70" s="265"/>
      <c r="GB70" s="265"/>
      <c r="GC70" s="265"/>
      <c r="GD70" s="265"/>
      <c r="GE70" s="265"/>
      <c r="GF70" s="265">
        <v>0</v>
      </c>
      <c r="GG70" s="265">
        <v>0</v>
      </c>
      <c r="GH70" s="265">
        <v>0</v>
      </c>
      <c r="GI70" s="265">
        <v>0</v>
      </c>
      <c r="GJ70" s="265">
        <v>0</v>
      </c>
      <c r="GK70" s="265">
        <v>0</v>
      </c>
      <c r="GL70" s="265">
        <v>0</v>
      </c>
      <c r="GM70" s="265">
        <v>0</v>
      </c>
      <c r="GN70" s="265">
        <v>0</v>
      </c>
      <c r="GO70" s="269">
        <v>0</v>
      </c>
      <c r="GP70" s="278">
        <v>0</v>
      </c>
      <c r="GQ70" s="265">
        <v>0</v>
      </c>
      <c r="GR70" s="265">
        <v>0</v>
      </c>
      <c r="GS70" s="265">
        <v>0</v>
      </c>
      <c r="GT70" s="265">
        <v>0</v>
      </c>
      <c r="GU70" s="265">
        <v>0</v>
      </c>
      <c r="GV70" s="265">
        <v>0</v>
      </c>
      <c r="GW70" s="265">
        <v>0</v>
      </c>
      <c r="GX70" s="265">
        <v>0</v>
      </c>
      <c r="GY70" s="265">
        <v>0</v>
      </c>
      <c r="GZ70" s="265">
        <v>0</v>
      </c>
      <c r="HA70" s="265">
        <v>0</v>
      </c>
      <c r="HB70" s="265">
        <v>0</v>
      </c>
      <c r="HC70" s="265">
        <v>0</v>
      </c>
      <c r="HD70" s="265">
        <v>0</v>
      </c>
      <c r="HE70" s="265">
        <v>0</v>
      </c>
      <c r="HF70" s="265">
        <v>0</v>
      </c>
      <c r="HG70" s="265">
        <v>0</v>
      </c>
      <c r="HH70" s="265">
        <v>0</v>
      </c>
      <c r="HI70" s="265"/>
      <c r="HJ70" s="265"/>
      <c r="HK70" s="265"/>
      <c r="HL70" s="265"/>
      <c r="HM70" s="265"/>
      <c r="HN70" s="265"/>
      <c r="HO70" s="265"/>
      <c r="HP70" s="265"/>
      <c r="HQ70" s="265"/>
      <c r="HR70" s="265"/>
      <c r="HS70" s="265"/>
      <c r="HT70" s="368"/>
      <c r="HU70" s="363">
        <f t="shared" si="124"/>
        <v>0</v>
      </c>
    </row>
    <row r="71" spans="1:229" ht="15.75" thickBot="1" x14ac:dyDescent="0.3">
      <c r="A71" s="29">
        <v>11</v>
      </c>
      <c r="B71" s="475"/>
      <c r="C71" s="23" t="s">
        <v>11</v>
      </c>
      <c r="D71" s="29" t="s">
        <v>19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24">
        <f t="shared" si="123"/>
        <v>0</v>
      </c>
      <c r="N71" s="239"/>
      <c r="O71" s="7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62"/>
      <c r="AR71" s="7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3"/>
      <c r="BU71" s="13"/>
      <c r="BV71" s="13"/>
      <c r="BW71" s="162"/>
      <c r="BX71" s="68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265"/>
      <c r="CO71" s="269"/>
      <c r="CP71" s="269"/>
      <c r="CQ71" s="269"/>
      <c r="CR71" s="269"/>
      <c r="CS71" s="269"/>
      <c r="CT71" s="269"/>
      <c r="CU71" s="269"/>
      <c r="CV71" s="269"/>
      <c r="CW71" s="269"/>
      <c r="CX71" s="269"/>
      <c r="CY71" s="269"/>
      <c r="CZ71" s="265"/>
      <c r="DA71" s="269"/>
      <c r="DB71" s="73"/>
      <c r="DC71" s="13"/>
      <c r="DD71" s="13"/>
      <c r="DE71" s="13"/>
      <c r="DF71" s="13"/>
      <c r="DG71" s="13"/>
      <c r="DH71" s="265"/>
      <c r="DI71" s="265"/>
      <c r="DJ71" s="265"/>
      <c r="DK71" s="265"/>
      <c r="DL71" s="265"/>
      <c r="DM71" s="265"/>
      <c r="DN71" s="265"/>
      <c r="DO71" s="265"/>
      <c r="DP71" s="265"/>
      <c r="DQ71" s="265"/>
      <c r="DR71" s="265"/>
      <c r="DS71" s="265"/>
      <c r="DT71" s="265"/>
      <c r="DU71" s="265"/>
      <c r="DV71" s="265"/>
      <c r="DW71" s="265"/>
      <c r="DX71" s="265"/>
      <c r="DY71" s="265"/>
      <c r="DZ71" s="265"/>
      <c r="EA71" s="265"/>
      <c r="EB71" s="265"/>
      <c r="EC71" s="265"/>
      <c r="ED71" s="265"/>
      <c r="EE71" s="265"/>
      <c r="EF71" s="269"/>
      <c r="EG71" s="278"/>
      <c r="EH71" s="269"/>
      <c r="EI71" s="265"/>
      <c r="EJ71" s="265"/>
      <c r="EK71" s="265"/>
      <c r="EL71" s="265"/>
      <c r="EM71" s="265"/>
      <c r="EN71" s="265"/>
      <c r="EO71" s="265"/>
      <c r="EP71" s="265"/>
      <c r="EQ71" s="265"/>
      <c r="ER71" s="265"/>
      <c r="ES71" s="265"/>
      <c r="ET71" s="265"/>
      <c r="EU71" s="265"/>
      <c r="EV71" s="265"/>
      <c r="EW71" s="265"/>
      <c r="EX71" s="265"/>
      <c r="EY71" s="265"/>
      <c r="EZ71" s="265"/>
      <c r="FA71" s="265"/>
      <c r="FB71" s="265"/>
      <c r="FC71" s="265"/>
      <c r="FD71" s="265"/>
      <c r="FE71" s="265"/>
      <c r="FF71" s="265"/>
      <c r="FG71" s="265"/>
      <c r="FH71" s="265"/>
      <c r="FI71" s="265"/>
      <c r="FJ71" s="269"/>
      <c r="FK71" s="278"/>
      <c r="FL71" s="265"/>
      <c r="FM71" s="265"/>
      <c r="FN71" s="265"/>
      <c r="FO71" s="265"/>
      <c r="FP71" s="265"/>
      <c r="FQ71" s="265"/>
      <c r="FR71" s="265"/>
      <c r="FS71" s="265"/>
      <c r="FT71" s="265"/>
      <c r="FU71" s="265"/>
      <c r="FV71" s="265"/>
      <c r="FW71" s="265"/>
      <c r="FX71" s="265"/>
      <c r="FY71" s="265"/>
      <c r="FZ71" s="265"/>
      <c r="GA71" s="265"/>
      <c r="GB71" s="265"/>
      <c r="GC71" s="265"/>
      <c r="GD71" s="265"/>
      <c r="GE71" s="265"/>
      <c r="GF71" s="265">
        <v>0</v>
      </c>
      <c r="GG71" s="265">
        <v>0</v>
      </c>
      <c r="GH71" s="265">
        <v>0</v>
      </c>
      <c r="GI71" s="265">
        <v>0</v>
      </c>
      <c r="GJ71" s="265">
        <v>0</v>
      </c>
      <c r="GK71" s="265">
        <v>0</v>
      </c>
      <c r="GL71" s="265">
        <v>0</v>
      </c>
      <c r="GM71" s="265">
        <v>0</v>
      </c>
      <c r="GN71" s="265">
        <v>0</v>
      </c>
      <c r="GO71" s="269">
        <v>0</v>
      </c>
      <c r="GP71" s="278">
        <v>0</v>
      </c>
      <c r="GQ71" s="265">
        <v>0</v>
      </c>
      <c r="GR71" s="265">
        <v>0</v>
      </c>
      <c r="GS71" s="265">
        <v>0</v>
      </c>
      <c r="GT71" s="265">
        <v>0</v>
      </c>
      <c r="GU71" s="265">
        <v>0</v>
      </c>
      <c r="GV71" s="265">
        <v>0</v>
      </c>
      <c r="GW71" s="265">
        <v>0</v>
      </c>
      <c r="GX71" s="265">
        <v>0</v>
      </c>
      <c r="GY71" s="265">
        <v>0</v>
      </c>
      <c r="GZ71" s="265">
        <v>0</v>
      </c>
      <c r="HA71" s="265">
        <v>0</v>
      </c>
      <c r="HB71" s="265">
        <v>0</v>
      </c>
      <c r="HC71" s="265">
        <v>0</v>
      </c>
      <c r="HD71" s="265">
        <v>0</v>
      </c>
      <c r="HE71" s="265">
        <v>0</v>
      </c>
      <c r="HF71" s="265">
        <v>0</v>
      </c>
      <c r="HG71" s="265">
        <v>0</v>
      </c>
      <c r="HH71" s="265">
        <v>0</v>
      </c>
      <c r="HI71" s="265"/>
      <c r="HJ71" s="265"/>
      <c r="HK71" s="265"/>
      <c r="HL71" s="265"/>
      <c r="HM71" s="265"/>
      <c r="HN71" s="265"/>
      <c r="HO71" s="265"/>
      <c r="HP71" s="265"/>
      <c r="HQ71" s="265"/>
      <c r="HR71" s="265"/>
      <c r="HS71" s="265"/>
      <c r="HT71" s="368"/>
      <c r="HU71" s="363">
        <f>SUM(O71:HT71)</f>
        <v>0</v>
      </c>
    </row>
    <row r="72" spans="1:229" ht="16.5" thickBot="1" x14ac:dyDescent="0.3">
      <c r="A72" s="409"/>
      <c r="B72" s="258"/>
      <c r="C72" s="24" t="s">
        <v>12</v>
      </c>
      <c r="D72" s="79" t="s">
        <v>19</v>
      </c>
      <c r="E72" s="20">
        <f>SUM(E61:E71)</f>
        <v>0</v>
      </c>
      <c r="F72" s="20">
        <f>SUM(F61:F71)</f>
        <v>0</v>
      </c>
      <c r="G72" s="20">
        <f t="shared" ref="G72:L72" si="125">SUM(G61:G71)</f>
        <v>0</v>
      </c>
      <c r="H72" s="20">
        <f t="shared" si="125"/>
        <v>0</v>
      </c>
      <c r="I72" s="20">
        <f t="shared" si="125"/>
        <v>0</v>
      </c>
      <c r="J72" s="20">
        <f t="shared" si="125"/>
        <v>0</v>
      </c>
      <c r="K72" s="20">
        <f t="shared" si="125"/>
        <v>0</v>
      </c>
      <c r="L72" s="20">
        <f t="shared" si="125"/>
        <v>0</v>
      </c>
      <c r="M72" s="125">
        <f>SUM(M61:M71)</f>
        <v>0</v>
      </c>
      <c r="N72" s="192"/>
      <c r="O72" s="83">
        <f t="shared" ref="O72:AP72" si="126">SUM(O61:O71)</f>
        <v>0</v>
      </c>
      <c r="P72" s="20">
        <f t="shared" si="126"/>
        <v>0</v>
      </c>
      <c r="Q72" s="20">
        <f t="shared" si="126"/>
        <v>0</v>
      </c>
      <c r="R72" s="20">
        <f t="shared" si="126"/>
        <v>0</v>
      </c>
      <c r="S72" s="20">
        <f t="shared" si="126"/>
        <v>0</v>
      </c>
      <c r="T72" s="20">
        <f t="shared" si="126"/>
        <v>0</v>
      </c>
      <c r="U72" s="20">
        <f t="shared" si="126"/>
        <v>0</v>
      </c>
      <c r="V72" s="20">
        <f t="shared" si="126"/>
        <v>0</v>
      </c>
      <c r="W72" s="20">
        <f t="shared" si="126"/>
        <v>0</v>
      </c>
      <c r="X72" s="20">
        <f t="shared" si="126"/>
        <v>0</v>
      </c>
      <c r="Y72" s="20">
        <f t="shared" si="126"/>
        <v>0</v>
      </c>
      <c r="Z72" s="20">
        <f t="shared" si="126"/>
        <v>0</v>
      </c>
      <c r="AA72" s="20">
        <f t="shared" si="126"/>
        <v>0</v>
      </c>
      <c r="AB72" s="20">
        <f t="shared" si="126"/>
        <v>0</v>
      </c>
      <c r="AC72" s="20">
        <f t="shared" si="126"/>
        <v>0</v>
      </c>
      <c r="AD72" s="20">
        <f t="shared" si="126"/>
        <v>0</v>
      </c>
      <c r="AE72" s="20">
        <f t="shared" si="126"/>
        <v>0</v>
      </c>
      <c r="AF72" s="20">
        <f t="shared" si="126"/>
        <v>0</v>
      </c>
      <c r="AG72" s="20">
        <f t="shared" si="126"/>
        <v>0</v>
      </c>
      <c r="AH72" s="20">
        <f t="shared" si="126"/>
        <v>0</v>
      </c>
      <c r="AI72" s="20">
        <f t="shared" si="126"/>
        <v>0</v>
      </c>
      <c r="AJ72" s="20">
        <f t="shared" si="126"/>
        <v>0</v>
      </c>
      <c r="AK72" s="20">
        <f t="shared" si="126"/>
        <v>0</v>
      </c>
      <c r="AL72" s="20">
        <f t="shared" si="126"/>
        <v>0</v>
      </c>
      <c r="AM72" s="20">
        <f t="shared" si="126"/>
        <v>0</v>
      </c>
      <c r="AN72" s="20">
        <f t="shared" si="126"/>
        <v>0</v>
      </c>
      <c r="AO72" s="20">
        <f t="shared" si="126"/>
        <v>0</v>
      </c>
      <c r="AP72" s="20">
        <f t="shared" si="126"/>
        <v>0</v>
      </c>
      <c r="AQ72" s="177"/>
      <c r="AR72" s="83">
        <f t="shared" ref="AR72:BB72" si="127">SUM(AR61:AR71)</f>
        <v>0</v>
      </c>
      <c r="AS72" s="20">
        <f t="shared" si="127"/>
        <v>0</v>
      </c>
      <c r="AT72" s="20">
        <f t="shared" si="127"/>
        <v>0</v>
      </c>
      <c r="AU72" s="20">
        <f t="shared" si="127"/>
        <v>0</v>
      </c>
      <c r="AV72" s="20">
        <f t="shared" si="127"/>
        <v>0</v>
      </c>
      <c r="AW72" s="20">
        <f t="shared" si="127"/>
        <v>0</v>
      </c>
      <c r="AX72" s="20">
        <f t="shared" si="127"/>
        <v>0</v>
      </c>
      <c r="AY72" s="20">
        <f t="shared" si="127"/>
        <v>0</v>
      </c>
      <c r="AZ72" s="20">
        <f t="shared" si="127"/>
        <v>0</v>
      </c>
      <c r="BA72" s="20">
        <f t="shared" si="127"/>
        <v>0</v>
      </c>
      <c r="BB72" s="20">
        <f t="shared" si="127"/>
        <v>0</v>
      </c>
      <c r="BC72" s="20">
        <f>SUM(BC61:BC71)</f>
        <v>0</v>
      </c>
      <c r="BD72" s="20">
        <f>SUM(BD61:BD71)</f>
        <v>0</v>
      </c>
      <c r="BE72" s="20">
        <f>SUM(BE61:BE71)</f>
        <v>0</v>
      </c>
      <c r="BF72" s="20">
        <f>SUM(BF61:BF71)</f>
        <v>0</v>
      </c>
      <c r="BG72" s="20">
        <f t="shared" ref="BG72:BV72" si="128">SUM(BG61:BG71)</f>
        <v>0</v>
      </c>
      <c r="BH72" s="20">
        <f t="shared" si="128"/>
        <v>0</v>
      </c>
      <c r="BI72" s="20">
        <f t="shared" si="128"/>
        <v>0</v>
      </c>
      <c r="BJ72" s="20">
        <f t="shared" si="128"/>
        <v>0</v>
      </c>
      <c r="BK72" s="20">
        <f t="shared" si="128"/>
        <v>0</v>
      </c>
      <c r="BL72" s="20">
        <f t="shared" si="128"/>
        <v>0</v>
      </c>
      <c r="BM72" s="20">
        <f t="shared" si="128"/>
        <v>0</v>
      </c>
      <c r="BN72" s="20">
        <f t="shared" si="128"/>
        <v>0</v>
      </c>
      <c r="BO72" s="20">
        <f t="shared" si="128"/>
        <v>0</v>
      </c>
      <c r="BP72" s="20">
        <f t="shared" si="128"/>
        <v>0</v>
      </c>
      <c r="BQ72" s="20">
        <f t="shared" si="128"/>
        <v>0</v>
      </c>
      <c r="BR72" s="20">
        <f t="shared" si="128"/>
        <v>0</v>
      </c>
      <c r="BS72" s="20">
        <f t="shared" si="128"/>
        <v>0</v>
      </c>
      <c r="BT72" s="20">
        <f t="shared" si="128"/>
        <v>0</v>
      </c>
      <c r="BU72" s="20">
        <f t="shared" si="128"/>
        <v>0</v>
      </c>
      <c r="BV72" s="20">
        <f t="shared" si="128"/>
        <v>0</v>
      </c>
      <c r="BW72" s="177"/>
      <c r="BX72" s="83">
        <f t="shared" ref="BX72" si="129">SUM(BX61:BX71)</f>
        <v>0</v>
      </c>
      <c r="BY72" s="20">
        <f>SUM(BY61:BY71)</f>
        <v>0</v>
      </c>
      <c r="BZ72" s="20">
        <f t="shared" ref="BZ72:CJ72" si="130">SUM(BZ61:BZ71)</f>
        <v>0</v>
      </c>
      <c r="CA72" s="20">
        <f t="shared" si="130"/>
        <v>0</v>
      </c>
      <c r="CB72" s="20">
        <f t="shared" si="130"/>
        <v>0</v>
      </c>
      <c r="CC72" s="20">
        <f t="shared" si="130"/>
        <v>0</v>
      </c>
      <c r="CD72" s="20">
        <f t="shared" si="130"/>
        <v>0</v>
      </c>
      <c r="CE72" s="20">
        <f t="shared" si="130"/>
        <v>0</v>
      </c>
      <c r="CF72" s="20">
        <f t="shared" si="130"/>
        <v>0</v>
      </c>
      <c r="CG72" s="20">
        <f t="shared" si="130"/>
        <v>0</v>
      </c>
      <c r="CH72" s="20">
        <f t="shared" si="130"/>
        <v>0</v>
      </c>
      <c r="CI72" s="20">
        <f t="shared" si="130"/>
        <v>0</v>
      </c>
      <c r="CJ72" s="20">
        <f t="shared" si="130"/>
        <v>0</v>
      </c>
      <c r="CK72" s="20">
        <v>0</v>
      </c>
      <c r="CL72" s="20">
        <f t="shared" ref="CL72:DI72" si="131">SUM(CL61:CL71)</f>
        <v>0</v>
      </c>
      <c r="CM72" s="20">
        <f t="shared" si="131"/>
        <v>0</v>
      </c>
      <c r="CN72" s="20">
        <f t="shared" si="131"/>
        <v>0</v>
      </c>
      <c r="CO72" s="20">
        <f t="shared" si="131"/>
        <v>0</v>
      </c>
      <c r="CP72" s="20">
        <f t="shared" si="131"/>
        <v>0</v>
      </c>
      <c r="CQ72" s="20">
        <f t="shared" si="131"/>
        <v>0</v>
      </c>
      <c r="CR72" s="20">
        <f t="shared" si="131"/>
        <v>0</v>
      </c>
      <c r="CS72" s="20">
        <f t="shared" si="131"/>
        <v>0</v>
      </c>
      <c r="CT72" s="20">
        <f t="shared" si="131"/>
        <v>0</v>
      </c>
      <c r="CU72" s="20">
        <f t="shared" si="131"/>
        <v>0</v>
      </c>
      <c r="CV72" s="20">
        <f t="shared" si="131"/>
        <v>0</v>
      </c>
      <c r="CW72" s="20">
        <f t="shared" si="131"/>
        <v>0</v>
      </c>
      <c r="CX72" s="20">
        <f t="shared" si="131"/>
        <v>0</v>
      </c>
      <c r="CY72" s="20">
        <f t="shared" si="131"/>
        <v>0</v>
      </c>
      <c r="CZ72" s="20">
        <f t="shared" si="131"/>
        <v>0</v>
      </c>
      <c r="DA72" s="159">
        <f t="shared" si="131"/>
        <v>0</v>
      </c>
      <c r="DB72" s="83">
        <f t="shared" si="131"/>
        <v>0</v>
      </c>
      <c r="DC72" s="20">
        <f t="shared" si="131"/>
        <v>0</v>
      </c>
      <c r="DD72" s="20">
        <f t="shared" si="131"/>
        <v>0</v>
      </c>
      <c r="DE72" s="20">
        <f t="shared" si="131"/>
        <v>0</v>
      </c>
      <c r="DF72" s="20">
        <f t="shared" si="131"/>
        <v>0</v>
      </c>
      <c r="DG72" s="20">
        <f t="shared" si="131"/>
        <v>0</v>
      </c>
      <c r="DH72" s="20">
        <f t="shared" si="131"/>
        <v>0</v>
      </c>
      <c r="DI72" s="20">
        <f t="shared" si="131"/>
        <v>0</v>
      </c>
      <c r="DJ72" s="20">
        <f>SUM(DJ61:DJ71)</f>
        <v>0</v>
      </c>
      <c r="DK72" s="20">
        <f t="shared" ref="DK72:DW72" si="132">SUM(DK61:DK71)</f>
        <v>0</v>
      </c>
      <c r="DL72" s="20">
        <f t="shared" si="132"/>
        <v>0</v>
      </c>
      <c r="DM72" s="20">
        <f t="shared" si="132"/>
        <v>0</v>
      </c>
      <c r="DN72" s="20">
        <f t="shared" si="132"/>
        <v>0</v>
      </c>
      <c r="DO72" s="20">
        <f t="shared" si="132"/>
        <v>0</v>
      </c>
      <c r="DP72" s="20">
        <f t="shared" si="132"/>
        <v>0</v>
      </c>
      <c r="DQ72" s="20">
        <f t="shared" si="132"/>
        <v>0</v>
      </c>
      <c r="DR72" s="20">
        <f t="shared" si="132"/>
        <v>0</v>
      </c>
      <c r="DS72" s="20">
        <f t="shared" si="132"/>
        <v>0</v>
      </c>
      <c r="DT72" s="20">
        <f t="shared" si="132"/>
        <v>0</v>
      </c>
      <c r="DU72" s="20">
        <f t="shared" si="132"/>
        <v>0</v>
      </c>
      <c r="DV72" s="20">
        <f t="shared" si="132"/>
        <v>0</v>
      </c>
      <c r="DW72" s="20">
        <f t="shared" si="132"/>
        <v>0</v>
      </c>
      <c r="DX72" s="20"/>
      <c r="DY72" s="20"/>
      <c r="DZ72" s="20"/>
      <c r="EA72" s="20"/>
      <c r="EB72" s="20"/>
      <c r="EC72" s="20"/>
      <c r="ED72" s="20"/>
      <c r="EE72" s="20"/>
      <c r="EF72" s="159"/>
      <c r="EG72" s="159"/>
      <c r="EH72" s="159"/>
      <c r="EI72" s="159"/>
      <c r="EJ72" s="159"/>
      <c r="EK72" s="159"/>
      <c r="EL72" s="159"/>
      <c r="EM72" s="159"/>
      <c r="EN72" s="159"/>
      <c r="EO72" s="159"/>
      <c r="EP72" s="159"/>
      <c r="EQ72" s="159"/>
      <c r="ER72" s="159"/>
      <c r="ES72" s="159"/>
      <c r="ET72" s="159"/>
      <c r="EU72" s="159"/>
      <c r="EV72" s="159"/>
      <c r="EW72" s="159"/>
      <c r="EX72" s="159"/>
      <c r="EY72" s="159"/>
      <c r="EZ72" s="159"/>
      <c r="FA72" s="159"/>
      <c r="FB72" s="159"/>
      <c r="FC72" s="159"/>
      <c r="FD72" s="159"/>
      <c r="FE72" s="159"/>
      <c r="FF72" s="159"/>
      <c r="FG72" s="159"/>
      <c r="FH72" s="159"/>
      <c r="FI72" s="159"/>
      <c r="FJ72" s="159"/>
      <c r="FK72" s="371"/>
      <c r="FL72" s="159"/>
      <c r="FM72" s="159"/>
      <c r="FN72" s="159"/>
      <c r="FO72" s="159"/>
      <c r="FP72" s="159"/>
      <c r="FQ72" s="159"/>
      <c r="FR72" s="159"/>
      <c r="FS72" s="159"/>
      <c r="FT72" s="159"/>
      <c r="FU72" s="159"/>
      <c r="FV72" s="159"/>
      <c r="FW72" s="159"/>
      <c r="FX72" s="159"/>
      <c r="FY72" s="159"/>
      <c r="FZ72" s="159"/>
      <c r="GA72" s="159"/>
      <c r="GB72" s="159"/>
      <c r="GC72" s="159"/>
      <c r="GD72" s="159"/>
      <c r="GE72" s="159"/>
      <c r="GF72" s="159">
        <f t="shared" ref="GF72:GH72" si="133">SUM(GF61:GF71)</f>
        <v>12</v>
      </c>
      <c r="GG72" s="159">
        <f t="shared" si="133"/>
        <v>0</v>
      </c>
      <c r="GH72" s="159">
        <f t="shared" si="133"/>
        <v>0</v>
      </c>
      <c r="GI72" s="159">
        <f t="shared" ref="GI72:GP72" si="134">SUM(GI61:GI71)</f>
        <v>36</v>
      </c>
      <c r="GJ72" s="159">
        <f t="shared" si="134"/>
        <v>0</v>
      </c>
      <c r="GK72" s="159">
        <f t="shared" si="134"/>
        <v>0</v>
      </c>
      <c r="GL72" s="159">
        <f t="shared" si="134"/>
        <v>0</v>
      </c>
      <c r="GM72" s="159">
        <f t="shared" si="134"/>
        <v>0</v>
      </c>
      <c r="GN72" s="159">
        <f t="shared" si="134"/>
        <v>0</v>
      </c>
      <c r="GO72" s="159">
        <f t="shared" si="134"/>
        <v>0</v>
      </c>
      <c r="GP72" s="83">
        <f t="shared" si="134"/>
        <v>18</v>
      </c>
      <c r="GQ72" s="20">
        <f t="shared" ref="GQ72:GW72" si="135">SUM(GQ61:GQ71)</f>
        <v>0</v>
      </c>
      <c r="GR72" s="159">
        <f t="shared" si="135"/>
        <v>26</v>
      </c>
      <c r="GS72" s="159">
        <f t="shared" si="135"/>
        <v>0</v>
      </c>
      <c r="GT72" s="159">
        <f t="shared" si="135"/>
        <v>8.5</v>
      </c>
      <c r="GU72" s="159">
        <f t="shared" si="135"/>
        <v>32</v>
      </c>
      <c r="GV72" s="159">
        <f t="shared" si="135"/>
        <v>0</v>
      </c>
      <c r="GW72" s="159">
        <f t="shared" si="135"/>
        <v>0</v>
      </c>
      <c r="GX72" s="159">
        <f t="shared" ref="GX72:GZ72" si="136">SUM(GX61:GX71)</f>
        <v>0</v>
      </c>
      <c r="GY72" s="159">
        <f t="shared" si="136"/>
        <v>10</v>
      </c>
      <c r="GZ72" s="159">
        <f t="shared" si="136"/>
        <v>0</v>
      </c>
      <c r="HA72" s="159">
        <f t="shared" ref="HA72:HB72" si="137">SUM(HA61:HA71)</f>
        <v>0</v>
      </c>
      <c r="HB72" s="159">
        <f t="shared" si="137"/>
        <v>0</v>
      </c>
      <c r="HC72" s="159">
        <f t="shared" ref="HC72:HE72" si="138">SUM(HC61:HC71)</f>
        <v>0</v>
      </c>
      <c r="HD72" s="159">
        <f t="shared" si="138"/>
        <v>0</v>
      </c>
      <c r="HE72" s="159">
        <f t="shared" si="138"/>
        <v>0</v>
      </c>
      <c r="HF72" s="159">
        <f t="shared" ref="HF72:HG72" si="139">SUM(HF61:HF71)</f>
        <v>20</v>
      </c>
      <c r="HG72" s="159">
        <f t="shared" si="139"/>
        <v>0</v>
      </c>
      <c r="HH72" s="159">
        <f t="shared" ref="HH72" si="140">SUM(HH61:HH71)</f>
        <v>0</v>
      </c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369"/>
      <c r="HU72" s="364">
        <f>SUM(HU61:HU71)</f>
        <v>162.5</v>
      </c>
    </row>
    <row r="73" spans="1:229" ht="15.75" thickBot="1" x14ac:dyDescent="0.3">
      <c r="GP73" s="21"/>
      <c r="GQ73" s="275"/>
      <c r="HI73" s="275"/>
      <c r="HJ73" s="275"/>
      <c r="HK73" s="275"/>
      <c r="HL73" s="275"/>
      <c r="HM73" s="275"/>
      <c r="HN73" s="275"/>
      <c r="HO73" s="275"/>
      <c r="HP73" s="275"/>
      <c r="HQ73" s="275"/>
      <c r="HR73" s="275"/>
      <c r="HS73" s="275"/>
      <c r="HT73" s="357"/>
    </row>
    <row r="74" spans="1:229" ht="15.75" thickBot="1" x14ac:dyDescent="0.3">
      <c r="A74" s="189">
        <v>1</v>
      </c>
      <c r="B74" s="481" t="s">
        <v>147</v>
      </c>
      <c r="C74" s="25" t="s">
        <v>1</v>
      </c>
      <c r="D74" s="189" t="s">
        <v>19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191">
        <f>SUM(E74:L74)</f>
        <v>0</v>
      </c>
      <c r="N74" s="237"/>
      <c r="O74" s="71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165"/>
      <c r="AR74" s="71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37"/>
      <c r="BU74" s="37"/>
      <c r="BV74" s="37"/>
      <c r="BW74" s="165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267"/>
      <c r="CO74" s="268"/>
      <c r="CP74" s="268"/>
      <c r="CQ74" s="268"/>
      <c r="CR74" s="268"/>
      <c r="CS74" s="268"/>
      <c r="CT74" s="268"/>
      <c r="CU74" s="268"/>
      <c r="CV74" s="268"/>
      <c r="CW74" s="268"/>
      <c r="CX74" s="268"/>
      <c r="CY74" s="268"/>
      <c r="CZ74" s="267"/>
      <c r="DA74" s="268"/>
      <c r="DB74" s="71"/>
      <c r="DC74" s="37"/>
      <c r="DD74" s="37"/>
      <c r="DE74" s="37"/>
      <c r="DF74" s="37"/>
      <c r="DG74" s="37"/>
      <c r="DH74" s="267"/>
      <c r="DI74" s="267"/>
      <c r="DJ74" s="267"/>
      <c r="DK74" s="267"/>
      <c r="DL74" s="267"/>
      <c r="DM74" s="267"/>
      <c r="DN74" s="267"/>
      <c r="DO74" s="267"/>
      <c r="DP74" s="267"/>
      <c r="DQ74" s="267"/>
      <c r="DR74" s="267"/>
      <c r="DS74" s="267"/>
      <c r="DT74" s="267"/>
      <c r="DU74" s="267"/>
      <c r="DV74" s="267"/>
      <c r="DW74" s="267"/>
      <c r="DX74" s="267"/>
      <c r="DY74" s="267"/>
      <c r="DZ74" s="267"/>
      <c r="EA74" s="267"/>
      <c r="EB74" s="267"/>
      <c r="EC74" s="267"/>
      <c r="ED74" s="267"/>
      <c r="EE74" s="267"/>
      <c r="EF74" s="268"/>
      <c r="EG74" s="279"/>
      <c r="EH74" s="268"/>
      <c r="EI74" s="267"/>
      <c r="EJ74" s="267"/>
      <c r="EK74" s="267"/>
      <c r="EL74" s="267"/>
      <c r="EM74" s="267"/>
      <c r="EN74" s="267"/>
      <c r="EO74" s="267"/>
      <c r="EP74" s="267"/>
      <c r="EQ74" s="267"/>
      <c r="ER74" s="267"/>
      <c r="ES74" s="267"/>
      <c r="ET74" s="267"/>
      <c r="EU74" s="267"/>
      <c r="EV74" s="267"/>
      <c r="EW74" s="267"/>
      <c r="EX74" s="267"/>
      <c r="EY74" s="267"/>
      <c r="EZ74" s="267"/>
      <c r="FA74" s="267"/>
      <c r="FB74" s="267"/>
      <c r="FC74" s="267"/>
      <c r="FD74" s="267"/>
      <c r="FE74" s="267"/>
      <c r="FF74" s="267"/>
      <c r="FG74" s="267"/>
      <c r="FH74" s="267"/>
      <c r="FI74" s="267"/>
      <c r="FJ74" s="268"/>
      <c r="FK74" s="279"/>
      <c r="FL74" s="267"/>
      <c r="FM74" s="267"/>
      <c r="FN74" s="267"/>
      <c r="FO74" s="267"/>
      <c r="FP74" s="267"/>
      <c r="FQ74" s="267"/>
      <c r="FR74" s="267"/>
      <c r="FS74" s="281"/>
      <c r="FT74" s="267"/>
      <c r="FU74" s="267"/>
      <c r="FV74" s="267"/>
      <c r="FW74" s="267"/>
      <c r="FX74" s="267"/>
      <c r="FY74" s="267"/>
      <c r="FZ74" s="267"/>
      <c r="GA74" s="267"/>
      <c r="GB74" s="267"/>
      <c r="GC74" s="267"/>
      <c r="GD74" s="267"/>
      <c r="GE74" s="267"/>
      <c r="GF74" s="267"/>
      <c r="GG74" s="267"/>
      <c r="GH74" s="267"/>
      <c r="GI74" s="267"/>
      <c r="GJ74" s="267"/>
      <c r="GK74" s="267"/>
      <c r="GL74" s="267"/>
      <c r="GM74" s="267"/>
      <c r="GN74" s="267"/>
      <c r="GO74" s="268"/>
      <c r="GP74" s="279"/>
      <c r="GQ74" s="267"/>
      <c r="GR74" s="267"/>
      <c r="GS74" s="267"/>
      <c r="GT74" s="281"/>
      <c r="GU74" s="267"/>
      <c r="GV74" s="267"/>
      <c r="GW74" s="267"/>
      <c r="GX74" s="267"/>
      <c r="GY74" s="267"/>
      <c r="GZ74" s="267"/>
      <c r="HA74" s="267"/>
      <c r="HB74" s="267"/>
      <c r="HC74" s="267"/>
      <c r="HD74" s="267"/>
      <c r="HE74" s="267"/>
      <c r="HF74" s="267">
        <v>0</v>
      </c>
      <c r="HG74" s="267">
        <v>0</v>
      </c>
      <c r="HH74" s="267">
        <v>0</v>
      </c>
      <c r="HI74" s="267"/>
      <c r="HJ74" s="267"/>
      <c r="HK74" s="267"/>
      <c r="HL74" s="267"/>
      <c r="HM74" s="267"/>
      <c r="HN74" s="267"/>
      <c r="HO74" s="267"/>
      <c r="HP74" s="267"/>
      <c r="HQ74" s="267"/>
      <c r="HR74" s="267"/>
      <c r="HS74" s="267"/>
      <c r="HT74" s="367"/>
      <c r="HU74" s="363">
        <f>SUM(O74:HT74)</f>
        <v>0</v>
      </c>
    </row>
    <row r="75" spans="1:229" ht="15.75" thickBot="1" x14ac:dyDescent="0.3">
      <c r="A75" s="29">
        <v>2</v>
      </c>
      <c r="B75" s="474"/>
      <c r="C75" s="23" t="s">
        <v>2</v>
      </c>
      <c r="D75" s="29" t="s">
        <v>19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24">
        <f t="shared" ref="M75:M84" si="141">SUM(E75:L75)</f>
        <v>0</v>
      </c>
      <c r="N75" s="238"/>
      <c r="O75" s="7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79"/>
      <c r="AR75" s="73"/>
      <c r="AS75" s="13"/>
      <c r="AT75" s="13"/>
      <c r="AU75" s="13"/>
      <c r="AV75" s="13"/>
      <c r="AW75" s="13"/>
      <c r="AX75" s="13"/>
      <c r="AY75" s="13"/>
      <c r="AZ75" s="13"/>
      <c r="BA75" s="13"/>
      <c r="BB75" s="64"/>
      <c r="BC75" s="13"/>
      <c r="BD75" s="13"/>
      <c r="BE75" s="13"/>
      <c r="BF75" s="13"/>
      <c r="BG75" s="13"/>
      <c r="BH75" s="13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3"/>
      <c r="BU75" s="13"/>
      <c r="BV75" s="13"/>
      <c r="BW75" s="179"/>
      <c r="BX75" s="7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265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65"/>
      <c r="DA75" s="269"/>
      <c r="DB75" s="73"/>
      <c r="DC75" s="13"/>
      <c r="DD75" s="13"/>
      <c r="DE75" s="13"/>
      <c r="DF75" s="13"/>
      <c r="DG75" s="13"/>
      <c r="DH75" s="265"/>
      <c r="DI75" s="265"/>
      <c r="DJ75" s="265"/>
      <c r="DK75" s="265"/>
      <c r="DL75" s="265"/>
      <c r="DM75" s="265"/>
      <c r="DN75" s="265"/>
      <c r="DO75" s="265"/>
      <c r="DP75" s="265"/>
      <c r="DQ75" s="265"/>
      <c r="DR75" s="265"/>
      <c r="DS75" s="265"/>
      <c r="DT75" s="265"/>
      <c r="DU75" s="265"/>
      <c r="DV75" s="265"/>
      <c r="DW75" s="265"/>
      <c r="DX75" s="265"/>
      <c r="DY75" s="265"/>
      <c r="DZ75" s="265"/>
      <c r="EA75" s="265"/>
      <c r="EB75" s="265"/>
      <c r="EC75" s="265"/>
      <c r="ED75" s="265"/>
      <c r="EE75" s="265"/>
      <c r="EF75" s="269"/>
      <c r="EG75" s="278"/>
      <c r="EH75" s="269"/>
      <c r="EI75" s="265"/>
      <c r="EJ75" s="265"/>
      <c r="EK75" s="265"/>
      <c r="EL75" s="265"/>
      <c r="EM75" s="265"/>
      <c r="EN75" s="265"/>
      <c r="EO75" s="265"/>
      <c r="EP75" s="265"/>
      <c r="EQ75" s="265"/>
      <c r="ER75" s="265"/>
      <c r="ES75" s="272"/>
      <c r="ET75" s="265"/>
      <c r="EU75" s="265"/>
      <c r="EV75" s="265"/>
      <c r="EW75" s="265"/>
      <c r="EX75" s="272"/>
      <c r="EY75" s="265"/>
      <c r="EZ75" s="265"/>
      <c r="FA75" s="265"/>
      <c r="FB75" s="265"/>
      <c r="FC75" s="265"/>
      <c r="FD75" s="265"/>
      <c r="FE75" s="272"/>
      <c r="FF75" s="265"/>
      <c r="FG75" s="265"/>
      <c r="FH75" s="265"/>
      <c r="FI75" s="265"/>
      <c r="FJ75" s="269"/>
      <c r="FK75" s="278"/>
      <c r="FL75" s="265"/>
      <c r="FM75" s="265"/>
      <c r="FN75" s="265"/>
      <c r="FO75" s="265"/>
      <c r="FP75" s="265"/>
      <c r="FQ75" s="265"/>
      <c r="FR75" s="265"/>
      <c r="FS75" s="265"/>
      <c r="FT75" s="265"/>
      <c r="FU75" s="265"/>
      <c r="FV75" s="265"/>
      <c r="FW75" s="265"/>
      <c r="FX75" s="265"/>
      <c r="FY75" s="265"/>
      <c r="FZ75" s="265"/>
      <c r="GA75" s="265"/>
      <c r="GB75" s="265"/>
      <c r="GC75" s="265"/>
      <c r="GD75" s="265"/>
      <c r="GE75" s="265"/>
      <c r="GF75" s="265"/>
      <c r="GG75" s="265"/>
      <c r="GH75" s="265"/>
      <c r="GI75" s="265"/>
      <c r="GJ75" s="265"/>
      <c r="GK75" s="265"/>
      <c r="GL75" s="265"/>
      <c r="GM75" s="265"/>
      <c r="GN75" s="265"/>
      <c r="GO75" s="269"/>
      <c r="GP75" s="278"/>
      <c r="GQ75" s="265"/>
      <c r="GR75" s="265"/>
      <c r="GS75" s="265"/>
      <c r="GT75" s="265"/>
      <c r="GU75" s="265"/>
      <c r="GV75" s="265"/>
      <c r="GW75" s="265"/>
      <c r="GX75" s="265"/>
      <c r="GY75" s="265"/>
      <c r="GZ75" s="265"/>
      <c r="HA75" s="265"/>
      <c r="HB75" s="265"/>
      <c r="HC75" s="265"/>
      <c r="HD75" s="265"/>
      <c r="HE75" s="265"/>
      <c r="HF75" s="265">
        <v>16</v>
      </c>
      <c r="HG75" s="265">
        <v>0</v>
      </c>
      <c r="HH75" s="265">
        <v>0</v>
      </c>
      <c r="HI75" s="265"/>
      <c r="HJ75" s="265"/>
      <c r="HK75" s="265"/>
      <c r="HL75" s="265"/>
      <c r="HM75" s="265"/>
      <c r="HN75" s="265"/>
      <c r="HO75" s="265"/>
      <c r="HP75" s="265"/>
      <c r="HQ75" s="265"/>
      <c r="HR75" s="265"/>
      <c r="HS75" s="265"/>
      <c r="HT75" s="368"/>
      <c r="HU75" s="363">
        <f t="shared" ref="HU75:HU84" si="142">SUM(O75:HT75)</f>
        <v>16</v>
      </c>
    </row>
    <row r="76" spans="1:229" ht="15.75" thickBot="1" x14ac:dyDescent="0.3">
      <c r="A76" s="29">
        <v>3</v>
      </c>
      <c r="B76" s="474"/>
      <c r="C76" s="23" t="s">
        <v>3</v>
      </c>
      <c r="D76" s="29" t="s">
        <v>19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24">
        <f t="shared" si="141"/>
        <v>0</v>
      </c>
      <c r="N76" s="239"/>
      <c r="O76" s="7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80"/>
      <c r="AR76" s="7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3"/>
      <c r="BU76" s="13"/>
      <c r="BV76" s="13"/>
      <c r="BW76" s="180"/>
      <c r="BX76" s="68"/>
      <c r="BY76" s="13"/>
      <c r="BZ76" s="13"/>
      <c r="CA76" s="13"/>
      <c r="CB76" s="13"/>
      <c r="CC76" s="13"/>
      <c r="CD76" s="13"/>
      <c r="CE76" s="13"/>
      <c r="CF76" s="64"/>
      <c r="CG76" s="13"/>
      <c r="CH76" s="13"/>
      <c r="CI76" s="64"/>
      <c r="CJ76" s="13"/>
      <c r="CK76" s="13"/>
      <c r="CL76" s="13"/>
      <c r="CM76" s="13"/>
      <c r="CN76" s="265"/>
      <c r="CO76" s="270"/>
      <c r="CP76" s="270"/>
      <c r="CQ76" s="283"/>
      <c r="CR76" s="270"/>
      <c r="CS76" s="270"/>
      <c r="CT76" s="270"/>
      <c r="CU76" s="270"/>
      <c r="CV76" s="270"/>
      <c r="CW76" s="270"/>
      <c r="CX76" s="283"/>
      <c r="CY76" s="270"/>
      <c r="CZ76" s="265"/>
      <c r="DA76" s="269"/>
      <c r="DB76" s="73"/>
      <c r="DC76" s="13"/>
      <c r="DD76" s="13"/>
      <c r="DE76" s="13"/>
      <c r="DF76" s="13"/>
      <c r="DG76" s="13"/>
      <c r="DH76" s="265"/>
      <c r="DI76" s="265"/>
      <c r="DJ76" s="272"/>
      <c r="DK76" s="265"/>
      <c r="DL76" s="265"/>
      <c r="DM76" s="265"/>
      <c r="DN76" s="265"/>
      <c r="DO76" s="265"/>
      <c r="DP76" s="265"/>
      <c r="DQ76" s="265"/>
      <c r="DR76" s="265"/>
      <c r="DS76" s="265"/>
      <c r="DT76" s="265"/>
      <c r="DU76" s="265"/>
      <c r="DV76" s="265"/>
      <c r="DW76" s="265"/>
      <c r="DX76" s="265"/>
      <c r="DY76" s="265"/>
      <c r="DZ76" s="265"/>
      <c r="EA76" s="265"/>
      <c r="EB76" s="265"/>
      <c r="EC76" s="265"/>
      <c r="ED76" s="265"/>
      <c r="EE76" s="265"/>
      <c r="EF76" s="269"/>
      <c r="EG76" s="278"/>
      <c r="EH76" s="269"/>
      <c r="EI76" s="265"/>
      <c r="EJ76" s="265"/>
      <c r="EK76" s="265"/>
      <c r="EL76" s="265"/>
      <c r="EM76" s="265"/>
      <c r="EN76" s="272"/>
      <c r="EO76" s="265"/>
      <c r="EP76" s="265"/>
      <c r="EQ76" s="265"/>
      <c r="ER76" s="265"/>
      <c r="ES76" s="265"/>
      <c r="ET76" s="265"/>
      <c r="EU76" s="265"/>
      <c r="EV76" s="265"/>
      <c r="EW76" s="265"/>
      <c r="EX76" s="265"/>
      <c r="EY76" s="265"/>
      <c r="EZ76" s="265"/>
      <c r="FA76" s="265"/>
      <c r="FB76" s="265"/>
      <c r="FC76" s="265"/>
      <c r="FD76" s="265"/>
      <c r="FE76" s="265"/>
      <c r="FF76" s="265"/>
      <c r="FG76" s="265"/>
      <c r="FH76" s="265"/>
      <c r="FI76" s="265"/>
      <c r="FJ76" s="269"/>
      <c r="FK76" s="396"/>
      <c r="FL76" s="265"/>
      <c r="FM76" s="265"/>
      <c r="FN76" s="265"/>
      <c r="FO76" s="265"/>
      <c r="FP76" s="265"/>
      <c r="FQ76" s="265"/>
      <c r="FR76" s="265"/>
      <c r="FS76" s="265"/>
      <c r="FT76" s="265"/>
      <c r="FU76" s="265"/>
      <c r="FV76" s="265"/>
      <c r="FW76" s="265"/>
      <c r="FX76" s="265"/>
      <c r="FY76" s="265"/>
      <c r="FZ76" s="265"/>
      <c r="GA76" s="265"/>
      <c r="GB76" s="265"/>
      <c r="GC76" s="265"/>
      <c r="GD76" s="265"/>
      <c r="GE76" s="265"/>
      <c r="GF76" s="265"/>
      <c r="GG76" s="265"/>
      <c r="GH76" s="265"/>
      <c r="GI76" s="265"/>
      <c r="GJ76" s="265"/>
      <c r="GK76" s="265"/>
      <c r="GL76" s="265"/>
      <c r="GM76" s="265"/>
      <c r="GN76" s="265"/>
      <c r="GO76" s="269"/>
      <c r="GP76" s="278"/>
      <c r="GQ76" s="265"/>
      <c r="GR76" s="265"/>
      <c r="GS76" s="265"/>
      <c r="GT76" s="265"/>
      <c r="GU76" s="265"/>
      <c r="GV76" s="265"/>
      <c r="GW76" s="265"/>
      <c r="GX76" s="265"/>
      <c r="GY76" s="265"/>
      <c r="GZ76" s="265"/>
      <c r="HA76" s="265"/>
      <c r="HB76" s="265"/>
      <c r="HC76" s="265"/>
      <c r="HD76" s="265"/>
      <c r="HE76" s="265"/>
      <c r="HF76" s="265">
        <v>0</v>
      </c>
      <c r="HG76" s="265">
        <v>0</v>
      </c>
      <c r="HH76" s="265">
        <v>0</v>
      </c>
      <c r="HI76" s="265"/>
      <c r="HJ76" s="265"/>
      <c r="HK76" s="265"/>
      <c r="HL76" s="265"/>
      <c r="HM76" s="265"/>
      <c r="HN76" s="265"/>
      <c r="HO76" s="265"/>
      <c r="HP76" s="265"/>
      <c r="HQ76" s="265"/>
      <c r="HR76" s="265"/>
      <c r="HS76" s="265"/>
      <c r="HT76" s="368"/>
      <c r="HU76" s="363">
        <f t="shared" si="142"/>
        <v>0</v>
      </c>
    </row>
    <row r="77" spans="1:229" ht="15.75" thickBot="1" x14ac:dyDescent="0.3">
      <c r="A77" s="29">
        <v>4</v>
      </c>
      <c r="B77" s="474"/>
      <c r="C77" s="23" t="s">
        <v>4</v>
      </c>
      <c r="D77" s="29" t="s">
        <v>19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24">
        <f t="shared" si="141"/>
        <v>0</v>
      </c>
      <c r="N77" s="239"/>
      <c r="O77" s="7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62"/>
      <c r="AR77" s="7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3"/>
      <c r="BU77" s="13"/>
      <c r="BV77" s="13"/>
      <c r="BW77" s="162"/>
      <c r="BX77" s="68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265"/>
      <c r="CO77" s="269"/>
      <c r="CP77" s="269"/>
      <c r="CQ77" s="269"/>
      <c r="CR77" s="269"/>
      <c r="CS77" s="269"/>
      <c r="CT77" s="269"/>
      <c r="CU77" s="269"/>
      <c r="CV77" s="269"/>
      <c r="CW77" s="269"/>
      <c r="CX77" s="269"/>
      <c r="CY77" s="269"/>
      <c r="CZ77" s="265"/>
      <c r="DA77" s="269"/>
      <c r="DB77" s="73"/>
      <c r="DC77" s="13"/>
      <c r="DD77" s="13"/>
      <c r="DE77" s="13"/>
      <c r="DF77" s="13"/>
      <c r="DG77" s="13"/>
      <c r="DH77" s="272"/>
      <c r="DI77" s="265"/>
      <c r="DJ77" s="265"/>
      <c r="DK77" s="265"/>
      <c r="DL77" s="265"/>
      <c r="DM77" s="272"/>
      <c r="DN77" s="265"/>
      <c r="DO77" s="265"/>
      <c r="DP77" s="265"/>
      <c r="DQ77" s="265"/>
      <c r="DR77" s="265"/>
      <c r="DS77" s="265"/>
      <c r="DT77" s="265"/>
      <c r="DU77" s="265"/>
      <c r="DV77" s="265"/>
      <c r="DW77" s="265"/>
      <c r="DX77" s="265"/>
      <c r="DY77" s="265"/>
      <c r="DZ77" s="265"/>
      <c r="EA77" s="265"/>
      <c r="EB77" s="265"/>
      <c r="EC77" s="265"/>
      <c r="ED77" s="265"/>
      <c r="EE77" s="265"/>
      <c r="EF77" s="269"/>
      <c r="EG77" s="278"/>
      <c r="EH77" s="269"/>
      <c r="EI77" s="265"/>
      <c r="EJ77" s="265"/>
      <c r="EK77" s="265"/>
      <c r="EL77" s="265"/>
      <c r="EM77" s="265"/>
      <c r="EN77" s="265"/>
      <c r="EO77" s="265"/>
      <c r="EP77" s="265"/>
      <c r="EQ77" s="265"/>
      <c r="ER77" s="265"/>
      <c r="ES77" s="265"/>
      <c r="ET77" s="265"/>
      <c r="EU77" s="265"/>
      <c r="EV77" s="265"/>
      <c r="EW77" s="265"/>
      <c r="EX77" s="265"/>
      <c r="EY77" s="265"/>
      <c r="EZ77" s="265"/>
      <c r="FA77" s="265"/>
      <c r="FB77" s="265"/>
      <c r="FC77" s="265"/>
      <c r="FD77" s="265"/>
      <c r="FE77" s="265"/>
      <c r="FF77" s="265"/>
      <c r="FG77" s="265"/>
      <c r="FH77" s="265"/>
      <c r="FI77" s="265"/>
      <c r="FJ77" s="269"/>
      <c r="FK77" s="278"/>
      <c r="FL77" s="265"/>
      <c r="FM77" s="265"/>
      <c r="FN77" s="265"/>
      <c r="FO77" s="265"/>
      <c r="FP77" s="265"/>
      <c r="FQ77" s="265"/>
      <c r="FR77" s="265"/>
      <c r="FS77" s="265"/>
      <c r="FT77" s="265"/>
      <c r="FU77" s="265"/>
      <c r="FV77" s="265"/>
      <c r="FW77" s="265"/>
      <c r="FX77" s="265"/>
      <c r="FY77" s="265"/>
      <c r="FZ77" s="265"/>
      <c r="GA77" s="265"/>
      <c r="GB77" s="265"/>
      <c r="GC77" s="265"/>
      <c r="GD77" s="265"/>
      <c r="GE77" s="265"/>
      <c r="GF77" s="265"/>
      <c r="GG77" s="265"/>
      <c r="GH77" s="265"/>
      <c r="GI77" s="265"/>
      <c r="GJ77" s="265"/>
      <c r="GK77" s="265"/>
      <c r="GL77" s="265"/>
      <c r="GM77" s="265"/>
      <c r="GN77" s="265"/>
      <c r="GO77" s="269"/>
      <c r="GP77" s="278"/>
      <c r="GQ77" s="265"/>
      <c r="GR77" s="265"/>
      <c r="GS77" s="265"/>
      <c r="GT77" s="265"/>
      <c r="GU77" s="265"/>
      <c r="GV77" s="265"/>
      <c r="GW77" s="265"/>
      <c r="GX77" s="265"/>
      <c r="GY77" s="265"/>
      <c r="GZ77" s="265"/>
      <c r="HA77" s="265"/>
      <c r="HB77" s="265"/>
      <c r="HC77" s="265"/>
      <c r="HD77" s="265"/>
      <c r="HE77" s="265"/>
      <c r="HF77" s="265">
        <v>0</v>
      </c>
      <c r="HG77" s="265">
        <v>0</v>
      </c>
      <c r="HH77" s="265">
        <v>0</v>
      </c>
      <c r="HI77" s="265"/>
      <c r="HJ77" s="265"/>
      <c r="HK77" s="265"/>
      <c r="HL77" s="265"/>
      <c r="HM77" s="265"/>
      <c r="HN77" s="265"/>
      <c r="HO77" s="265"/>
      <c r="HP77" s="265"/>
      <c r="HQ77" s="265"/>
      <c r="HR77" s="265"/>
      <c r="HS77" s="265"/>
      <c r="HT77" s="368"/>
      <c r="HU77" s="363">
        <f t="shared" si="142"/>
        <v>0</v>
      </c>
    </row>
    <row r="78" spans="1:229" ht="15.75" thickBot="1" x14ac:dyDescent="0.3">
      <c r="A78" s="29">
        <v>5</v>
      </c>
      <c r="B78" s="474"/>
      <c r="C78" s="23" t="s">
        <v>5</v>
      </c>
      <c r="D78" s="29" t="s">
        <v>19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24">
        <f t="shared" si="141"/>
        <v>0</v>
      </c>
      <c r="N78" s="239"/>
      <c r="O78" s="7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62"/>
      <c r="AR78" s="7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3"/>
      <c r="BU78" s="13"/>
      <c r="BV78" s="13"/>
      <c r="BW78" s="162"/>
      <c r="BX78" s="68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265"/>
      <c r="CO78" s="269"/>
      <c r="CP78" s="269"/>
      <c r="CQ78" s="269"/>
      <c r="CR78" s="269"/>
      <c r="CS78" s="269"/>
      <c r="CT78" s="269"/>
      <c r="CU78" s="269"/>
      <c r="CV78" s="269"/>
      <c r="CW78" s="269"/>
      <c r="CX78" s="269"/>
      <c r="CY78" s="269"/>
      <c r="CZ78" s="265"/>
      <c r="DA78" s="269"/>
      <c r="DB78" s="73"/>
      <c r="DC78" s="13"/>
      <c r="DD78" s="13"/>
      <c r="DE78" s="13"/>
      <c r="DF78" s="13"/>
      <c r="DG78" s="13"/>
      <c r="DH78" s="265"/>
      <c r="DI78" s="265"/>
      <c r="DJ78" s="265"/>
      <c r="DK78" s="265"/>
      <c r="DL78" s="265"/>
      <c r="DM78" s="265"/>
      <c r="DN78" s="265"/>
      <c r="DO78" s="265"/>
      <c r="DP78" s="265"/>
      <c r="DQ78" s="265"/>
      <c r="DR78" s="265"/>
      <c r="DS78" s="265"/>
      <c r="DT78" s="265"/>
      <c r="DU78" s="265"/>
      <c r="DV78" s="265"/>
      <c r="DW78" s="265"/>
      <c r="DX78" s="265"/>
      <c r="DY78" s="265"/>
      <c r="DZ78" s="265"/>
      <c r="EA78" s="265"/>
      <c r="EB78" s="265"/>
      <c r="EC78" s="265"/>
      <c r="ED78" s="265"/>
      <c r="EE78" s="265"/>
      <c r="EF78" s="269"/>
      <c r="EG78" s="278"/>
      <c r="EH78" s="269"/>
      <c r="EI78" s="265"/>
      <c r="EJ78" s="265"/>
      <c r="EK78" s="265"/>
      <c r="EL78" s="265"/>
      <c r="EM78" s="265"/>
      <c r="EN78" s="265"/>
      <c r="EO78" s="265"/>
      <c r="EP78" s="265"/>
      <c r="EQ78" s="265"/>
      <c r="ER78" s="265"/>
      <c r="ES78" s="265"/>
      <c r="ET78" s="265"/>
      <c r="EU78" s="265"/>
      <c r="EV78" s="265"/>
      <c r="EW78" s="265"/>
      <c r="EX78" s="265"/>
      <c r="EY78" s="265"/>
      <c r="EZ78" s="265"/>
      <c r="FA78" s="265"/>
      <c r="FB78" s="265"/>
      <c r="FC78" s="265"/>
      <c r="FD78" s="265"/>
      <c r="FE78" s="265"/>
      <c r="FF78" s="265"/>
      <c r="FG78" s="265"/>
      <c r="FH78" s="265"/>
      <c r="FI78" s="265"/>
      <c r="FJ78" s="269"/>
      <c r="FK78" s="278"/>
      <c r="FL78" s="265"/>
      <c r="FM78" s="265"/>
      <c r="FN78" s="265"/>
      <c r="FO78" s="265"/>
      <c r="FP78" s="265"/>
      <c r="FQ78" s="265"/>
      <c r="FR78" s="265"/>
      <c r="FS78" s="265"/>
      <c r="FT78" s="265"/>
      <c r="FU78" s="265"/>
      <c r="FV78" s="265"/>
      <c r="FW78" s="265"/>
      <c r="FX78" s="265"/>
      <c r="FY78" s="265"/>
      <c r="FZ78" s="265"/>
      <c r="GA78" s="265"/>
      <c r="GB78" s="265"/>
      <c r="GC78" s="265"/>
      <c r="GD78" s="265"/>
      <c r="GE78" s="265"/>
      <c r="GF78" s="265"/>
      <c r="GG78" s="265"/>
      <c r="GH78" s="265"/>
      <c r="GI78" s="265"/>
      <c r="GJ78" s="265"/>
      <c r="GK78" s="265"/>
      <c r="GL78" s="265"/>
      <c r="GM78" s="265"/>
      <c r="GN78" s="265"/>
      <c r="GO78" s="269"/>
      <c r="GP78" s="278"/>
      <c r="GQ78" s="265"/>
      <c r="GR78" s="265"/>
      <c r="GS78" s="265"/>
      <c r="GT78" s="265"/>
      <c r="GU78" s="265"/>
      <c r="GV78" s="265"/>
      <c r="GW78" s="265"/>
      <c r="GX78" s="265"/>
      <c r="GY78" s="265"/>
      <c r="GZ78" s="265"/>
      <c r="HA78" s="265"/>
      <c r="HB78" s="265"/>
      <c r="HC78" s="265"/>
      <c r="HD78" s="265"/>
      <c r="HE78" s="265"/>
      <c r="HF78" s="265">
        <v>0</v>
      </c>
      <c r="HG78" s="265">
        <v>0</v>
      </c>
      <c r="HH78" s="265">
        <v>0</v>
      </c>
      <c r="HI78" s="265"/>
      <c r="HJ78" s="265"/>
      <c r="HK78" s="265"/>
      <c r="HL78" s="265"/>
      <c r="HM78" s="265"/>
      <c r="HN78" s="265"/>
      <c r="HO78" s="265"/>
      <c r="HP78" s="265"/>
      <c r="HQ78" s="265"/>
      <c r="HR78" s="265"/>
      <c r="HS78" s="265"/>
      <c r="HT78" s="368"/>
      <c r="HU78" s="363">
        <f t="shared" si="142"/>
        <v>0</v>
      </c>
    </row>
    <row r="79" spans="1:229" ht="15.75" thickBot="1" x14ac:dyDescent="0.3">
      <c r="A79" s="29">
        <v>6</v>
      </c>
      <c r="B79" s="474"/>
      <c r="C79" s="23" t="s">
        <v>6</v>
      </c>
      <c r="D79" s="29" t="s">
        <v>19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24">
        <f t="shared" si="141"/>
        <v>0</v>
      </c>
      <c r="N79" s="239"/>
      <c r="O79" s="7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62"/>
      <c r="AR79" s="7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3"/>
      <c r="BU79" s="13"/>
      <c r="BV79" s="13"/>
      <c r="BW79" s="162"/>
      <c r="BX79" s="68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265"/>
      <c r="CO79" s="269"/>
      <c r="CP79" s="269"/>
      <c r="CQ79" s="269"/>
      <c r="CR79" s="269"/>
      <c r="CS79" s="269"/>
      <c r="CT79" s="269"/>
      <c r="CU79" s="269"/>
      <c r="CV79" s="269"/>
      <c r="CW79" s="269"/>
      <c r="CX79" s="269"/>
      <c r="CY79" s="269"/>
      <c r="CZ79" s="265"/>
      <c r="DA79" s="269"/>
      <c r="DB79" s="73"/>
      <c r="DC79" s="64"/>
      <c r="DD79" s="272"/>
      <c r="DE79" s="13"/>
      <c r="DF79" s="64"/>
      <c r="DG79" s="265"/>
      <c r="DH79" s="265"/>
      <c r="DI79" s="265"/>
      <c r="DJ79" s="265"/>
      <c r="DK79" s="265"/>
      <c r="DL79" s="265"/>
      <c r="DM79" s="265"/>
      <c r="DN79" s="272"/>
      <c r="DO79" s="265"/>
      <c r="DP79" s="265"/>
      <c r="DQ79" s="265"/>
      <c r="DR79" s="265"/>
      <c r="DS79" s="265"/>
      <c r="DT79" s="265"/>
      <c r="DU79" s="265"/>
      <c r="DV79" s="265"/>
      <c r="DW79" s="265"/>
      <c r="DX79" s="265"/>
      <c r="DY79" s="265"/>
      <c r="DZ79" s="265"/>
      <c r="EA79" s="265"/>
      <c r="EB79" s="265"/>
      <c r="EC79" s="265"/>
      <c r="ED79" s="265"/>
      <c r="EE79" s="265"/>
      <c r="EF79" s="269"/>
      <c r="EG79" s="278"/>
      <c r="EH79" s="269"/>
      <c r="EI79" s="265"/>
      <c r="EJ79" s="265"/>
      <c r="EK79" s="265"/>
      <c r="EL79" s="265"/>
      <c r="EM79" s="265"/>
      <c r="EN79" s="265"/>
      <c r="EO79" s="265"/>
      <c r="EP79" s="265"/>
      <c r="EQ79" s="265"/>
      <c r="ER79" s="265"/>
      <c r="ES79" s="265"/>
      <c r="ET79" s="265"/>
      <c r="EU79" s="265"/>
      <c r="EV79" s="265"/>
      <c r="EW79" s="265"/>
      <c r="EX79" s="265"/>
      <c r="EY79" s="265"/>
      <c r="EZ79" s="265"/>
      <c r="FA79" s="265"/>
      <c r="FB79" s="265"/>
      <c r="FC79" s="265"/>
      <c r="FD79" s="265"/>
      <c r="FE79" s="265"/>
      <c r="FF79" s="265"/>
      <c r="FG79" s="265"/>
      <c r="FH79" s="265"/>
      <c r="FI79" s="265"/>
      <c r="FJ79" s="269"/>
      <c r="FK79" s="278"/>
      <c r="FL79" s="265"/>
      <c r="FM79" s="265"/>
      <c r="FN79" s="265"/>
      <c r="FO79" s="265"/>
      <c r="FP79" s="265"/>
      <c r="FQ79" s="265"/>
      <c r="FR79" s="265"/>
      <c r="FS79" s="265"/>
      <c r="FT79" s="265"/>
      <c r="FU79" s="265"/>
      <c r="FV79" s="272"/>
      <c r="FW79" s="265"/>
      <c r="FX79" s="265"/>
      <c r="FY79" s="265"/>
      <c r="FZ79" s="265"/>
      <c r="GA79" s="265"/>
      <c r="GB79" s="265"/>
      <c r="GC79" s="265"/>
      <c r="GD79" s="265"/>
      <c r="GE79" s="265"/>
      <c r="GF79" s="265"/>
      <c r="GG79" s="265"/>
      <c r="GH79" s="265"/>
      <c r="GI79" s="265"/>
      <c r="GJ79" s="265"/>
      <c r="GK79" s="265"/>
      <c r="GL79" s="265"/>
      <c r="GM79" s="265"/>
      <c r="GN79" s="265"/>
      <c r="GO79" s="269"/>
      <c r="GP79" s="278"/>
      <c r="GQ79" s="265"/>
      <c r="GR79" s="265"/>
      <c r="GS79" s="265"/>
      <c r="GT79" s="265"/>
      <c r="GU79" s="265"/>
      <c r="GV79" s="265"/>
      <c r="GW79" s="265"/>
      <c r="GX79" s="265"/>
      <c r="GY79" s="265"/>
      <c r="GZ79" s="265"/>
      <c r="HA79" s="265"/>
      <c r="HB79" s="265"/>
      <c r="HC79" s="265"/>
      <c r="HD79" s="265"/>
      <c r="HE79" s="265"/>
      <c r="HF79" s="265">
        <v>0</v>
      </c>
      <c r="HG79" s="265">
        <v>0</v>
      </c>
      <c r="HH79" s="265">
        <v>0</v>
      </c>
      <c r="HI79" s="265"/>
      <c r="HJ79" s="265"/>
      <c r="HK79" s="265"/>
      <c r="HL79" s="265"/>
      <c r="HM79" s="265"/>
      <c r="HN79" s="265"/>
      <c r="HO79" s="265"/>
      <c r="HP79" s="265"/>
      <c r="HQ79" s="265"/>
      <c r="HR79" s="265"/>
      <c r="HS79" s="265"/>
      <c r="HT79" s="368"/>
      <c r="HU79" s="363">
        <f t="shared" si="142"/>
        <v>0</v>
      </c>
    </row>
    <row r="80" spans="1:229" ht="15.75" thickBot="1" x14ac:dyDescent="0.3">
      <c r="A80" s="29">
        <v>7</v>
      </c>
      <c r="B80" s="474"/>
      <c r="C80" s="23" t="s">
        <v>7</v>
      </c>
      <c r="D80" s="29" t="s">
        <v>19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24">
        <f t="shared" si="141"/>
        <v>0</v>
      </c>
      <c r="N80" s="239"/>
      <c r="O80" s="7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62"/>
      <c r="AR80" s="7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3"/>
      <c r="BU80" s="13"/>
      <c r="BV80" s="13"/>
      <c r="BW80" s="162"/>
      <c r="BX80" s="68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265"/>
      <c r="CO80" s="269"/>
      <c r="CP80" s="269"/>
      <c r="CQ80" s="269"/>
      <c r="CR80" s="269"/>
      <c r="CS80" s="269"/>
      <c r="CT80" s="269"/>
      <c r="CU80" s="269"/>
      <c r="CV80" s="269"/>
      <c r="CW80" s="269"/>
      <c r="CX80" s="269"/>
      <c r="CY80" s="269"/>
      <c r="CZ80" s="265"/>
      <c r="DA80" s="269"/>
      <c r="DB80" s="73"/>
      <c r="DC80" s="13"/>
      <c r="DD80" s="13"/>
      <c r="DE80" s="13"/>
      <c r="DF80" s="13"/>
      <c r="DG80" s="13"/>
      <c r="DH80" s="265"/>
      <c r="DI80" s="265"/>
      <c r="DJ80" s="265"/>
      <c r="DK80" s="265"/>
      <c r="DL80" s="265"/>
      <c r="DM80" s="265"/>
      <c r="DN80" s="265"/>
      <c r="DO80" s="265"/>
      <c r="DP80" s="265"/>
      <c r="DQ80" s="265"/>
      <c r="DR80" s="265"/>
      <c r="DS80" s="265"/>
      <c r="DT80" s="265"/>
      <c r="DU80" s="265"/>
      <c r="DV80" s="265"/>
      <c r="DW80" s="265"/>
      <c r="DX80" s="265"/>
      <c r="DY80" s="265"/>
      <c r="DZ80" s="265"/>
      <c r="EA80" s="265"/>
      <c r="EB80" s="265"/>
      <c r="EC80" s="265"/>
      <c r="ED80" s="265"/>
      <c r="EE80" s="265"/>
      <c r="EF80" s="269"/>
      <c r="EG80" s="278"/>
      <c r="EH80" s="269"/>
      <c r="EI80" s="265"/>
      <c r="EJ80" s="265"/>
      <c r="EK80" s="265"/>
      <c r="EL80" s="265"/>
      <c r="EM80" s="265"/>
      <c r="EN80" s="265"/>
      <c r="EO80" s="265"/>
      <c r="EP80" s="265"/>
      <c r="EQ80" s="265"/>
      <c r="ER80" s="265"/>
      <c r="ES80" s="265"/>
      <c r="ET80" s="265"/>
      <c r="EU80" s="265"/>
      <c r="EV80" s="265"/>
      <c r="EW80" s="265"/>
      <c r="EX80" s="265"/>
      <c r="EY80" s="265"/>
      <c r="EZ80" s="265"/>
      <c r="FA80" s="265"/>
      <c r="FB80" s="265"/>
      <c r="FC80" s="265"/>
      <c r="FD80" s="265"/>
      <c r="FE80" s="265"/>
      <c r="FF80" s="265"/>
      <c r="FG80" s="265"/>
      <c r="FH80" s="265"/>
      <c r="FI80" s="265"/>
      <c r="FJ80" s="269"/>
      <c r="FK80" s="278"/>
      <c r="FL80" s="265"/>
      <c r="FM80" s="265"/>
      <c r="FN80" s="265"/>
      <c r="FO80" s="265"/>
      <c r="FP80" s="265"/>
      <c r="FQ80" s="265"/>
      <c r="FR80" s="265"/>
      <c r="FS80" s="265"/>
      <c r="FT80" s="265"/>
      <c r="FU80" s="265"/>
      <c r="FV80" s="265"/>
      <c r="FW80" s="265"/>
      <c r="FX80" s="265"/>
      <c r="FY80" s="265"/>
      <c r="FZ80" s="265"/>
      <c r="GA80" s="265"/>
      <c r="GB80" s="265"/>
      <c r="GC80" s="265"/>
      <c r="GD80" s="265"/>
      <c r="GE80" s="265"/>
      <c r="GF80" s="265"/>
      <c r="GG80" s="265"/>
      <c r="GH80" s="265"/>
      <c r="GI80" s="265"/>
      <c r="GJ80" s="265"/>
      <c r="GK80" s="265"/>
      <c r="GL80" s="265"/>
      <c r="GM80" s="265"/>
      <c r="GN80" s="265"/>
      <c r="GO80" s="269"/>
      <c r="GP80" s="278"/>
      <c r="GQ80" s="265"/>
      <c r="GR80" s="265"/>
      <c r="GS80" s="265"/>
      <c r="GT80" s="265"/>
      <c r="GU80" s="265"/>
      <c r="GV80" s="265"/>
      <c r="GW80" s="265"/>
      <c r="GX80" s="265"/>
      <c r="GY80" s="265"/>
      <c r="GZ80" s="265"/>
      <c r="HA80" s="265"/>
      <c r="HB80" s="265"/>
      <c r="HC80" s="265"/>
      <c r="HD80" s="265"/>
      <c r="HE80" s="265"/>
      <c r="HF80" s="265">
        <v>0</v>
      </c>
      <c r="HG80" s="265">
        <v>0</v>
      </c>
      <c r="HH80" s="265">
        <v>0</v>
      </c>
      <c r="HI80" s="265"/>
      <c r="HJ80" s="265"/>
      <c r="HK80" s="265"/>
      <c r="HL80" s="265"/>
      <c r="HM80" s="265"/>
      <c r="HN80" s="265"/>
      <c r="HO80" s="265"/>
      <c r="HP80" s="265"/>
      <c r="HQ80" s="265"/>
      <c r="HR80" s="265"/>
      <c r="HS80" s="265"/>
      <c r="HT80" s="368"/>
      <c r="HU80" s="363">
        <f t="shared" si="142"/>
        <v>0</v>
      </c>
    </row>
    <row r="81" spans="1:230" ht="15.75" thickBot="1" x14ac:dyDescent="0.3">
      <c r="A81" s="29">
        <v>8</v>
      </c>
      <c r="B81" s="474"/>
      <c r="C81" s="23" t="s">
        <v>8</v>
      </c>
      <c r="D81" s="29" t="s">
        <v>19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24">
        <f t="shared" si="141"/>
        <v>0</v>
      </c>
      <c r="N81" s="239"/>
      <c r="O81" s="7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62"/>
      <c r="AR81" s="7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3"/>
      <c r="BU81" s="13"/>
      <c r="BV81" s="13"/>
      <c r="BW81" s="162"/>
      <c r="BX81" s="68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265"/>
      <c r="CO81" s="269"/>
      <c r="CP81" s="269"/>
      <c r="CQ81" s="269"/>
      <c r="CR81" s="269"/>
      <c r="CS81" s="269"/>
      <c r="CT81" s="269"/>
      <c r="CU81" s="269"/>
      <c r="CV81" s="269"/>
      <c r="CW81" s="269"/>
      <c r="CX81" s="269"/>
      <c r="CY81" s="269"/>
      <c r="CZ81" s="265"/>
      <c r="DA81" s="269"/>
      <c r="DB81" s="73"/>
      <c r="DC81" s="13"/>
      <c r="DD81" s="13"/>
      <c r="DE81" s="13"/>
      <c r="DF81" s="13"/>
      <c r="DG81" s="13"/>
      <c r="DH81" s="265"/>
      <c r="DI81" s="265"/>
      <c r="DJ81" s="265"/>
      <c r="DK81" s="265"/>
      <c r="DL81" s="265"/>
      <c r="DM81" s="265"/>
      <c r="DN81" s="265"/>
      <c r="DO81" s="265"/>
      <c r="DP81" s="265"/>
      <c r="DQ81" s="265"/>
      <c r="DR81" s="265"/>
      <c r="DS81" s="265"/>
      <c r="DT81" s="265"/>
      <c r="DU81" s="265"/>
      <c r="DV81" s="265"/>
      <c r="DW81" s="265"/>
      <c r="DX81" s="265"/>
      <c r="DY81" s="265"/>
      <c r="DZ81" s="265"/>
      <c r="EA81" s="265"/>
      <c r="EB81" s="265"/>
      <c r="EC81" s="265"/>
      <c r="ED81" s="265"/>
      <c r="EE81" s="265"/>
      <c r="EF81" s="269"/>
      <c r="EG81" s="278"/>
      <c r="EH81" s="269"/>
      <c r="EI81" s="265"/>
      <c r="EJ81" s="265"/>
      <c r="EK81" s="265"/>
      <c r="EL81" s="265"/>
      <c r="EM81" s="265"/>
      <c r="EN81" s="265"/>
      <c r="EO81" s="265"/>
      <c r="EP81" s="265"/>
      <c r="EQ81" s="265"/>
      <c r="ER81" s="265"/>
      <c r="ES81" s="265"/>
      <c r="ET81" s="265"/>
      <c r="EU81" s="265"/>
      <c r="EV81" s="265"/>
      <c r="EW81" s="265"/>
      <c r="EX81" s="265"/>
      <c r="EY81" s="265"/>
      <c r="EZ81" s="265"/>
      <c r="FA81" s="265"/>
      <c r="FB81" s="265"/>
      <c r="FC81" s="265"/>
      <c r="FD81" s="265"/>
      <c r="FE81" s="265"/>
      <c r="FF81" s="265"/>
      <c r="FG81" s="265"/>
      <c r="FH81" s="265"/>
      <c r="FI81" s="265"/>
      <c r="FJ81" s="269"/>
      <c r="FK81" s="278"/>
      <c r="FL81" s="265"/>
      <c r="FM81" s="265"/>
      <c r="FN81" s="265"/>
      <c r="FO81" s="265"/>
      <c r="FP81" s="265"/>
      <c r="FQ81" s="265"/>
      <c r="FR81" s="265"/>
      <c r="FS81" s="265"/>
      <c r="FT81" s="265"/>
      <c r="FU81" s="265"/>
      <c r="FV81" s="265"/>
      <c r="FW81" s="265"/>
      <c r="FX81" s="265"/>
      <c r="FY81" s="265"/>
      <c r="FZ81" s="265"/>
      <c r="GA81" s="265"/>
      <c r="GB81" s="265"/>
      <c r="GC81" s="265"/>
      <c r="GD81" s="265"/>
      <c r="GE81" s="265"/>
      <c r="GF81" s="265"/>
      <c r="GG81" s="265"/>
      <c r="GH81" s="265"/>
      <c r="GI81" s="265"/>
      <c r="GJ81" s="265"/>
      <c r="GK81" s="265"/>
      <c r="GL81" s="265"/>
      <c r="GM81" s="265"/>
      <c r="GN81" s="265"/>
      <c r="GO81" s="269"/>
      <c r="GP81" s="278"/>
      <c r="GQ81" s="265"/>
      <c r="GR81" s="265"/>
      <c r="GS81" s="265"/>
      <c r="GT81" s="265"/>
      <c r="GU81" s="265"/>
      <c r="GV81" s="265"/>
      <c r="GW81" s="265"/>
      <c r="GX81" s="265"/>
      <c r="GY81" s="265"/>
      <c r="GZ81" s="265"/>
      <c r="HA81" s="265"/>
      <c r="HB81" s="265"/>
      <c r="HC81" s="265"/>
      <c r="HD81" s="265"/>
      <c r="HE81" s="265"/>
      <c r="HF81" s="265">
        <v>0</v>
      </c>
      <c r="HG81" s="265">
        <v>0</v>
      </c>
      <c r="HH81" s="265">
        <v>0</v>
      </c>
      <c r="HI81" s="265"/>
      <c r="HJ81" s="265"/>
      <c r="HK81" s="265"/>
      <c r="HL81" s="265"/>
      <c r="HM81" s="265"/>
      <c r="HN81" s="265"/>
      <c r="HO81" s="265"/>
      <c r="HP81" s="265"/>
      <c r="HQ81" s="265"/>
      <c r="HR81" s="265"/>
      <c r="HS81" s="265"/>
      <c r="HT81" s="368"/>
      <c r="HU81" s="363">
        <f t="shared" si="142"/>
        <v>0</v>
      </c>
    </row>
    <row r="82" spans="1:230" ht="15.75" thickBot="1" x14ac:dyDescent="0.3">
      <c r="A82" s="29">
        <v>9</v>
      </c>
      <c r="B82" s="474"/>
      <c r="C82" s="23" t="s">
        <v>9</v>
      </c>
      <c r="D82" s="29" t="s">
        <v>19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24">
        <f t="shared" si="141"/>
        <v>0</v>
      </c>
      <c r="N82" s="239"/>
      <c r="O82" s="7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62"/>
      <c r="AR82" s="7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3"/>
      <c r="BU82" s="13"/>
      <c r="BV82" s="13"/>
      <c r="BW82" s="162"/>
      <c r="BX82" s="68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265"/>
      <c r="CO82" s="269"/>
      <c r="CP82" s="269"/>
      <c r="CQ82" s="269"/>
      <c r="CR82" s="269"/>
      <c r="CS82" s="269"/>
      <c r="CT82" s="269"/>
      <c r="CU82" s="269"/>
      <c r="CV82" s="269"/>
      <c r="CW82" s="269"/>
      <c r="CX82" s="269"/>
      <c r="CY82" s="269"/>
      <c r="CZ82" s="265"/>
      <c r="DA82" s="269"/>
      <c r="DB82" s="73"/>
      <c r="DC82" s="13"/>
      <c r="DD82" s="13"/>
      <c r="DE82" s="13"/>
      <c r="DF82" s="13"/>
      <c r="DG82" s="13"/>
      <c r="DH82" s="265"/>
      <c r="DI82" s="265"/>
      <c r="DJ82" s="265"/>
      <c r="DK82" s="265"/>
      <c r="DL82" s="265"/>
      <c r="DM82" s="265"/>
      <c r="DN82" s="265"/>
      <c r="DO82" s="265"/>
      <c r="DP82" s="265"/>
      <c r="DQ82" s="265"/>
      <c r="DR82" s="265"/>
      <c r="DS82" s="265"/>
      <c r="DT82" s="265"/>
      <c r="DU82" s="265"/>
      <c r="DV82" s="265"/>
      <c r="DW82" s="265"/>
      <c r="DX82" s="265"/>
      <c r="DY82" s="265"/>
      <c r="DZ82" s="265"/>
      <c r="EA82" s="265"/>
      <c r="EB82" s="265"/>
      <c r="EC82" s="265"/>
      <c r="ED82" s="265"/>
      <c r="EE82" s="265"/>
      <c r="EF82" s="269"/>
      <c r="EG82" s="278"/>
      <c r="EH82" s="269"/>
      <c r="EI82" s="265"/>
      <c r="EJ82" s="265"/>
      <c r="EK82" s="265"/>
      <c r="EL82" s="265"/>
      <c r="EM82" s="265"/>
      <c r="EN82" s="265"/>
      <c r="EO82" s="265"/>
      <c r="EP82" s="265"/>
      <c r="EQ82" s="265"/>
      <c r="ER82" s="265"/>
      <c r="ES82" s="265"/>
      <c r="ET82" s="265"/>
      <c r="EU82" s="265"/>
      <c r="EV82" s="265"/>
      <c r="EW82" s="265"/>
      <c r="EX82" s="265"/>
      <c r="EY82" s="265"/>
      <c r="EZ82" s="265"/>
      <c r="FA82" s="265"/>
      <c r="FB82" s="265"/>
      <c r="FC82" s="265"/>
      <c r="FD82" s="265"/>
      <c r="FE82" s="265"/>
      <c r="FF82" s="265"/>
      <c r="FG82" s="265"/>
      <c r="FH82" s="265"/>
      <c r="FI82" s="265"/>
      <c r="FJ82" s="269"/>
      <c r="FK82" s="278"/>
      <c r="FL82" s="265"/>
      <c r="FM82" s="265"/>
      <c r="FN82" s="265"/>
      <c r="FO82" s="265"/>
      <c r="FP82" s="265"/>
      <c r="FQ82" s="265"/>
      <c r="FR82" s="265"/>
      <c r="FS82" s="265"/>
      <c r="FT82" s="265"/>
      <c r="FU82" s="265"/>
      <c r="FV82" s="265"/>
      <c r="FW82" s="265"/>
      <c r="FX82" s="265"/>
      <c r="FY82" s="265"/>
      <c r="FZ82" s="265"/>
      <c r="GA82" s="265"/>
      <c r="GB82" s="265"/>
      <c r="GC82" s="265"/>
      <c r="GD82" s="265"/>
      <c r="GE82" s="265"/>
      <c r="GF82" s="265"/>
      <c r="GG82" s="265"/>
      <c r="GH82" s="265"/>
      <c r="GI82" s="265"/>
      <c r="GJ82" s="265"/>
      <c r="GK82" s="265"/>
      <c r="GL82" s="265"/>
      <c r="GM82" s="265"/>
      <c r="GN82" s="265"/>
      <c r="GO82" s="269"/>
      <c r="GP82" s="278"/>
      <c r="GQ82" s="265"/>
      <c r="GR82" s="265"/>
      <c r="GS82" s="265"/>
      <c r="GT82" s="265"/>
      <c r="GU82" s="265"/>
      <c r="GV82" s="265"/>
      <c r="GW82" s="265"/>
      <c r="GX82" s="265"/>
      <c r="GY82" s="265"/>
      <c r="GZ82" s="265"/>
      <c r="HA82" s="265"/>
      <c r="HB82" s="265"/>
      <c r="HC82" s="265"/>
      <c r="HD82" s="265"/>
      <c r="HE82" s="265"/>
      <c r="HF82" s="265">
        <v>0</v>
      </c>
      <c r="HG82" s="265">
        <v>0</v>
      </c>
      <c r="HH82" s="265">
        <v>0</v>
      </c>
      <c r="HI82" s="265"/>
      <c r="HJ82" s="265"/>
      <c r="HK82" s="265"/>
      <c r="HL82" s="265"/>
      <c r="HM82" s="265"/>
      <c r="HN82" s="265"/>
      <c r="HO82" s="265"/>
      <c r="HP82" s="265"/>
      <c r="HQ82" s="265"/>
      <c r="HR82" s="265"/>
      <c r="HS82" s="265"/>
      <c r="HT82" s="368"/>
      <c r="HU82" s="363">
        <f t="shared" si="142"/>
        <v>0</v>
      </c>
    </row>
    <row r="83" spans="1:230" ht="15.75" thickBot="1" x14ac:dyDescent="0.3">
      <c r="A83" s="29">
        <v>10</v>
      </c>
      <c r="B83" s="474"/>
      <c r="C83" s="23" t="s">
        <v>10</v>
      </c>
      <c r="D83" s="29" t="s">
        <v>19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24">
        <f t="shared" si="141"/>
        <v>0</v>
      </c>
      <c r="N83" s="239"/>
      <c r="O83" s="7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62"/>
      <c r="AR83" s="7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3"/>
      <c r="BU83" s="13"/>
      <c r="BV83" s="13"/>
      <c r="BW83" s="162"/>
      <c r="BX83" s="68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265"/>
      <c r="CO83" s="269"/>
      <c r="CP83" s="269"/>
      <c r="CQ83" s="269"/>
      <c r="CR83" s="269"/>
      <c r="CS83" s="269"/>
      <c r="CT83" s="269"/>
      <c r="CU83" s="269"/>
      <c r="CV83" s="269"/>
      <c r="CW83" s="269"/>
      <c r="CX83" s="269"/>
      <c r="CY83" s="269"/>
      <c r="CZ83" s="265"/>
      <c r="DA83" s="269"/>
      <c r="DB83" s="73"/>
      <c r="DC83" s="13"/>
      <c r="DD83" s="13"/>
      <c r="DE83" s="13"/>
      <c r="DF83" s="13"/>
      <c r="DG83" s="13"/>
      <c r="DH83" s="265"/>
      <c r="DI83" s="265"/>
      <c r="DJ83" s="265"/>
      <c r="DK83" s="265"/>
      <c r="DL83" s="265"/>
      <c r="DM83" s="265"/>
      <c r="DN83" s="265"/>
      <c r="DO83" s="265"/>
      <c r="DP83" s="265"/>
      <c r="DQ83" s="265"/>
      <c r="DR83" s="265"/>
      <c r="DS83" s="265"/>
      <c r="DT83" s="265"/>
      <c r="DU83" s="265"/>
      <c r="DV83" s="265"/>
      <c r="DW83" s="265"/>
      <c r="DX83" s="265"/>
      <c r="DY83" s="265"/>
      <c r="DZ83" s="265"/>
      <c r="EA83" s="265"/>
      <c r="EB83" s="265"/>
      <c r="EC83" s="265"/>
      <c r="ED83" s="265"/>
      <c r="EE83" s="265"/>
      <c r="EF83" s="269"/>
      <c r="EG83" s="278"/>
      <c r="EH83" s="269"/>
      <c r="EI83" s="265"/>
      <c r="EJ83" s="265"/>
      <c r="EK83" s="265"/>
      <c r="EL83" s="265"/>
      <c r="EM83" s="265"/>
      <c r="EN83" s="265"/>
      <c r="EO83" s="265"/>
      <c r="EP83" s="265"/>
      <c r="EQ83" s="265"/>
      <c r="ER83" s="265"/>
      <c r="ES83" s="265"/>
      <c r="ET83" s="265"/>
      <c r="EU83" s="265"/>
      <c r="EV83" s="265"/>
      <c r="EW83" s="265"/>
      <c r="EX83" s="265"/>
      <c r="EY83" s="265"/>
      <c r="EZ83" s="265"/>
      <c r="FA83" s="265"/>
      <c r="FB83" s="265"/>
      <c r="FC83" s="265"/>
      <c r="FD83" s="265"/>
      <c r="FE83" s="265"/>
      <c r="FF83" s="265"/>
      <c r="FG83" s="265"/>
      <c r="FH83" s="265"/>
      <c r="FI83" s="265"/>
      <c r="FJ83" s="269"/>
      <c r="FK83" s="278"/>
      <c r="FL83" s="265"/>
      <c r="FM83" s="265"/>
      <c r="FN83" s="265"/>
      <c r="FO83" s="265"/>
      <c r="FP83" s="265"/>
      <c r="FQ83" s="265"/>
      <c r="FR83" s="265"/>
      <c r="FS83" s="265"/>
      <c r="FT83" s="265"/>
      <c r="FU83" s="265"/>
      <c r="FV83" s="265"/>
      <c r="FW83" s="265"/>
      <c r="FX83" s="265"/>
      <c r="FY83" s="265"/>
      <c r="FZ83" s="265"/>
      <c r="GA83" s="265"/>
      <c r="GB83" s="265"/>
      <c r="GC83" s="265"/>
      <c r="GD83" s="265"/>
      <c r="GE83" s="265"/>
      <c r="GF83" s="265"/>
      <c r="GG83" s="265"/>
      <c r="GH83" s="265"/>
      <c r="GI83" s="265"/>
      <c r="GJ83" s="265"/>
      <c r="GK83" s="265"/>
      <c r="GL83" s="265"/>
      <c r="GM83" s="265"/>
      <c r="GN83" s="265"/>
      <c r="GO83" s="269"/>
      <c r="GP83" s="278"/>
      <c r="GQ83" s="265"/>
      <c r="GR83" s="265"/>
      <c r="GS83" s="265"/>
      <c r="GT83" s="265"/>
      <c r="GU83" s="265"/>
      <c r="GV83" s="265"/>
      <c r="GW83" s="265"/>
      <c r="GX83" s="265"/>
      <c r="GY83" s="265"/>
      <c r="GZ83" s="265"/>
      <c r="HA83" s="265"/>
      <c r="HB83" s="265"/>
      <c r="HC83" s="265"/>
      <c r="HD83" s="265"/>
      <c r="HE83" s="265"/>
      <c r="HF83" s="265">
        <v>0</v>
      </c>
      <c r="HG83" s="265">
        <v>0</v>
      </c>
      <c r="HH83" s="265">
        <v>0</v>
      </c>
      <c r="HI83" s="265"/>
      <c r="HJ83" s="265"/>
      <c r="HK83" s="265"/>
      <c r="HL83" s="265"/>
      <c r="HM83" s="265"/>
      <c r="HN83" s="265"/>
      <c r="HO83" s="265"/>
      <c r="HP83" s="265"/>
      <c r="HQ83" s="265"/>
      <c r="HR83" s="265"/>
      <c r="HS83" s="265"/>
      <c r="HT83" s="368"/>
      <c r="HU83" s="363">
        <f t="shared" si="142"/>
        <v>0</v>
      </c>
    </row>
    <row r="84" spans="1:230" ht="15.75" thickBot="1" x14ac:dyDescent="0.3">
      <c r="A84" s="29">
        <v>11</v>
      </c>
      <c r="B84" s="475"/>
      <c r="C84" s="23" t="s">
        <v>11</v>
      </c>
      <c r="D84" s="29" t="s">
        <v>19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24">
        <f t="shared" si="141"/>
        <v>0</v>
      </c>
      <c r="N84" s="239"/>
      <c r="O84" s="7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62"/>
      <c r="AR84" s="7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3"/>
      <c r="BU84" s="13"/>
      <c r="BV84" s="13"/>
      <c r="BW84" s="162"/>
      <c r="BX84" s="68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265"/>
      <c r="CO84" s="269"/>
      <c r="CP84" s="269"/>
      <c r="CQ84" s="269"/>
      <c r="CR84" s="269"/>
      <c r="CS84" s="269"/>
      <c r="CT84" s="269"/>
      <c r="CU84" s="269"/>
      <c r="CV84" s="269"/>
      <c r="CW84" s="269"/>
      <c r="CX84" s="269"/>
      <c r="CY84" s="269"/>
      <c r="CZ84" s="265"/>
      <c r="DA84" s="269"/>
      <c r="DB84" s="73"/>
      <c r="DC84" s="13"/>
      <c r="DD84" s="13"/>
      <c r="DE84" s="13"/>
      <c r="DF84" s="13"/>
      <c r="DG84" s="13"/>
      <c r="DH84" s="265"/>
      <c r="DI84" s="265"/>
      <c r="DJ84" s="265"/>
      <c r="DK84" s="265"/>
      <c r="DL84" s="265"/>
      <c r="DM84" s="265"/>
      <c r="DN84" s="265"/>
      <c r="DO84" s="265"/>
      <c r="DP84" s="265"/>
      <c r="DQ84" s="265"/>
      <c r="DR84" s="265"/>
      <c r="DS84" s="265"/>
      <c r="DT84" s="265"/>
      <c r="DU84" s="265"/>
      <c r="DV84" s="265"/>
      <c r="DW84" s="265"/>
      <c r="DX84" s="265"/>
      <c r="DY84" s="265"/>
      <c r="DZ84" s="265"/>
      <c r="EA84" s="265"/>
      <c r="EB84" s="265"/>
      <c r="EC84" s="265"/>
      <c r="ED84" s="265"/>
      <c r="EE84" s="265"/>
      <c r="EF84" s="269"/>
      <c r="EG84" s="278"/>
      <c r="EH84" s="269"/>
      <c r="EI84" s="265"/>
      <c r="EJ84" s="265"/>
      <c r="EK84" s="265"/>
      <c r="EL84" s="265"/>
      <c r="EM84" s="265"/>
      <c r="EN84" s="265"/>
      <c r="EO84" s="265"/>
      <c r="EP84" s="265"/>
      <c r="EQ84" s="265"/>
      <c r="ER84" s="265"/>
      <c r="ES84" s="265"/>
      <c r="ET84" s="265"/>
      <c r="EU84" s="265"/>
      <c r="EV84" s="265"/>
      <c r="EW84" s="265"/>
      <c r="EX84" s="265"/>
      <c r="EY84" s="265"/>
      <c r="EZ84" s="265"/>
      <c r="FA84" s="265"/>
      <c r="FB84" s="265"/>
      <c r="FC84" s="265"/>
      <c r="FD84" s="265"/>
      <c r="FE84" s="265"/>
      <c r="FF84" s="265"/>
      <c r="FG84" s="265"/>
      <c r="FH84" s="265"/>
      <c r="FI84" s="265"/>
      <c r="FJ84" s="269"/>
      <c r="FK84" s="278"/>
      <c r="FL84" s="265"/>
      <c r="FM84" s="265"/>
      <c r="FN84" s="265"/>
      <c r="FO84" s="265"/>
      <c r="FP84" s="265"/>
      <c r="FQ84" s="265"/>
      <c r="FR84" s="265"/>
      <c r="FS84" s="265"/>
      <c r="FT84" s="265"/>
      <c r="FU84" s="265"/>
      <c r="FV84" s="265"/>
      <c r="FW84" s="265"/>
      <c r="FX84" s="265"/>
      <c r="FY84" s="265"/>
      <c r="FZ84" s="265"/>
      <c r="GA84" s="265"/>
      <c r="GB84" s="265"/>
      <c r="GC84" s="265"/>
      <c r="GD84" s="265"/>
      <c r="GE84" s="265"/>
      <c r="GF84" s="265"/>
      <c r="GG84" s="265"/>
      <c r="GH84" s="265"/>
      <c r="GI84" s="265"/>
      <c r="GJ84" s="265"/>
      <c r="GK84" s="265"/>
      <c r="GL84" s="265"/>
      <c r="GM84" s="265"/>
      <c r="GN84" s="265"/>
      <c r="GO84" s="269"/>
      <c r="GP84" s="278"/>
      <c r="GQ84" s="265"/>
      <c r="GR84" s="265"/>
      <c r="GS84" s="265"/>
      <c r="GT84" s="265"/>
      <c r="GU84" s="265"/>
      <c r="GV84" s="265"/>
      <c r="GW84" s="265"/>
      <c r="GX84" s="265"/>
      <c r="GY84" s="265"/>
      <c r="GZ84" s="265"/>
      <c r="HA84" s="265"/>
      <c r="HB84" s="265"/>
      <c r="HC84" s="265"/>
      <c r="HD84" s="265"/>
      <c r="HE84" s="265"/>
      <c r="HF84" s="265">
        <v>0</v>
      </c>
      <c r="HG84" s="265">
        <v>0</v>
      </c>
      <c r="HH84" s="265">
        <v>0</v>
      </c>
      <c r="HI84" s="265"/>
      <c r="HJ84" s="265"/>
      <c r="HK84" s="265"/>
      <c r="HL84" s="265"/>
      <c r="HM84" s="265"/>
      <c r="HN84" s="265"/>
      <c r="HO84" s="265"/>
      <c r="HP84" s="265"/>
      <c r="HQ84" s="265"/>
      <c r="HR84" s="265"/>
      <c r="HS84" s="265"/>
      <c r="HT84" s="368"/>
      <c r="HU84" s="363">
        <f t="shared" si="142"/>
        <v>0</v>
      </c>
    </row>
    <row r="85" spans="1:230" ht="16.5" thickBot="1" x14ac:dyDescent="0.3">
      <c r="A85" s="409"/>
      <c r="B85" s="258"/>
      <c r="C85" s="24" t="s">
        <v>12</v>
      </c>
      <c r="D85" s="79" t="s">
        <v>19</v>
      </c>
      <c r="E85" s="20">
        <f>SUM(E74:E84)</f>
        <v>0</v>
      </c>
      <c r="F85" s="20">
        <f>SUM(F74:F84)</f>
        <v>0</v>
      </c>
      <c r="G85" s="20">
        <f t="shared" ref="G85:L85" si="143">SUM(G74:G84)</f>
        <v>0</v>
      </c>
      <c r="H85" s="20">
        <f t="shared" si="143"/>
        <v>0</v>
      </c>
      <c r="I85" s="20">
        <f t="shared" si="143"/>
        <v>0</v>
      </c>
      <c r="J85" s="20">
        <f t="shared" si="143"/>
        <v>0</v>
      </c>
      <c r="K85" s="20">
        <f t="shared" si="143"/>
        <v>0</v>
      </c>
      <c r="L85" s="20">
        <f t="shared" si="143"/>
        <v>0</v>
      </c>
      <c r="M85" s="125">
        <f>SUM(M74:M84)</f>
        <v>0</v>
      </c>
      <c r="N85" s="192"/>
      <c r="O85" s="83">
        <f t="shared" ref="O85:AP85" si="144">SUM(O74:O84)</f>
        <v>0</v>
      </c>
      <c r="P85" s="20">
        <f t="shared" si="144"/>
        <v>0</v>
      </c>
      <c r="Q85" s="20">
        <f t="shared" si="144"/>
        <v>0</v>
      </c>
      <c r="R85" s="20">
        <f t="shared" si="144"/>
        <v>0</v>
      </c>
      <c r="S85" s="20">
        <f t="shared" si="144"/>
        <v>0</v>
      </c>
      <c r="T85" s="20">
        <f t="shared" si="144"/>
        <v>0</v>
      </c>
      <c r="U85" s="20">
        <f t="shared" si="144"/>
        <v>0</v>
      </c>
      <c r="V85" s="20">
        <f t="shared" si="144"/>
        <v>0</v>
      </c>
      <c r="W85" s="20">
        <f t="shared" si="144"/>
        <v>0</v>
      </c>
      <c r="X85" s="20">
        <f t="shared" si="144"/>
        <v>0</v>
      </c>
      <c r="Y85" s="20">
        <f t="shared" si="144"/>
        <v>0</v>
      </c>
      <c r="Z85" s="20">
        <f t="shared" si="144"/>
        <v>0</v>
      </c>
      <c r="AA85" s="20">
        <f t="shared" si="144"/>
        <v>0</v>
      </c>
      <c r="AB85" s="20">
        <f t="shared" si="144"/>
        <v>0</v>
      </c>
      <c r="AC85" s="20">
        <f t="shared" si="144"/>
        <v>0</v>
      </c>
      <c r="AD85" s="20">
        <f t="shared" si="144"/>
        <v>0</v>
      </c>
      <c r="AE85" s="20">
        <f t="shared" si="144"/>
        <v>0</v>
      </c>
      <c r="AF85" s="20">
        <f t="shared" si="144"/>
        <v>0</v>
      </c>
      <c r="AG85" s="20">
        <f t="shared" si="144"/>
        <v>0</v>
      </c>
      <c r="AH85" s="20">
        <f t="shared" si="144"/>
        <v>0</v>
      </c>
      <c r="AI85" s="20">
        <f t="shared" si="144"/>
        <v>0</v>
      </c>
      <c r="AJ85" s="20">
        <f t="shared" si="144"/>
        <v>0</v>
      </c>
      <c r="AK85" s="20">
        <f t="shared" si="144"/>
        <v>0</v>
      </c>
      <c r="AL85" s="20">
        <f t="shared" si="144"/>
        <v>0</v>
      </c>
      <c r="AM85" s="20">
        <f t="shared" si="144"/>
        <v>0</v>
      </c>
      <c r="AN85" s="20">
        <f t="shared" si="144"/>
        <v>0</v>
      </c>
      <c r="AO85" s="20">
        <f t="shared" si="144"/>
        <v>0</v>
      </c>
      <c r="AP85" s="20">
        <f t="shared" si="144"/>
        <v>0</v>
      </c>
      <c r="AQ85" s="177"/>
      <c r="AR85" s="83">
        <f t="shared" ref="AR85:BB85" si="145">SUM(AR74:AR84)</f>
        <v>0</v>
      </c>
      <c r="AS85" s="20">
        <f t="shared" si="145"/>
        <v>0</v>
      </c>
      <c r="AT85" s="20">
        <f t="shared" si="145"/>
        <v>0</v>
      </c>
      <c r="AU85" s="20">
        <f t="shared" si="145"/>
        <v>0</v>
      </c>
      <c r="AV85" s="20">
        <f t="shared" si="145"/>
        <v>0</v>
      </c>
      <c r="AW85" s="20">
        <f t="shared" si="145"/>
        <v>0</v>
      </c>
      <c r="AX85" s="20">
        <f t="shared" si="145"/>
        <v>0</v>
      </c>
      <c r="AY85" s="20">
        <f t="shared" si="145"/>
        <v>0</v>
      </c>
      <c r="AZ85" s="20">
        <f t="shared" si="145"/>
        <v>0</v>
      </c>
      <c r="BA85" s="20">
        <f t="shared" si="145"/>
        <v>0</v>
      </c>
      <c r="BB85" s="20">
        <f t="shared" si="145"/>
        <v>0</v>
      </c>
      <c r="BC85" s="20">
        <f>SUM(BC74:BC84)</f>
        <v>0</v>
      </c>
      <c r="BD85" s="20">
        <f>SUM(BD74:BD84)</f>
        <v>0</v>
      </c>
      <c r="BE85" s="20">
        <f>SUM(BE74:BE84)</f>
        <v>0</v>
      </c>
      <c r="BF85" s="20">
        <f>SUM(BF74:BF84)</f>
        <v>0</v>
      </c>
      <c r="BG85" s="20">
        <f t="shared" ref="BG85:BV85" si="146">SUM(BG74:BG84)</f>
        <v>0</v>
      </c>
      <c r="BH85" s="20">
        <f t="shared" si="146"/>
        <v>0</v>
      </c>
      <c r="BI85" s="20">
        <f t="shared" si="146"/>
        <v>0</v>
      </c>
      <c r="BJ85" s="20">
        <f t="shared" si="146"/>
        <v>0</v>
      </c>
      <c r="BK85" s="20">
        <f t="shared" si="146"/>
        <v>0</v>
      </c>
      <c r="BL85" s="20">
        <f t="shared" si="146"/>
        <v>0</v>
      </c>
      <c r="BM85" s="20">
        <f t="shared" si="146"/>
        <v>0</v>
      </c>
      <c r="BN85" s="20">
        <f t="shared" si="146"/>
        <v>0</v>
      </c>
      <c r="BO85" s="20">
        <f t="shared" si="146"/>
        <v>0</v>
      </c>
      <c r="BP85" s="20">
        <f t="shared" si="146"/>
        <v>0</v>
      </c>
      <c r="BQ85" s="20">
        <f t="shared" si="146"/>
        <v>0</v>
      </c>
      <c r="BR85" s="20">
        <f t="shared" si="146"/>
        <v>0</v>
      </c>
      <c r="BS85" s="20">
        <f t="shared" si="146"/>
        <v>0</v>
      </c>
      <c r="BT85" s="20">
        <f t="shared" si="146"/>
        <v>0</v>
      </c>
      <c r="BU85" s="20">
        <f t="shared" si="146"/>
        <v>0</v>
      </c>
      <c r="BV85" s="20">
        <f t="shared" si="146"/>
        <v>0</v>
      </c>
      <c r="BW85" s="177"/>
      <c r="BX85" s="83">
        <f t="shared" ref="BX85" si="147">SUM(BX74:BX84)</f>
        <v>0</v>
      </c>
      <c r="BY85" s="20">
        <f>SUM(BY74:BY84)</f>
        <v>0</v>
      </c>
      <c r="BZ85" s="20">
        <f t="shared" ref="BZ85:CJ85" si="148">SUM(BZ74:BZ84)</f>
        <v>0</v>
      </c>
      <c r="CA85" s="20">
        <f t="shared" si="148"/>
        <v>0</v>
      </c>
      <c r="CB85" s="20">
        <f t="shared" si="148"/>
        <v>0</v>
      </c>
      <c r="CC85" s="20">
        <f t="shared" si="148"/>
        <v>0</v>
      </c>
      <c r="CD85" s="20">
        <f t="shared" si="148"/>
        <v>0</v>
      </c>
      <c r="CE85" s="20">
        <f t="shared" si="148"/>
        <v>0</v>
      </c>
      <c r="CF85" s="20">
        <f t="shared" si="148"/>
        <v>0</v>
      </c>
      <c r="CG85" s="20">
        <f t="shared" si="148"/>
        <v>0</v>
      </c>
      <c r="CH85" s="20">
        <f t="shared" si="148"/>
        <v>0</v>
      </c>
      <c r="CI85" s="20">
        <f t="shared" si="148"/>
        <v>0</v>
      </c>
      <c r="CJ85" s="20">
        <f t="shared" si="148"/>
        <v>0</v>
      </c>
      <c r="CK85" s="20">
        <v>0</v>
      </c>
      <c r="CL85" s="20">
        <f t="shared" ref="CL85:DI85" si="149">SUM(CL74:CL84)</f>
        <v>0</v>
      </c>
      <c r="CM85" s="20">
        <f t="shared" si="149"/>
        <v>0</v>
      </c>
      <c r="CN85" s="20">
        <f t="shared" si="149"/>
        <v>0</v>
      </c>
      <c r="CO85" s="20">
        <f t="shared" si="149"/>
        <v>0</v>
      </c>
      <c r="CP85" s="20">
        <f t="shared" si="149"/>
        <v>0</v>
      </c>
      <c r="CQ85" s="20">
        <f t="shared" si="149"/>
        <v>0</v>
      </c>
      <c r="CR85" s="20">
        <f t="shared" si="149"/>
        <v>0</v>
      </c>
      <c r="CS85" s="20">
        <f t="shared" si="149"/>
        <v>0</v>
      </c>
      <c r="CT85" s="20">
        <f t="shared" si="149"/>
        <v>0</v>
      </c>
      <c r="CU85" s="20">
        <f t="shared" si="149"/>
        <v>0</v>
      </c>
      <c r="CV85" s="20">
        <f t="shared" si="149"/>
        <v>0</v>
      </c>
      <c r="CW85" s="20">
        <f t="shared" si="149"/>
        <v>0</v>
      </c>
      <c r="CX85" s="20">
        <f t="shared" si="149"/>
        <v>0</v>
      </c>
      <c r="CY85" s="20">
        <f t="shared" si="149"/>
        <v>0</v>
      </c>
      <c r="CZ85" s="20">
        <f t="shared" si="149"/>
        <v>0</v>
      </c>
      <c r="DA85" s="159">
        <f t="shared" si="149"/>
        <v>0</v>
      </c>
      <c r="DB85" s="83">
        <f t="shared" si="149"/>
        <v>0</v>
      </c>
      <c r="DC85" s="20">
        <f t="shared" si="149"/>
        <v>0</v>
      </c>
      <c r="DD85" s="20">
        <f t="shared" si="149"/>
        <v>0</v>
      </c>
      <c r="DE85" s="20">
        <f t="shared" si="149"/>
        <v>0</v>
      </c>
      <c r="DF85" s="20">
        <f t="shared" si="149"/>
        <v>0</v>
      </c>
      <c r="DG85" s="20">
        <f t="shared" si="149"/>
        <v>0</v>
      </c>
      <c r="DH85" s="20">
        <f t="shared" si="149"/>
        <v>0</v>
      </c>
      <c r="DI85" s="20">
        <f t="shared" si="149"/>
        <v>0</v>
      </c>
      <c r="DJ85" s="20">
        <f>SUM(DJ74:DJ84)</f>
        <v>0</v>
      </c>
      <c r="DK85" s="20">
        <f t="shared" ref="DK85:DW85" si="150">SUM(DK74:DK84)</f>
        <v>0</v>
      </c>
      <c r="DL85" s="20">
        <f t="shared" si="150"/>
        <v>0</v>
      </c>
      <c r="DM85" s="20">
        <f t="shared" si="150"/>
        <v>0</v>
      </c>
      <c r="DN85" s="20">
        <f t="shared" si="150"/>
        <v>0</v>
      </c>
      <c r="DO85" s="20">
        <f t="shared" si="150"/>
        <v>0</v>
      </c>
      <c r="DP85" s="20">
        <f t="shared" si="150"/>
        <v>0</v>
      </c>
      <c r="DQ85" s="20">
        <f t="shared" si="150"/>
        <v>0</v>
      </c>
      <c r="DR85" s="20">
        <f t="shared" si="150"/>
        <v>0</v>
      </c>
      <c r="DS85" s="20">
        <f t="shared" si="150"/>
        <v>0</v>
      </c>
      <c r="DT85" s="20">
        <f t="shared" si="150"/>
        <v>0</v>
      </c>
      <c r="DU85" s="20">
        <f t="shared" si="150"/>
        <v>0</v>
      </c>
      <c r="DV85" s="20">
        <f t="shared" si="150"/>
        <v>0</v>
      </c>
      <c r="DW85" s="20">
        <f t="shared" si="150"/>
        <v>0</v>
      </c>
      <c r="DX85" s="20"/>
      <c r="DY85" s="20"/>
      <c r="DZ85" s="20"/>
      <c r="EA85" s="20"/>
      <c r="EB85" s="20"/>
      <c r="EC85" s="20"/>
      <c r="ED85" s="20"/>
      <c r="EE85" s="20"/>
      <c r="EF85" s="159"/>
      <c r="EG85" s="159"/>
      <c r="EH85" s="159"/>
      <c r="EI85" s="159"/>
      <c r="EJ85" s="159"/>
      <c r="EK85" s="159"/>
      <c r="EL85" s="159"/>
      <c r="EM85" s="159"/>
      <c r="EN85" s="159"/>
      <c r="EO85" s="159"/>
      <c r="EP85" s="159"/>
      <c r="EQ85" s="159"/>
      <c r="ER85" s="159"/>
      <c r="ES85" s="159"/>
      <c r="ET85" s="159"/>
      <c r="EU85" s="159"/>
      <c r="EV85" s="159"/>
      <c r="EW85" s="159"/>
      <c r="EX85" s="159"/>
      <c r="EY85" s="159"/>
      <c r="EZ85" s="159"/>
      <c r="FA85" s="159"/>
      <c r="FB85" s="159"/>
      <c r="FC85" s="159"/>
      <c r="FD85" s="159"/>
      <c r="FE85" s="159"/>
      <c r="FF85" s="159"/>
      <c r="FG85" s="159"/>
      <c r="FH85" s="159"/>
      <c r="FI85" s="159"/>
      <c r="FJ85" s="159"/>
      <c r="FK85" s="371"/>
      <c r="FL85" s="159"/>
      <c r="FM85" s="159"/>
      <c r="FN85" s="159"/>
      <c r="FO85" s="159"/>
      <c r="FP85" s="159"/>
      <c r="FQ85" s="159"/>
      <c r="FR85" s="159"/>
      <c r="FS85" s="159"/>
      <c r="FT85" s="159"/>
      <c r="FU85" s="159"/>
      <c r="FV85" s="159"/>
      <c r="FW85" s="159"/>
      <c r="FX85" s="159"/>
      <c r="FY85" s="159"/>
      <c r="FZ85" s="159"/>
      <c r="GA85" s="159"/>
      <c r="GB85" s="159"/>
      <c r="GC85" s="159"/>
      <c r="GD85" s="159"/>
      <c r="GE85" s="159"/>
      <c r="GF85" s="159">
        <f t="shared" ref="GF85:HF85" si="151">SUM(GF74:GF84)</f>
        <v>0</v>
      </c>
      <c r="GG85" s="159">
        <f t="shared" si="151"/>
        <v>0</v>
      </c>
      <c r="GH85" s="159">
        <f t="shared" si="151"/>
        <v>0</v>
      </c>
      <c r="GI85" s="159">
        <f t="shared" si="151"/>
        <v>0</v>
      </c>
      <c r="GJ85" s="159">
        <f t="shared" si="151"/>
        <v>0</v>
      </c>
      <c r="GK85" s="159">
        <f t="shared" si="151"/>
        <v>0</v>
      </c>
      <c r="GL85" s="159">
        <f t="shared" si="151"/>
        <v>0</v>
      </c>
      <c r="GM85" s="159">
        <f t="shared" si="151"/>
        <v>0</v>
      </c>
      <c r="GN85" s="159">
        <f t="shared" si="151"/>
        <v>0</v>
      </c>
      <c r="GO85" s="159">
        <f t="shared" si="151"/>
        <v>0</v>
      </c>
      <c r="GP85" s="313">
        <f t="shared" si="151"/>
        <v>0</v>
      </c>
      <c r="GQ85" s="115">
        <f t="shared" si="151"/>
        <v>0</v>
      </c>
      <c r="GR85" s="310">
        <f t="shared" si="151"/>
        <v>0</v>
      </c>
      <c r="GS85" s="310">
        <f t="shared" si="151"/>
        <v>0</v>
      </c>
      <c r="GT85" s="310">
        <f t="shared" si="151"/>
        <v>0</v>
      </c>
      <c r="GU85" s="159">
        <f t="shared" si="151"/>
        <v>0</v>
      </c>
      <c r="GV85" s="159">
        <f t="shared" si="151"/>
        <v>0</v>
      </c>
      <c r="GW85" s="159">
        <f t="shared" si="151"/>
        <v>0</v>
      </c>
      <c r="GX85" s="159">
        <f t="shared" si="151"/>
        <v>0</v>
      </c>
      <c r="GY85" s="159">
        <f t="shared" si="151"/>
        <v>0</v>
      </c>
      <c r="GZ85" s="159">
        <f t="shared" si="151"/>
        <v>0</v>
      </c>
      <c r="HA85" s="159">
        <f t="shared" si="151"/>
        <v>0</v>
      </c>
      <c r="HB85" s="159">
        <f t="shared" si="151"/>
        <v>0</v>
      </c>
      <c r="HC85" s="159">
        <f t="shared" si="151"/>
        <v>0</v>
      </c>
      <c r="HD85" s="159">
        <f t="shared" si="151"/>
        <v>0</v>
      </c>
      <c r="HE85" s="159">
        <f t="shared" si="151"/>
        <v>0</v>
      </c>
      <c r="HF85" s="159">
        <f t="shared" si="151"/>
        <v>16</v>
      </c>
      <c r="HG85" s="159">
        <f t="shared" ref="HG85:HH85" si="152">SUM(HG74:HG84)</f>
        <v>0</v>
      </c>
      <c r="HH85" s="159">
        <f t="shared" si="152"/>
        <v>0</v>
      </c>
      <c r="HI85" s="115"/>
      <c r="HJ85" s="115"/>
      <c r="HK85" s="115"/>
      <c r="HL85" s="115"/>
      <c r="HM85" s="115"/>
      <c r="HN85" s="115"/>
      <c r="HO85" s="115"/>
      <c r="HP85" s="115"/>
      <c r="HQ85" s="115"/>
      <c r="HR85" s="115"/>
      <c r="HS85" s="115"/>
      <c r="HT85" s="421"/>
      <c r="HU85" s="364">
        <f>SUM(HU74:HU84)</f>
        <v>16</v>
      </c>
    </row>
    <row r="86" spans="1:230" ht="17.25" thickBot="1" x14ac:dyDescent="0.3">
      <c r="A86" s="497" t="s">
        <v>29</v>
      </c>
      <c r="B86" s="498"/>
      <c r="C86" s="498"/>
      <c r="D86" s="81" t="s">
        <v>30</v>
      </c>
      <c r="E86" s="76">
        <v>90</v>
      </c>
      <c r="F86" s="42">
        <v>0</v>
      </c>
      <c r="G86" s="42">
        <v>10</v>
      </c>
      <c r="H86" s="42">
        <v>63</v>
      </c>
      <c r="I86" s="42">
        <v>75</v>
      </c>
      <c r="J86" s="42">
        <v>51</v>
      </c>
      <c r="K86" s="42">
        <v>0</v>
      </c>
      <c r="L86" s="42">
        <v>26</v>
      </c>
      <c r="M86" s="126">
        <f>SUM(E86:L86)</f>
        <v>315</v>
      </c>
      <c r="N86" s="144"/>
      <c r="O86" s="240">
        <v>20</v>
      </c>
      <c r="P86" s="241">
        <v>12</v>
      </c>
      <c r="Q86" s="241">
        <v>16</v>
      </c>
      <c r="R86" s="241">
        <v>50</v>
      </c>
      <c r="S86" s="241">
        <v>13</v>
      </c>
      <c r="T86" s="241">
        <v>0</v>
      </c>
      <c r="U86" s="241">
        <v>82</v>
      </c>
      <c r="V86" s="241">
        <v>142</v>
      </c>
      <c r="W86" s="241">
        <v>44</v>
      </c>
      <c r="X86" s="241">
        <v>31</v>
      </c>
      <c r="Y86" s="241">
        <v>69</v>
      </c>
      <c r="Z86" s="241">
        <v>6</v>
      </c>
      <c r="AA86" s="241">
        <v>0</v>
      </c>
      <c r="AB86" s="241">
        <v>37</v>
      </c>
      <c r="AC86" s="241">
        <v>25</v>
      </c>
      <c r="AD86" s="241">
        <v>22</v>
      </c>
      <c r="AE86" s="241">
        <v>27</v>
      </c>
      <c r="AF86" s="241">
        <v>0</v>
      </c>
      <c r="AG86" s="241">
        <v>197</v>
      </c>
      <c r="AH86" s="241">
        <v>0</v>
      </c>
      <c r="AI86" s="241">
        <v>17</v>
      </c>
      <c r="AJ86" s="241">
        <v>0</v>
      </c>
      <c r="AK86" s="241">
        <v>41</v>
      </c>
      <c r="AL86" s="241">
        <v>52</v>
      </c>
      <c r="AM86" s="241">
        <v>62</v>
      </c>
      <c r="AN86" s="241">
        <v>121</v>
      </c>
      <c r="AO86" s="241">
        <v>0</v>
      </c>
      <c r="AP86" s="242">
        <v>34</v>
      </c>
      <c r="AQ86" s="243"/>
      <c r="AR86" s="244">
        <v>5</v>
      </c>
      <c r="AS86" s="241">
        <v>13</v>
      </c>
      <c r="AT86" s="241">
        <v>33</v>
      </c>
      <c r="AU86" s="241">
        <v>10</v>
      </c>
      <c r="AV86" s="241">
        <v>23</v>
      </c>
      <c r="AW86" s="241">
        <v>0</v>
      </c>
      <c r="AX86" s="241">
        <v>66</v>
      </c>
      <c r="AY86" s="241">
        <v>178</v>
      </c>
      <c r="AZ86" s="241">
        <v>0</v>
      </c>
      <c r="BA86" s="241">
        <v>39</v>
      </c>
      <c r="BB86" s="241">
        <v>95</v>
      </c>
      <c r="BC86" s="241">
        <v>62</v>
      </c>
      <c r="BD86" s="241">
        <v>0</v>
      </c>
      <c r="BE86" s="241">
        <v>17</v>
      </c>
      <c r="BF86" s="241">
        <v>78</v>
      </c>
      <c r="BG86" s="241">
        <v>12</v>
      </c>
      <c r="BH86" s="42">
        <v>55</v>
      </c>
      <c r="BI86" s="42">
        <v>60</v>
      </c>
      <c r="BJ86" s="42">
        <v>0</v>
      </c>
      <c r="BK86" s="42">
        <v>0</v>
      </c>
      <c r="BL86" s="42">
        <v>0</v>
      </c>
      <c r="BM86" s="42">
        <v>0</v>
      </c>
      <c r="BN86" s="42">
        <v>0</v>
      </c>
      <c r="BO86" s="42">
        <v>55</v>
      </c>
      <c r="BP86" s="42">
        <v>16</v>
      </c>
      <c r="BQ86" s="42">
        <v>16</v>
      </c>
      <c r="BR86" s="42">
        <v>0</v>
      </c>
      <c r="BS86" s="42">
        <v>55</v>
      </c>
      <c r="BT86" s="42">
        <v>8</v>
      </c>
      <c r="BU86" s="42">
        <v>138</v>
      </c>
      <c r="BV86" s="245">
        <v>48</v>
      </c>
      <c r="BW86" s="243"/>
      <c r="BX86" s="244">
        <v>125</v>
      </c>
      <c r="BY86" s="241">
        <v>69</v>
      </c>
      <c r="BZ86" s="241">
        <v>0</v>
      </c>
      <c r="CA86" s="241">
        <v>35</v>
      </c>
      <c r="CB86" s="241">
        <v>155</v>
      </c>
      <c r="CC86" s="241">
        <v>49</v>
      </c>
      <c r="CD86" s="241">
        <v>180</v>
      </c>
      <c r="CE86" s="241">
        <v>81</v>
      </c>
      <c r="CF86" s="241">
        <v>50</v>
      </c>
      <c r="CG86" s="241">
        <v>0</v>
      </c>
      <c r="CH86" s="241">
        <v>10</v>
      </c>
      <c r="CI86" s="241">
        <v>75</v>
      </c>
      <c r="CJ86" s="241">
        <v>36</v>
      </c>
      <c r="CK86" s="241">
        <v>0</v>
      </c>
      <c r="CL86" s="241">
        <v>125</v>
      </c>
      <c r="CM86" s="241">
        <v>145</v>
      </c>
      <c r="CN86" s="241">
        <v>0</v>
      </c>
      <c r="CO86" s="241">
        <v>115</v>
      </c>
      <c r="CP86" s="241">
        <v>99</v>
      </c>
      <c r="CQ86" s="241">
        <v>26</v>
      </c>
      <c r="CR86" s="241">
        <v>17</v>
      </c>
      <c r="CS86" s="241">
        <v>63</v>
      </c>
      <c r="CT86" s="241">
        <v>27</v>
      </c>
      <c r="CU86" s="241">
        <v>0</v>
      </c>
      <c r="CV86" s="241">
        <v>30</v>
      </c>
      <c r="CW86" s="241">
        <v>80</v>
      </c>
      <c r="CX86" s="241">
        <v>47</v>
      </c>
      <c r="CY86" s="241">
        <v>18</v>
      </c>
      <c r="CZ86" s="241">
        <v>19</v>
      </c>
      <c r="DA86" s="242">
        <v>113</v>
      </c>
      <c r="DB86" s="240">
        <v>0</v>
      </c>
      <c r="DC86" s="241">
        <v>59</v>
      </c>
      <c r="DD86" s="241">
        <v>51</v>
      </c>
      <c r="DE86" s="241">
        <v>141</v>
      </c>
      <c r="DF86" s="242">
        <v>32</v>
      </c>
      <c r="DG86" s="242">
        <v>58</v>
      </c>
      <c r="DH86" s="242">
        <v>37</v>
      </c>
      <c r="DI86" s="242">
        <v>0</v>
      </c>
      <c r="DJ86" s="242">
        <v>140</v>
      </c>
      <c r="DK86" s="242">
        <v>21</v>
      </c>
      <c r="DL86" s="242">
        <v>72</v>
      </c>
      <c r="DM86" s="242">
        <v>83</v>
      </c>
      <c r="DN86" s="242">
        <v>29</v>
      </c>
      <c r="DO86" s="242">
        <v>67.5</v>
      </c>
      <c r="DP86" s="242">
        <v>0</v>
      </c>
      <c r="DQ86" s="242">
        <v>135</v>
      </c>
      <c r="DR86" s="242">
        <v>23</v>
      </c>
      <c r="DS86" s="242">
        <v>36</v>
      </c>
      <c r="DT86" s="242">
        <v>100</v>
      </c>
      <c r="DU86" s="242">
        <v>30</v>
      </c>
      <c r="DV86" s="242">
        <v>8</v>
      </c>
      <c r="DW86" s="242">
        <v>0</v>
      </c>
      <c r="DX86" s="242">
        <v>132</v>
      </c>
      <c r="DY86" s="242">
        <v>104</v>
      </c>
      <c r="DZ86" s="242">
        <v>46</v>
      </c>
      <c r="EA86" s="242">
        <v>0</v>
      </c>
      <c r="EB86" s="242">
        <v>0</v>
      </c>
      <c r="EC86" s="242">
        <v>0</v>
      </c>
      <c r="ED86" s="242">
        <v>0</v>
      </c>
      <c r="EE86" s="242">
        <v>0</v>
      </c>
      <c r="EF86" s="242">
        <v>80</v>
      </c>
      <c r="EG86" s="242">
        <v>50</v>
      </c>
      <c r="EH86" s="242">
        <v>36</v>
      </c>
      <c r="EI86" s="242">
        <v>0</v>
      </c>
      <c r="EJ86" s="242">
        <v>34</v>
      </c>
      <c r="EK86" s="242">
        <v>0</v>
      </c>
      <c r="EL86" s="242">
        <v>28</v>
      </c>
      <c r="EM86" s="242">
        <v>62</v>
      </c>
      <c r="EN86" s="242">
        <v>153</v>
      </c>
      <c r="EO86" s="242">
        <v>72</v>
      </c>
      <c r="EP86" s="242">
        <v>37</v>
      </c>
      <c r="EQ86" s="242">
        <v>55</v>
      </c>
      <c r="ER86" s="242">
        <v>0</v>
      </c>
      <c r="ES86" s="242">
        <v>42</v>
      </c>
      <c r="ET86" s="242">
        <v>73</v>
      </c>
      <c r="EU86" s="242">
        <v>73</v>
      </c>
      <c r="EV86" s="242">
        <v>54</v>
      </c>
      <c r="EW86" s="242">
        <v>71</v>
      </c>
      <c r="EX86" s="242">
        <v>149</v>
      </c>
      <c r="EY86" s="242">
        <v>0</v>
      </c>
      <c r="EZ86" s="242">
        <v>96</v>
      </c>
      <c r="FA86" s="242">
        <v>47</v>
      </c>
      <c r="FB86" s="242">
        <v>61</v>
      </c>
      <c r="FC86" s="242">
        <v>92</v>
      </c>
      <c r="FD86" s="242">
        <v>79</v>
      </c>
      <c r="FE86" s="242">
        <v>32</v>
      </c>
      <c r="FF86" s="242">
        <v>0</v>
      </c>
      <c r="FG86" s="242">
        <v>123</v>
      </c>
      <c r="FH86" s="242">
        <v>93</v>
      </c>
      <c r="FI86" s="242">
        <v>28</v>
      </c>
      <c r="FJ86" s="242">
        <v>66</v>
      </c>
      <c r="FK86" s="242">
        <v>201</v>
      </c>
      <c r="FL86" s="242">
        <v>74</v>
      </c>
      <c r="FM86" s="242">
        <v>0</v>
      </c>
      <c r="FN86" s="242">
        <v>24</v>
      </c>
      <c r="FO86" s="242">
        <v>0</v>
      </c>
      <c r="FP86" s="242">
        <v>22</v>
      </c>
      <c r="FQ86" s="242">
        <v>0</v>
      </c>
      <c r="FR86" s="242">
        <v>71</v>
      </c>
      <c r="FS86" s="242">
        <v>22</v>
      </c>
      <c r="FT86" s="242">
        <v>0</v>
      </c>
      <c r="FU86" s="242">
        <v>150</v>
      </c>
      <c r="FV86" s="242">
        <v>58</v>
      </c>
      <c r="FW86" s="242">
        <v>47</v>
      </c>
      <c r="FX86" s="242">
        <v>53</v>
      </c>
      <c r="FY86" s="242">
        <v>32</v>
      </c>
      <c r="FZ86" s="242">
        <v>0</v>
      </c>
      <c r="GA86" s="242">
        <v>15</v>
      </c>
      <c r="GB86" s="242">
        <v>38</v>
      </c>
      <c r="GC86" s="242">
        <v>0</v>
      </c>
      <c r="GD86" s="242">
        <v>0</v>
      </c>
      <c r="GE86" s="242">
        <v>12</v>
      </c>
      <c r="GF86" s="242">
        <v>50</v>
      </c>
      <c r="GG86" s="242">
        <v>38</v>
      </c>
      <c r="GH86" s="242">
        <v>0</v>
      </c>
      <c r="GI86" s="242">
        <v>41</v>
      </c>
      <c r="GJ86" s="242">
        <v>32</v>
      </c>
      <c r="GK86" s="242">
        <v>43</v>
      </c>
      <c r="GL86" s="242">
        <v>60</v>
      </c>
      <c r="GM86" s="242">
        <v>54</v>
      </c>
      <c r="GN86" s="242">
        <v>38</v>
      </c>
      <c r="GO86" s="242">
        <v>0</v>
      </c>
      <c r="GP86" s="175">
        <v>113</v>
      </c>
      <c r="GQ86" s="42">
        <v>29</v>
      </c>
      <c r="GR86" s="158">
        <v>26</v>
      </c>
      <c r="GS86" s="158">
        <v>14</v>
      </c>
      <c r="GT86" s="158">
        <v>78</v>
      </c>
      <c r="GU86" s="158">
        <v>49</v>
      </c>
      <c r="GV86" s="242">
        <v>0</v>
      </c>
      <c r="GW86" s="158">
        <v>60</v>
      </c>
      <c r="GX86" s="242">
        <v>0</v>
      </c>
      <c r="GY86" s="242">
        <v>27</v>
      </c>
      <c r="GZ86" s="242">
        <v>70</v>
      </c>
      <c r="HA86" s="242">
        <v>46</v>
      </c>
      <c r="HB86" s="242">
        <v>0</v>
      </c>
      <c r="HC86" s="242">
        <v>0</v>
      </c>
      <c r="HD86" s="242">
        <v>156</v>
      </c>
      <c r="HE86" s="242">
        <v>0</v>
      </c>
      <c r="HF86" s="242">
        <v>165</v>
      </c>
      <c r="HG86" s="242">
        <v>4</v>
      </c>
      <c r="HH86" s="440">
        <v>101</v>
      </c>
      <c r="HI86" s="42"/>
      <c r="HJ86" s="42"/>
      <c r="HK86" s="42"/>
      <c r="HL86" s="42"/>
      <c r="HM86" s="42"/>
      <c r="HN86" s="42"/>
      <c r="HO86" s="42"/>
      <c r="HP86" s="42"/>
      <c r="HQ86" s="42"/>
      <c r="HR86" s="42"/>
      <c r="HS86" s="42"/>
      <c r="HT86" s="77"/>
      <c r="HU86" s="365">
        <f>SUM(O86:HT86)</f>
        <v>9294.5</v>
      </c>
    </row>
    <row r="88" spans="1:230" x14ac:dyDescent="0.25">
      <c r="B88" s="495" t="s">
        <v>23</v>
      </c>
      <c r="C88" s="8" t="s">
        <v>79</v>
      </c>
      <c r="E88" s="194">
        <f t="shared" ref="E88:AJ88" si="153">E10+E11+E13+E14+E15</f>
        <v>7.5</v>
      </c>
      <c r="F88" s="194">
        <f t="shared" si="153"/>
        <v>0</v>
      </c>
      <c r="G88" s="194">
        <f t="shared" si="153"/>
        <v>0</v>
      </c>
      <c r="H88" s="194">
        <f t="shared" si="153"/>
        <v>15.8</v>
      </c>
      <c r="I88" s="194">
        <f t="shared" si="153"/>
        <v>0</v>
      </c>
      <c r="J88" s="194">
        <f t="shared" si="153"/>
        <v>0</v>
      </c>
      <c r="K88" s="194">
        <f t="shared" si="153"/>
        <v>0</v>
      </c>
      <c r="L88" s="194">
        <f t="shared" si="153"/>
        <v>0</v>
      </c>
      <c r="M88" s="194">
        <f t="shared" si="153"/>
        <v>23.3</v>
      </c>
      <c r="N88" s="194">
        <f t="shared" si="153"/>
        <v>0</v>
      </c>
      <c r="O88" s="296">
        <f t="shared" si="153"/>
        <v>0</v>
      </c>
      <c r="P88" s="194">
        <f t="shared" si="153"/>
        <v>10.199999999999999</v>
      </c>
      <c r="Q88" s="194">
        <f t="shared" si="153"/>
        <v>0</v>
      </c>
      <c r="R88" s="194">
        <f t="shared" si="153"/>
        <v>0</v>
      </c>
      <c r="S88" s="194">
        <f t="shared" si="153"/>
        <v>0</v>
      </c>
      <c r="T88" s="194">
        <f t="shared" si="153"/>
        <v>0</v>
      </c>
      <c r="U88" s="194">
        <f t="shared" si="153"/>
        <v>0</v>
      </c>
      <c r="V88" s="194">
        <f t="shared" si="153"/>
        <v>40.200000000000003</v>
      </c>
      <c r="W88" s="194">
        <f t="shared" si="153"/>
        <v>0</v>
      </c>
      <c r="X88" s="194">
        <f t="shared" si="153"/>
        <v>0</v>
      </c>
      <c r="Y88" s="194">
        <f t="shared" si="153"/>
        <v>0</v>
      </c>
      <c r="Z88" s="194">
        <f t="shared" si="153"/>
        <v>2</v>
      </c>
      <c r="AA88" s="194">
        <f t="shared" si="153"/>
        <v>0</v>
      </c>
      <c r="AB88" s="194">
        <f t="shared" si="153"/>
        <v>0</v>
      </c>
      <c r="AC88" s="194">
        <f t="shared" si="153"/>
        <v>4</v>
      </c>
      <c r="AD88" s="194">
        <f t="shared" si="153"/>
        <v>23</v>
      </c>
      <c r="AE88" s="292">
        <f t="shared" si="153"/>
        <v>0</v>
      </c>
      <c r="AF88" s="194">
        <f t="shared" si="153"/>
        <v>0</v>
      </c>
      <c r="AG88" s="194">
        <f t="shared" si="153"/>
        <v>0</v>
      </c>
      <c r="AH88" s="194">
        <f t="shared" si="153"/>
        <v>0</v>
      </c>
      <c r="AI88" s="194">
        <f t="shared" si="153"/>
        <v>0</v>
      </c>
      <c r="AJ88" s="194">
        <f t="shared" si="153"/>
        <v>0</v>
      </c>
      <c r="AK88" s="194">
        <f t="shared" ref="AK88:BP88" si="154">AK10+AK11+AK13+AK14+AK15</f>
        <v>0</v>
      </c>
      <c r="AL88" s="194">
        <f t="shared" si="154"/>
        <v>0</v>
      </c>
      <c r="AM88" s="194">
        <f t="shared" si="154"/>
        <v>9</v>
      </c>
      <c r="AN88" s="194">
        <f t="shared" si="154"/>
        <v>74.099999999999994</v>
      </c>
      <c r="AO88" s="194">
        <f t="shared" si="154"/>
        <v>0</v>
      </c>
      <c r="AP88" s="194">
        <f t="shared" si="154"/>
        <v>0</v>
      </c>
      <c r="AQ88" s="194">
        <f t="shared" si="154"/>
        <v>0</v>
      </c>
      <c r="AR88" s="194">
        <f t="shared" si="154"/>
        <v>4.5</v>
      </c>
      <c r="AS88" s="194">
        <f t="shared" si="154"/>
        <v>0</v>
      </c>
      <c r="AT88" s="194">
        <f t="shared" si="154"/>
        <v>0</v>
      </c>
      <c r="AU88" s="194">
        <f t="shared" si="154"/>
        <v>6.1</v>
      </c>
      <c r="AV88" s="194">
        <f t="shared" si="154"/>
        <v>0</v>
      </c>
      <c r="AW88" s="194">
        <f t="shared" si="154"/>
        <v>0</v>
      </c>
      <c r="AX88" s="194">
        <f t="shared" si="154"/>
        <v>16</v>
      </c>
      <c r="AY88" s="194">
        <f t="shared" si="154"/>
        <v>0</v>
      </c>
      <c r="AZ88" s="194">
        <f t="shared" si="154"/>
        <v>0</v>
      </c>
      <c r="BA88" s="194">
        <f t="shared" si="154"/>
        <v>19.5</v>
      </c>
      <c r="BB88" s="194">
        <f t="shared" si="154"/>
        <v>14.6</v>
      </c>
      <c r="BC88" s="194">
        <f t="shared" si="154"/>
        <v>37</v>
      </c>
      <c r="BD88" s="194">
        <f t="shared" si="154"/>
        <v>0</v>
      </c>
      <c r="BE88" s="194">
        <f t="shared" si="154"/>
        <v>0</v>
      </c>
      <c r="BF88" s="194">
        <f t="shared" si="154"/>
        <v>21.5</v>
      </c>
      <c r="BG88" s="194">
        <f t="shared" si="154"/>
        <v>16.399999999999999</v>
      </c>
      <c r="BH88" s="194">
        <f t="shared" si="154"/>
        <v>18.100000000000001</v>
      </c>
      <c r="BI88" s="194">
        <f t="shared" si="154"/>
        <v>18</v>
      </c>
      <c r="BJ88" s="194">
        <f t="shared" si="154"/>
        <v>0</v>
      </c>
      <c r="BK88" s="194">
        <f t="shared" si="154"/>
        <v>0</v>
      </c>
      <c r="BL88" s="194">
        <f t="shared" si="154"/>
        <v>0</v>
      </c>
      <c r="BM88" s="194">
        <f t="shared" si="154"/>
        <v>0</v>
      </c>
      <c r="BN88" s="194">
        <f t="shared" si="154"/>
        <v>0</v>
      </c>
      <c r="BO88" s="194">
        <f t="shared" si="154"/>
        <v>0</v>
      </c>
      <c r="BP88" s="194">
        <f t="shared" si="154"/>
        <v>0</v>
      </c>
      <c r="BQ88" s="194">
        <f t="shared" ref="BQ88:CV88" si="155">BQ10+BQ11+BQ13+BQ14+BQ15</f>
        <v>0</v>
      </c>
      <c r="BR88" s="194">
        <f t="shared" si="155"/>
        <v>0</v>
      </c>
      <c r="BS88" s="194">
        <f t="shared" si="155"/>
        <v>0</v>
      </c>
      <c r="BT88" s="194">
        <f t="shared" si="155"/>
        <v>0</v>
      </c>
      <c r="BU88" s="194">
        <f t="shared" si="155"/>
        <v>93.7</v>
      </c>
      <c r="BV88" s="194">
        <f t="shared" si="155"/>
        <v>0</v>
      </c>
      <c r="BW88" s="194">
        <f t="shared" si="155"/>
        <v>0</v>
      </c>
      <c r="BX88" s="194">
        <f t="shared" si="155"/>
        <v>17</v>
      </c>
      <c r="BY88" s="194">
        <f t="shared" si="155"/>
        <v>0</v>
      </c>
      <c r="BZ88" s="194">
        <f t="shared" si="155"/>
        <v>0</v>
      </c>
      <c r="CA88" s="194">
        <f t="shared" si="155"/>
        <v>0</v>
      </c>
      <c r="CB88" s="194">
        <f t="shared" si="155"/>
        <v>0</v>
      </c>
      <c r="CC88" s="194">
        <f t="shared" si="155"/>
        <v>0</v>
      </c>
      <c r="CD88" s="194">
        <f t="shared" si="155"/>
        <v>80</v>
      </c>
      <c r="CE88" s="194">
        <f t="shared" si="155"/>
        <v>3</v>
      </c>
      <c r="CF88" s="194">
        <f t="shared" si="155"/>
        <v>0</v>
      </c>
      <c r="CG88" s="194">
        <f t="shared" si="155"/>
        <v>0</v>
      </c>
      <c r="CH88" s="194">
        <f t="shared" si="155"/>
        <v>11</v>
      </c>
      <c r="CI88" s="194">
        <f t="shared" si="155"/>
        <v>0</v>
      </c>
      <c r="CJ88" s="194">
        <f t="shared" si="155"/>
        <v>0</v>
      </c>
      <c r="CK88" s="194">
        <f t="shared" si="155"/>
        <v>0</v>
      </c>
      <c r="CL88" s="194">
        <f t="shared" si="155"/>
        <v>0</v>
      </c>
      <c r="CM88" s="194">
        <f t="shared" si="155"/>
        <v>30</v>
      </c>
      <c r="CN88" s="194">
        <f t="shared" si="155"/>
        <v>0</v>
      </c>
      <c r="CO88" s="194">
        <f t="shared" si="155"/>
        <v>0</v>
      </c>
      <c r="CP88" s="194">
        <f t="shared" si="155"/>
        <v>0</v>
      </c>
      <c r="CQ88" s="194">
        <f t="shared" si="155"/>
        <v>0</v>
      </c>
      <c r="CR88" s="194">
        <f t="shared" si="155"/>
        <v>0</v>
      </c>
      <c r="CS88" s="194">
        <f t="shared" si="155"/>
        <v>0</v>
      </c>
      <c r="CT88" s="194">
        <f t="shared" si="155"/>
        <v>0</v>
      </c>
      <c r="CU88" s="194">
        <f t="shared" si="155"/>
        <v>0</v>
      </c>
      <c r="CV88" s="194">
        <f t="shared" si="155"/>
        <v>0</v>
      </c>
      <c r="CW88" s="194">
        <f t="shared" ref="CW88:EB88" si="156">CW10+CW11+CW13+CW14+CW15</f>
        <v>0</v>
      </c>
      <c r="CX88" s="194">
        <f t="shared" si="156"/>
        <v>0</v>
      </c>
      <c r="CY88" s="194">
        <f t="shared" si="156"/>
        <v>0</v>
      </c>
      <c r="CZ88" s="194">
        <f t="shared" si="156"/>
        <v>0</v>
      </c>
      <c r="DA88" s="194">
        <f t="shared" si="156"/>
        <v>0</v>
      </c>
      <c r="DB88" s="194">
        <f t="shared" si="156"/>
        <v>0</v>
      </c>
      <c r="DC88" s="194">
        <f t="shared" si="156"/>
        <v>0</v>
      </c>
      <c r="DD88" s="194">
        <f t="shared" si="156"/>
        <v>0</v>
      </c>
      <c r="DE88" s="194">
        <f t="shared" si="156"/>
        <v>0</v>
      </c>
      <c r="DF88" s="194">
        <f t="shared" si="156"/>
        <v>0</v>
      </c>
      <c r="DG88" s="194">
        <f t="shared" si="156"/>
        <v>0</v>
      </c>
      <c r="DH88" s="194">
        <f t="shared" si="156"/>
        <v>0</v>
      </c>
      <c r="DI88" s="194">
        <f t="shared" si="156"/>
        <v>0</v>
      </c>
      <c r="DJ88" s="194">
        <f t="shared" si="156"/>
        <v>0</v>
      </c>
      <c r="DK88" s="194">
        <f t="shared" si="156"/>
        <v>0</v>
      </c>
      <c r="DL88" s="194">
        <f t="shared" si="156"/>
        <v>0</v>
      </c>
      <c r="DM88" s="194">
        <f t="shared" si="156"/>
        <v>0</v>
      </c>
      <c r="DN88" s="194">
        <f t="shared" si="156"/>
        <v>0</v>
      </c>
      <c r="DO88" s="194">
        <f t="shared" si="156"/>
        <v>0</v>
      </c>
      <c r="DP88" s="194">
        <f t="shared" si="156"/>
        <v>0</v>
      </c>
      <c r="DQ88" s="194">
        <f t="shared" si="156"/>
        <v>0</v>
      </c>
      <c r="DR88" s="194">
        <f t="shared" si="156"/>
        <v>0</v>
      </c>
      <c r="DS88" s="194">
        <f t="shared" si="156"/>
        <v>0</v>
      </c>
      <c r="DT88" s="194">
        <f t="shared" si="156"/>
        <v>0</v>
      </c>
      <c r="DU88" s="194">
        <f t="shared" si="156"/>
        <v>0</v>
      </c>
      <c r="DV88" s="194">
        <f t="shared" si="156"/>
        <v>0</v>
      </c>
      <c r="DW88" s="194">
        <f t="shared" si="156"/>
        <v>0</v>
      </c>
      <c r="DX88" s="194">
        <f t="shared" si="156"/>
        <v>0</v>
      </c>
      <c r="DY88" s="194">
        <f t="shared" si="156"/>
        <v>0</v>
      </c>
      <c r="DZ88" s="194">
        <f t="shared" si="156"/>
        <v>0</v>
      </c>
      <c r="EA88" s="194">
        <f t="shared" si="156"/>
        <v>0</v>
      </c>
      <c r="EB88" s="194">
        <f t="shared" si="156"/>
        <v>0</v>
      </c>
      <c r="EC88" s="194">
        <f t="shared" ref="EC88:FH88" si="157">EC10+EC11+EC13+EC14+EC15</f>
        <v>0</v>
      </c>
      <c r="ED88" s="194">
        <f t="shared" si="157"/>
        <v>0</v>
      </c>
      <c r="EE88" s="194">
        <f t="shared" si="157"/>
        <v>0</v>
      </c>
      <c r="EF88" s="194">
        <f t="shared" si="157"/>
        <v>0</v>
      </c>
      <c r="EG88" s="194">
        <f t="shared" si="157"/>
        <v>0</v>
      </c>
      <c r="EH88" s="194">
        <f t="shared" si="157"/>
        <v>0</v>
      </c>
      <c r="EI88" s="194">
        <f t="shared" si="157"/>
        <v>0</v>
      </c>
      <c r="EJ88" s="194">
        <f t="shared" si="157"/>
        <v>0</v>
      </c>
      <c r="EK88" s="194">
        <f t="shared" si="157"/>
        <v>0</v>
      </c>
      <c r="EL88" s="194">
        <f t="shared" si="157"/>
        <v>0</v>
      </c>
      <c r="EM88" s="194">
        <f t="shared" si="157"/>
        <v>0</v>
      </c>
      <c r="EN88" s="194">
        <f t="shared" si="157"/>
        <v>0</v>
      </c>
      <c r="EO88" s="194">
        <f t="shared" si="157"/>
        <v>0</v>
      </c>
      <c r="EP88" s="194">
        <f t="shared" si="157"/>
        <v>0</v>
      </c>
      <c r="EQ88" s="194">
        <f t="shared" si="157"/>
        <v>0</v>
      </c>
      <c r="ER88" s="194">
        <f t="shared" si="157"/>
        <v>0</v>
      </c>
      <c r="ES88" s="194">
        <f t="shared" si="157"/>
        <v>0</v>
      </c>
      <c r="ET88" s="194">
        <f t="shared" si="157"/>
        <v>0</v>
      </c>
      <c r="EU88" s="194">
        <f t="shared" si="157"/>
        <v>0</v>
      </c>
      <c r="EV88" s="194">
        <f t="shared" si="157"/>
        <v>0</v>
      </c>
      <c r="EW88" s="194">
        <f t="shared" si="157"/>
        <v>0</v>
      </c>
      <c r="EX88" s="194">
        <f t="shared" si="157"/>
        <v>0</v>
      </c>
      <c r="EY88" s="194">
        <f t="shared" si="157"/>
        <v>0</v>
      </c>
      <c r="EZ88" s="194">
        <f t="shared" si="157"/>
        <v>0</v>
      </c>
      <c r="FA88" s="194">
        <f t="shared" si="157"/>
        <v>0</v>
      </c>
      <c r="FB88" s="194">
        <f t="shared" si="157"/>
        <v>0</v>
      </c>
      <c r="FC88" s="194">
        <f t="shared" si="157"/>
        <v>0</v>
      </c>
      <c r="FD88" s="194">
        <f t="shared" si="157"/>
        <v>0</v>
      </c>
      <c r="FE88" s="194">
        <f t="shared" si="157"/>
        <v>0</v>
      </c>
      <c r="FF88" s="194">
        <f t="shared" si="157"/>
        <v>0</v>
      </c>
      <c r="FG88" s="194">
        <f t="shared" si="157"/>
        <v>0</v>
      </c>
      <c r="FH88" s="194">
        <f t="shared" si="157"/>
        <v>0</v>
      </c>
      <c r="FI88" s="194">
        <f t="shared" ref="FI88:GN88" si="158">FI10+FI11+FI13+FI14+FI15</f>
        <v>0</v>
      </c>
      <c r="FJ88" s="194">
        <f t="shared" si="158"/>
        <v>0</v>
      </c>
      <c r="FK88" s="194">
        <f t="shared" si="158"/>
        <v>0</v>
      </c>
      <c r="FL88" s="194">
        <f t="shared" si="158"/>
        <v>0</v>
      </c>
      <c r="FM88" s="194">
        <f t="shared" si="158"/>
        <v>0</v>
      </c>
      <c r="FN88" s="194">
        <f t="shared" si="158"/>
        <v>0</v>
      </c>
      <c r="FO88" s="194">
        <f t="shared" si="158"/>
        <v>0</v>
      </c>
      <c r="FP88" s="194">
        <f t="shared" si="158"/>
        <v>0</v>
      </c>
      <c r="FQ88" s="194">
        <f t="shared" si="158"/>
        <v>0</v>
      </c>
      <c r="FR88" s="194">
        <f t="shared" si="158"/>
        <v>0</v>
      </c>
      <c r="FS88" s="194">
        <f t="shared" si="158"/>
        <v>0</v>
      </c>
      <c r="FT88" s="194">
        <f t="shared" si="158"/>
        <v>0</v>
      </c>
      <c r="FU88" s="194">
        <f t="shared" si="158"/>
        <v>0</v>
      </c>
      <c r="FV88" s="194">
        <f t="shared" si="158"/>
        <v>0</v>
      </c>
      <c r="FW88" s="194">
        <f t="shared" si="158"/>
        <v>0</v>
      </c>
      <c r="FX88" s="194">
        <f t="shared" si="158"/>
        <v>0</v>
      </c>
      <c r="FY88" s="194">
        <f t="shared" si="158"/>
        <v>0</v>
      </c>
      <c r="FZ88" s="194">
        <f t="shared" si="158"/>
        <v>0</v>
      </c>
      <c r="GA88" s="194">
        <f t="shared" si="158"/>
        <v>0</v>
      </c>
      <c r="GB88" s="194">
        <f t="shared" si="158"/>
        <v>0</v>
      </c>
      <c r="GC88" s="194">
        <f t="shared" si="158"/>
        <v>0</v>
      </c>
      <c r="GD88" s="194">
        <f t="shared" si="158"/>
        <v>0</v>
      </c>
      <c r="GE88" s="194">
        <f t="shared" si="158"/>
        <v>0</v>
      </c>
      <c r="GF88" s="194">
        <f t="shared" si="158"/>
        <v>0</v>
      </c>
      <c r="GG88" s="194">
        <f t="shared" si="158"/>
        <v>0</v>
      </c>
      <c r="GH88" s="194">
        <f t="shared" si="158"/>
        <v>0</v>
      </c>
      <c r="GI88" s="194">
        <f t="shared" si="158"/>
        <v>0</v>
      </c>
      <c r="GJ88" s="194">
        <f t="shared" si="158"/>
        <v>0</v>
      </c>
      <c r="GK88" s="194">
        <f t="shared" si="158"/>
        <v>0</v>
      </c>
      <c r="GL88" s="194">
        <f t="shared" si="158"/>
        <v>0</v>
      </c>
      <c r="GM88" s="194">
        <f t="shared" si="158"/>
        <v>0</v>
      </c>
      <c r="GN88" s="194">
        <f t="shared" si="158"/>
        <v>0</v>
      </c>
      <c r="GO88" s="194">
        <f t="shared" ref="GO88:HT88" si="159">GO10+GO11+GO13+GO14+GO15</f>
        <v>0</v>
      </c>
      <c r="GP88" s="194">
        <f t="shared" si="159"/>
        <v>0</v>
      </c>
      <c r="GQ88" s="194">
        <f t="shared" si="159"/>
        <v>0</v>
      </c>
      <c r="GR88" s="194">
        <f t="shared" si="159"/>
        <v>0</v>
      </c>
      <c r="GS88" s="194">
        <f t="shared" si="159"/>
        <v>0</v>
      </c>
      <c r="GT88" s="194">
        <f t="shared" si="159"/>
        <v>0</v>
      </c>
      <c r="GU88" s="194">
        <f t="shared" si="159"/>
        <v>0</v>
      </c>
      <c r="GV88" s="194">
        <f t="shared" si="159"/>
        <v>0</v>
      </c>
      <c r="GW88" s="194">
        <f t="shared" si="159"/>
        <v>0</v>
      </c>
      <c r="GX88" s="194">
        <f t="shared" si="159"/>
        <v>0</v>
      </c>
      <c r="GY88" s="194">
        <f t="shared" si="159"/>
        <v>0</v>
      </c>
      <c r="GZ88" s="194">
        <f t="shared" si="159"/>
        <v>0</v>
      </c>
      <c r="HA88" s="194">
        <f t="shared" si="159"/>
        <v>0</v>
      </c>
      <c r="HB88" s="194">
        <f t="shared" si="159"/>
        <v>0</v>
      </c>
      <c r="HC88" s="194">
        <f t="shared" si="159"/>
        <v>0</v>
      </c>
      <c r="HD88" s="194">
        <f t="shared" si="159"/>
        <v>0</v>
      </c>
      <c r="HE88" s="194">
        <f t="shared" si="159"/>
        <v>0</v>
      </c>
      <c r="HF88" s="194">
        <f t="shared" si="159"/>
        <v>0</v>
      </c>
      <c r="HG88" s="194">
        <f t="shared" si="159"/>
        <v>0</v>
      </c>
      <c r="HH88" s="194">
        <f t="shared" si="159"/>
        <v>0</v>
      </c>
      <c r="HI88" s="194">
        <f t="shared" si="159"/>
        <v>0</v>
      </c>
      <c r="HJ88" s="194">
        <f t="shared" si="159"/>
        <v>0</v>
      </c>
      <c r="HK88" s="194">
        <f t="shared" si="159"/>
        <v>0</v>
      </c>
      <c r="HL88" s="194">
        <f t="shared" si="159"/>
        <v>0</v>
      </c>
      <c r="HM88" s="194">
        <f t="shared" si="159"/>
        <v>0</v>
      </c>
      <c r="HN88" s="194">
        <f t="shared" si="159"/>
        <v>0</v>
      </c>
      <c r="HO88" s="194">
        <f t="shared" si="159"/>
        <v>0</v>
      </c>
      <c r="HP88" s="194">
        <f t="shared" si="159"/>
        <v>0</v>
      </c>
      <c r="HQ88" s="194">
        <f t="shared" si="159"/>
        <v>0</v>
      </c>
      <c r="HR88" s="194">
        <f t="shared" si="159"/>
        <v>0</v>
      </c>
      <c r="HS88" s="194">
        <f t="shared" si="159"/>
        <v>0</v>
      </c>
      <c r="HT88" s="194">
        <f t="shared" si="159"/>
        <v>0</v>
      </c>
    </row>
    <row r="89" spans="1:230" x14ac:dyDescent="0.25">
      <c r="B89" s="495"/>
      <c r="C89" s="8" t="s">
        <v>80</v>
      </c>
      <c r="E89" s="194">
        <f t="shared" ref="E89:AJ89" si="160">E9/2+E12+E17+E18</f>
        <v>18</v>
      </c>
      <c r="F89" s="194">
        <f t="shared" si="160"/>
        <v>0</v>
      </c>
      <c r="G89" s="194">
        <f t="shared" si="160"/>
        <v>8.42</v>
      </c>
      <c r="H89" s="194">
        <f t="shared" si="160"/>
        <v>0</v>
      </c>
      <c r="I89" s="194">
        <f t="shared" si="160"/>
        <v>0</v>
      </c>
      <c r="J89" s="194">
        <f t="shared" si="160"/>
        <v>8</v>
      </c>
      <c r="K89" s="194">
        <f t="shared" si="160"/>
        <v>0</v>
      </c>
      <c r="L89" s="194">
        <f t="shared" si="160"/>
        <v>0</v>
      </c>
      <c r="M89" s="194">
        <f t="shared" si="160"/>
        <v>34.42</v>
      </c>
      <c r="N89" s="194">
        <f t="shared" si="160"/>
        <v>0</v>
      </c>
      <c r="O89" s="296">
        <f t="shared" si="160"/>
        <v>28.2</v>
      </c>
      <c r="P89" s="194">
        <f t="shared" si="160"/>
        <v>0</v>
      </c>
      <c r="Q89" s="194">
        <f t="shared" si="160"/>
        <v>0</v>
      </c>
      <c r="R89" s="194">
        <f t="shared" si="160"/>
        <v>37.5</v>
      </c>
      <c r="S89" s="194">
        <f t="shared" si="160"/>
        <v>0</v>
      </c>
      <c r="T89" s="194">
        <f t="shared" si="160"/>
        <v>0</v>
      </c>
      <c r="U89" s="194">
        <f t="shared" si="160"/>
        <v>40.9</v>
      </c>
      <c r="V89" s="194">
        <f t="shared" si="160"/>
        <v>14</v>
      </c>
      <c r="W89" s="194">
        <f t="shared" si="160"/>
        <v>24.55</v>
      </c>
      <c r="X89" s="194">
        <f t="shared" si="160"/>
        <v>13.25</v>
      </c>
      <c r="Y89" s="194">
        <f t="shared" si="160"/>
        <v>17.66</v>
      </c>
      <c r="Z89" s="194">
        <f t="shared" si="160"/>
        <v>0</v>
      </c>
      <c r="AA89" s="194">
        <f t="shared" si="160"/>
        <v>0</v>
      </c>
      <c r="AB89" s="194">
        <f t="shared" si="160"/>
        <v>16.399999999999999</v>
      </c>
      <c r="AC89" s="194">
        <f t="shared" si="160"/>
        <v>7.25</v>
      </c>
      <c r="AD89" s="194">
        <f t="shared" si="160"/>
        <v>0</v>
      </c>
      <c r="AE89" s="292">
        <f t="shared" si="160"/>
        <v>12.4</v>
      </c>
      <c r="AF89" s="194">
        <f t="shared" si="160"/>
        <v>0</v>
      </c>
      <c r="AG89" s="194">
        <f t="shared" si="160"/>
        <v>0</v>
      </c>
      <c r="AH89" s="194">
        <f t="shared" si="160"/>
        <v>0</v>
      </c>
      <c r="AI89" s="194">
        <f t="shared" si="160"/>
        <v>7.5</v>
      </c>
      <c r="AJ89" s="194">
        <f t="shared" si="160"/>
        <v>0</v>
      </c>
      <c r="AK89" s="194">
        <f t="shared" ref="AK89:BP89" si="161">AK9/2+AK12+AK17+AK18</f>
        <v>5</v>
      </c>
      <c r="AL89" s="194">
        <f t="shared" si="161"/>
        <v>0</v>
      </c>
      <c r="AM89" s="194">
        <f t="shared" si="161"/>
        <v>10</v>
      </c>
      <c r="AN89" s="194">
        <f t="shared" si="161"/>
        <v>10</v>
      </c>
      <c r="AO89" s="194">
        <f t="shared" si="161"/>
        <v>0</v>
      </c>
      <c r="AP89" s="194">
        <f t="shared" si="161"/>
        <v>3</v>
      </c>
      <c r="AQ89" s="194">
        <f t="shared" si="161"/>
        <v>0</v>
      </c>
      <c r="AR89" s="194">
        <f t="shared" si="161"/>
        <v>0</v>
      </c>
      <c r="AS89" s="194">
        <f t="shared" si="161"/>
        <v>7.85</v>
      </c>
      <c r="AT89" s="194">
        <f t="shared" si="161"/>
        <v>29</v>
      </c>
      <c r="AU89" s="194">
        <f t="shared" si="161"/>
        <v>0</v>
      </c>
      <c r="AV89" s="194">
        <f t="shared" si="161"/>
        <v>4</v>
      </c>
      <c r="AW89" s="194">
        <f t="shared" si="161"/>
        <v>0</v>
      </c>
      <c r="AX89" s="194">
        <f t="shared" si="161"/>
        <v>0</v>
      </c>
      <c r="AY89" s="194">
        <f t="shared" si="161"/>
        <v>46.25</v>
      </c>
      <c r="AZ89" s="194">
        <f t="shared" si="161"/>
        <v>0</v>
      </c>
      <c r="BA89" s="194">
        <f t="shared" si="161"/>
        <v>0</v>
      </c>
      <c r="BB89" s="194">
        <f t="shared" si="161"/>
        <v>10.5</v>
      </c>
      <c r="BC89" s="194">
        <f t="shared" si="161"/>
        <v>0</v>
      </c>
      <c r="BD89" s="194">
        <f t="shared" si="161"/>
        <v>0</v>
      </c>
      <c r="BE89" s="194">
        <f t="shared" si="161"/>
        <v>0</v>
      </c>
      <c r="BF89" s="194">
        <f t="shared" si="161"/>
        <v>8.1</v>
      </c>
      <c r="BG89" s="194">
        <f t="shared" si="161"/>
        <v>0</v>
      </c>
      <c r="BH89" s="194">
        <f t="shared" si="161"/>
        <v>0</v>
      </c>
      <c r="BI89" s="194">
        <f t="shared" si="161"/>
        <v>13.1</v>
      </c>
      <c r="BJ89" s="194">
        <f t="shared" si="161"/>
        <v>0</v>
      </c>
      <c r="BK89" s="194">
        <f t="shared" si="161"/>
        <v>0</v>
      </c>
      <c r="BL89" s="194">
        <f t="shared" si="161"/>
        <v>0</v>
      </c>
      <c r="BM89" s="194">
        <f t="shared" si="161"/>
        <v>0</v>
      </c>
      <c r="BN89" s="194">
        <f t="shared" si="161"/>
        <v>0</v>
      </c>
      <c r="BO89" s="194">
        <f t="shared" si="161"/>
        <v>31.5</v>
      </c>
      <c r="BP89" s="194">
        <f t="shared" si="161"/>
        <v>0</v>
      </c>
      <c r="BQ89" s="194">
        <f t="shared" ref="BQ89:CV89" si="162">BQ9/2+BQ12+BQ17+BQ18</f>
        <v>5.5</v>
      </c>
      <c r="BR89" s="194">
        <f t="shared" si="162"/>
        <v>0</v>
      </c>
      <c r="BS89" s="194">
        <f t="shared" si="162"/>
        <v>20.149999999999999</v>
      </c>
      <c r="BT89" s="194">
        <f t="shared" si="162"/>
        <v>0</v>
      </c>
      <c r="BU89" s="194">
        <f t="shared" si="162"/>
        <v>0</v>
      </c>
      <c r="BV89" s="194">
        <f t="shared" si="162"/>
        <v>9.25</v>
      </c>
      <c r="BW89" s="194">
        <f t="shared" si="162"/>
        <v>0</v>
      </c>
      <c r="BX89" s="194">
        <f t="shared" si="162"/>
        <v>6.4</v>
      </c>
      <c r="BY89" s="194">
        <f t="shared" si="162"/>
        <v>5.05</v>
      </c>
      <c r="BZ89" s="194">
        <f t="shared" si="162"/>
        <v>0</v>
      </c>
      <c r="CA89" s="194">
        <f t="shared" si="162"/>
        <v>11.5</v>
      </c>
      <c r="CB89" s="194">
        <f t="shared" si="162"/>
        <v>5</v>
      </c>
      <c r="CC89" s="194">
        <f t="shared" si="162"/>
        <v>11.7</v>
      </c>
      <c r="CD89" s="194">
        <f t="shared" si="162"/>
        <v>7</v>
      </c>
      <c r="CE89" s="194">
        <f t="shared" si="162"/>
        <v>6.65</v>
      </c>
      <c r="CF89" s="194">
        <f t="shared" si="162"/>
        <v>0</v>
      </c>
      <c r="CG89" s="194">
        <f t="shared" si="162"/>
        <v>0</v>
      </c>
      <c r="CH89" s="194">
        <f t="shared" si="162"/>
        <v>0</v>
      </c>
      <c r="CI89" s="194">
        <f t="shared" si="162"/>
        <v>0</v>
      </c>
      <c r="CJ89" s="194">
        <f t="shared" si="162"/>
        <v>6.45</v>
      </c>
      <c r="CK89" s="194">
        <f t="shared" si="162"/>
        <v>0</v>
      </c>
      <c r="CL89" s="194">
        <f t="shared" si="162"/>
        <v>35.1</v>
      </c>
      <c r="CM89" s="194">
        <f t="shared" si="162"/>
        <v>0</v>
      </c>
      <c r="CN89" s="194">
        <f t="shared" si="162"/>
        <v>0</v>
      </c>
      <c r="CO89" s="194">
        <f t="shared" si="162"/>
        <v>8</v>
      </c>
      <c r="CP89" s="194">
        <f t="shared" si="162"/>
        <v>7.9</v>
      </c>
      <c r="CQ89" s="194">
        <f t="shared" si="162"/>
        <v>7.5</v>
      </c>
      <c r="CR89" s="194">
        <f t="shared" si="162"/>
        <v>0</v>
      </c>
      <c r="CS89" s="194">
        <f t="shared" si="162"/>
        <v>7.55</v>
      </c>
      <c r="CT89" s="194">
        <f t="shared" si="162"/>
        <v>16.45</v>
      </c>
      <c r="CU89" s="194">
        <f t="shared" si="162"/>
        <v>0</v>
      </c>
      <c r="CV89" s="194">
        <f t="shared" si="162"/>
        <v>5</v>
      </c>
      <c r="CW89" s="194">
        <f t="shared" ref="CW89:EB89" si="163">CW9/2+CW12+CW17+CW18</f>
        <v>2.5</v>
      </c>
      <c r="CX89" s="194">
        <f t="shared" si="163"/>
        <v>0</v>
      </c>
      <c r="CY89" s="194">
        <f t="shared" si="163"/>
        <v>0</v>
      </c>
      <c r="CZ89" s="194">
        <f t="shared" si="163"/>
        <v>0</v>
      </c>
      <c r="DA89" s="194">
        <f t="shared" si="163"/>
        <v>23.5</v>
      </c>
      <c r="DB89" s="194">
        <f t="shared" si="163"/>
        <v>0</v>
      </c>
      <c r="DC89" s="194">
        <f t="shared" si="163"/>
        <v>0</v>
      </c>
      <c r="DD89" s="194">
        <f t="shared" si="163"/>
        <v>2.5</v>
      </c>
      <c r="DE89" s="194">
        <f t="shared" si="163"/>
        <v>4</v>
      </c>
      <c r="DF89" s="194">
        <f t="shared" si="163"/>
        <v>3.5</v>
      </c>
      <c r="DG89" s="194">
        <f t="shared" si="163"/>
        <v>10.85</v>
      </c>
      <c r="DH89" s="194">
        <f t="shared" si="163"/>
        <v>0</v>
      </c>
      <c r="DI89" s="194">
        <f t="shared" si="163"/>
        <v>0</v>
      </c>
      <c r="DJ89" s="194">
        <f t="shared" si="163"/>
        <v>8</v>
      </c>
      <c r="DK89" s="194">
        <f t="shared" si="163"/>
        <v>0</v>
      </c>
      <c r="DL89" s="194">
        <f t="shared" si="163"/>
        <v>0</v>
      </c>
      <c r="DM89" s="194">
        <f t="shared" si="163"/>
        <v>6</v>
      </c>
      <c r="DN89" s="194">
        <f t="shared" si="163"/>
        <v>0</v>
      </c>
      <c r="DO89" s="194">
        <f t="shared" si="163"/>
        <v>0</v>
      </c>
      <c r="DP89" s="194">
        <f t="shared" si="163"/>
        <v>0</v>
      </c>
      <c r="DQ89" s="194">
        <f t="shared" si="163"/>
        <v>6</v>
      </c>
      <c r="DR89" s="194">
        <f t="shared" si="163"/>
        <v>0</v>
      </c>
      <c r="DS89" s="194">
        <f t="shared" si="163"/>
        <v>3.5</v>
      </c>
      <c r="DT89" s="194">
        <f t="shared" si="163"/>
        <v>0</v>
      </c>
      <c r="DU89" s="194">
        <f t="shared" si="163"/>
        <v>0</v>
      </c>
      <c r="DV89" s="194">
        <f t="shared" si="163"/>
        <v>3</v>
      </c>
      <c r="DW89" s="194">
        <f t="shared" si="163"/>
        <v>0</v>
      </c>
      <c r="DX89" s="194">
        <f t="shared" si="163"/>
        <v>0</v>
      </c>
      <c r="DY89" s="194">
        <f t="shared" si="163"/>
        <v>3</v>
      </c>
      <c r="DZ89" s="194">
        <f t="shared" si="163"/>
        <v>0</v>
      </c>
      <c r="EA89" s="194">
        <f t="shared" si="163"/>
        <v>0</v>
      </c>
      <c r="EB89" s="194">
        <f t="shared" si="163"/>
        <v>0</v>
      </c>
      <c r="EC89" s="194">
        <f t="shared" ref="EC89:FH89" si="164">EC9/2+EC12+EC17+EC18</f>
        <v>0</v>
      </c>
      <c r="ED89" s="194">
        <f t="shared" si="164"/>
        <v>0</v>
      </c>
      <c r="EE89" s="194">
        <f t="shared" si="164"/>
        <v>0</v>
      </c>
      <c r="EF89" s="194">
        <f t="shared" si="164"/>
        <v>0</v>
      </c>
      <c r="EG89" s="194">
        <f t="shared" si="164"/>
        <v>0</v>
      </c>
      <c r="EH89" s="194">
        <f t="shared" si="164"/>
        <v>0</v>
      </c>
      <c r="EI89" s="194">
        <f t="shared" si="164"/>
        <v>0</v>
      </c>
      <c r="EJ89" s="194">
        <f t="shared" si="164"/>
        <v>0</v>
      </c>
      <c r="EK89" s="194">
        <f t="shared" si="164"/>
        <v>0</v>
      </c>
      <c r="EL89" s="194">
        <f t="shared" si="164"/>
        <v>0</v>
      </c>
      <c r="EM89" s="194">
        <f t="shared" si="164"/>
        <v>0</v>
      </c>
      <c r="EN89" s="194">
        <f t="shared" si="164"/>
        <v>0</v>
      </c>
      <c r="EO89" s="194">
        <f t="shared" si="164"/>
        <v>0</v>
      </c>
      <c r="EP89" s="194">
        <f t="shared" si="164"/>
        <v>0</v>
      </c>
      <c r="EQ89" s="194">
        <f t="shared" si="164"/>
        <v>0</v>
      </c>
      <c r="ER89" s="194">
        <f t="shared" si="164"/>
        <v>0</v>
      </c>
      <c r="ES89" s="194">
        <f t="shared" si="164"/>
        <v>0</v>
      </c>
      <c r="ET89" s="194">
        <f t="shared" si="164"/>
        <v>0</v>
      </c>
      <c r="EU89" s="194">
        <f t="shared" si="164"/>
        <v>0</v>
      </c>
      <c r="EV89" s="194">
        <f t="shared" si="164"/>
        <v>0</v>
      </c>
      <c r="EW89" s="194">
        <f t="shared" si="164"/>
        <v>0</v>
      </c>
      <c r="EX89" s="194">
        <f t="shared" si="164"/>
        <v>0</v>
      </c>
      <c r="EY89" s="194">
        <f t="shared" si="164"/>
        <v>0</v>
      </c>
      <c r="EZ89" s="194">
        <f t="shared" si="164"/>
        <v>0</v>
      </c>
      <c r="FA89" s="194">
        <f t="shared" si="164"/>
        <v>0</v>
      </c>
      <c r="FB89" s="194">
        <f t="shared" si="164"/>
        <v>0</v>
      </c>
      <c r="FC89" s="194">
        <f t="shared" si="164"/>
        <v>0</v>
      </c>
      <c r="FD89" s="194">
        <f t="shared" si="164"/>
        <v>0</v>
      </c>
      <c r="FE89" s="194">
        <f t="shared" si="164"/>
        <v>0</v>
      </c>
      <c r="FF89" s="194">
        <f t="shared" si="164"/>
        <v>0</v>
      </c>
      <c r="FG89" s="194">
        <f t="shared" si="164"/>
        <v>0</v>
      </c>
      <c r="FH89" s="194">
        <f t="shared" si="164"/>
        <v>0</v>
      </c>
      <c r="FI89" s="194">
        <f t="shared" ref="FI89:GN89" si="165">FI9/2+FI12+FI17+FI18</f>
        <v>0</v>
      </c>
      <c r="FJ89" s="194">
        <f t="shared" si="165"/>
        <v>0</v>
      </c>
      <c r="FK89" s="194">
        <f t="shared" si="165"/>
        <v>0</v>
      </c>
      <c r="FL89" s="194">
        <f t="shared" si="165"/>
        <v>0</v>
      </c>
      <c r="FM89" s="194">
        <f t="shared" si="165"/>
        <v>0</v>
      </c>
      <c r="FN89" s="194">
        <f t="shared" si="165"/>
        <v>0</v>
      </c>
      <c r="FO89" s="194">
        <f t="shared" si="165"/>
        <v>0</v>
      </c>
      <c r="FP89" s="194">
        <f t="shared" si="165"/>
        <v>0</v>
      </c>
      <c r="FQ89" s="194">
        <f t="shared" si="165"/>
        <v>0</v>
      </c>
      <c r="FR89" s="194">
        <f t="shared" si="165"/>
        <v>0</v>
      </c>
      <c r="FS89" s="194">
        <f t="shared" si="165"/>
        <v>0</v>
      </c>
      <c r="FT89" s="194">
        <f t="shared" si="165"/>
        <v>0</v>
      </c>
      <c r="FU89" s="194">
        <f t="shared" si="165"/>
        <v>0</v>
      </c>
      <c r="FV89" s="194">
        <f t="shared" si="165"/>
        <v>0</v>
      </c>
      <c r="FW89" s="194">
        <f t="shared" si="165"/>
        <v>0</v>
      </c>
      <c r="FX89" s="194">
        <f t="shared" si="165"/>
        <v>0</v>
      </c>
      <c r="FY89" s="194">
        <f t="shared" si="165"/>
        <v>0</v>
      </c>
      <c r="FZ89" s="194">
        <f t="shared" si="165"/>
        <v>0</v>
      </c>
      <c r="GA89" s="194">
        <f t="shared" si="165"/>
        <v>0</v>
      </c>
      <c r="GB89" s="194">
        <f t="shared" si="165"/>
        <v>15</v>
      </c>
      <c r="GC89" s="194">
        <f t="shared" si="165"/>
        <v>0</v>
      </c>
      <c r="GD89" s="194">
        <f t="shared" si="165"/>
        <v>0</v>
      </c>
      <c r="GE89" s="194">
        <f t="shared" si="165"/>
        <v>0</v>
      </c>
      <c r="GF89" s="194">
        <f t="shared" si="165"/>
        <v>0</v>
      </c>
      <c r="GG89" s="194">
        <f t="shared" si="165"/>
        <v>0</v>
      </c>
      <c r="GH89" s="194">
        <f t="shared" si="165"/>
        <v>0</v>
      </c>
      <c r="GI89" s="194">
        <f t="shared" si="165"/>
        <v>0</v>
      </c>
      <c r="GJ89" s="194">
        <f t="shared" si="165"/>
        <v>0</v>
      </c>
      <c r="GK89" s="194">
        <f t="shared" si="165"/>
        <v>0</v>
      </c>
      <c r="GL89" s="194">
        <f t="shared" si="165"/>
        <v>0</v>
      </c>
      <c r="GM89" s="194">
        <f t="shared" si="165"/>
        <v>28</v>
      </c>
      <c r="GN89" s="194">
        <f t="shared" si="165"/>
        <v>0</v>
      </c>
      <c r="GO89" s="194">
        <f t="shared" ref="GO89:HT89" si="166">GO9/2+GO12+GO17+GO18</f>
        <v>0</v>
      </c>
      <c r="GP89" s="194">
        <f t="shared" si="166"/>
        <v>0</v>
      </c>
      <c r="GQ89" s="194">
        <f t="shared" si="166"/>
        <v>0</v>
      </c>
      <c r="GR89" s="194">
        <f t="shared" si="166"/>
        <v>0</v>
      </c>
      <c r="GS89" s="194">
        <f t="shared" si="166"/>
        <v>0</v>
      </c>
      <c r="GT89" s="194">
        <f t="shared" si="166"/>
        <v>0</v>
      </c>
      <c r="GU89" s="194">
        <f t="shared" si="166"/>
        <v>0</v>
      </c>
      <c r="GV89" s="194">
        <f t="shared" si="166"/>
        <v>0</v>
      </c>
      <c r="GW89" s="194">
        <f t="shared" si="166"/>
        <v>23.2</v>
      </c>
      <c r="GX89" s="194">
        <f t="shared" si="166"/>
        <v>0</v>
      </c>
      <c r="GY89" s="194">
        <f t="shared" si="166"/>
        <v>0</v>
      </c>
      <c r="GZ89" s="194">
        <f t="shared" si="166"/>
        <v>13.1</v>
      </c>
      <c r="HA89" s="194">
        <f t="shared" si="166"/>
        <v>0</v>
      </c>
      <c r="HB89" s="194">
        <f t="shared" si="166"/>
        <v>0</v>
      </c>
      <c r="HC89" s="194">
        <f t="shared" si="166"/>
        <v>0</v>
      </c>
      <c r="HD89" s="194">
        <f t="shared" si="166"/>
        <v>0</v>
      </c>
      <c r="HE89" s="194">
        <f t="shared" si="166"/>
        <v>0</v>
      </c>
      <c r="HF89" s="194">
        <f t="shared" si="166"/>
        <v>0</v>
      </c>
      <c r="HG89" s="194">
        <f t="shared" si="166"/>
        <v>0</v>
      </c>
      <c r="HH89" s="194">
        <f t="shared" si="166"/>
        <v>0</v>
      </c>
      <c r="HI89" s="194">
        <f t="shared" si="166"/>
        <v>0</v>
      </c>
      <c r="HJ89" s="194">
        <f t="shared" si="166"/>
        <v>0</v>
      </c>
      <c r="HK89" s="194">
        <f t="shared" si="166"/>
        <v>0</v>
      </c>
      <c r="HL89" s="194">
        <f t="shared" si="166"/>
        <v>0</v>
      </c>
      <c r="HM89" s="194">
        <f t="shared" si="166"/>
        <v>0</v>
      </c>
      <c r="HN89" s="194">
        <f t="shared" si="166"/>
        <v>0</v>
      </c>
      <c r="HO89" s="194">
        <f t="shared" si="166"/>
        <v>0</v>
      </c>
      <c r="HP89" s="194">
        <f t="shared" si="166"/>
        <v>0</v>
      </c>
      <c r="HQ89" s="194">
        <f t="shared" si="166"/>
        <v>0</v>
      </c>
      <c r="HR89" s="194">
        <f t="shared" si="166"/>
        <v>0</v>
      </c>
      <c r="HS89" s="194">
        <f t="shared" si="166"/>
        <v>0</v>
      </c>
      <c r="HT89" s="194">
        <f t="shared" si="166"/>
        <v>0</v>
      </c>
    </row>
    <row r="90" spans="1:230" x14ac:dyDescent="0.25">
      <c r="B90" s="495"/>
      <c r="C90" s="8" t="s">
        <v>89</v>
      </c>
      <c r="E90" s="194">
        <f t="shared" ref="E90:AJ90" si="167">E9/2+E16+E19</f>
        <v>39</v>
      </c>
      <c r="F90" s="194">
        <f t="shared" si="167"/>
        <v>0</v>
      </c>
      <c r="G90" s="194">
        <f t="shared" si="167"/>
        <v>0</v>
      </c>
      <c r="H90" s="194">
        <f t="shared" si="167"/>
        <v>0</v>
      </c>
      <c r="I90" s="194">
        <f t="shared" si="167"/>
        <v>34.6</v>
      </c>
      <c r="J90" s="194">
        <f t="shared" si="167"/>
        <v>8</v>
      </c>
      <c r="K90" s="194">
        <f t="shared" si="167"/>
        <v>0</v>
      </c>
      <c r="L90" s="194">
        <f t="shared" si="167"/>
        <v>0</v>
      </c>
      <c r="M90" s="194">
        <f t="shared" si="167"/>
        <v>81.599999999999994</v>
      </c>
      <c r="N90" s="194">
        <f t="shared" si="167"/>
        <v>0</v>
      </c>
      <c r="O90" s="296">
        <f t="shared" si="167"/>
        <v>0</v>
      </c>
      <c r="P90" s="194">
        <f t="shared" si="167"/>
        <v>0</v>
      </c>
      <c r="Q90" s="194">
        <f t="shared" si="167"/>
        <v>0</v>
      </c>
      <c r="R90" s="194">
        <f t="shared" si="167"/>
        <v>0</v>
      </c>
      <c r="S90" s="194">
        <f t="shared" si="167"/>
        <v>0</v>
      </c>
      <c r="T90" s="194">
        <f t="shared" si="167"/>
        <v>0</v>
      </c>
      <c r="U90" s="194">
        <f t="shared" si="167"/>
        <v>0</v>
      </c>
      <c r="V90" s="194">
        <f t="shared" si="167"/>
        <v>24</v>
      </c>
      <c r="W90" s="194">
        <f t="shared" si="167"/>
        <v>8.5500000000000007</v>
      </c>
      <c r="X90" s="194">
        <f t="shared" si="167"/>
        <v>0</v>
      </c>
      <c r="Y90" s="194">
        <f t="shared" si="167"/>
        <v>0</v>
      </c>
      <c r="Z90" s="194">
        <f t="shared" si="167"/>
        <v>0</v>
      </c>
      <c r="AA90" s="194">
        <f t="shared" si="167"/>
        <v>0</v>
      </c>
      <c r="AB90" s="194">
        <f t="shared" si="167"/>
        <v>11.399999999999999</v>
      </c>
      <c r="AC90" s="194">
        <f t="shared" si="167"/>
        <v>2.75</v>
      </c>
      <c r="AD90" s="194">
        <f t="shared" si="167"/>
        <v>0</v>
      </c>
      <c r="AE90" s="292">
        <f t="shared" si="167"/>
        <v>0</v>
      </c>
      <c r="AF90" s="194">
        <f t="shared" si="167"/>
        <v>0</v>
      </c>
      <c r="AG90" s="194">
        <f t="shared" si="167"/>
        <v>88</v>
      </c>
      <c r="AH90" s="194">
        <f t="shared" si="167"/>
        <v>0</v>
      </c>
      <c r="AI90" s="194">
        <f t="shared" si="167"/>
        <v>7.5</v>
      </c>
      <c r="AJ90" s="194">
        <f t="shared" si="167"/>
        <v>0</v>
      </c>
      <c r="AK90" s="194">
        <f t="shared" ref="AK90:BP90" si="168">AK9/2+AK16+AK19</f>
        <v>5</v>
      </c>
      <c r="AL90" s="194">
        <f t="shared" si="168"/>
        <v>0</v>
      </c>
      <c r="AM90" s="194">
        <f t="shared" si="168"/>
        <v>0</v>
      </c>
      <c r="AN90" s="194">
        <f t="shared" si="168"/>
        <v>0</v>
      </c>
      <c r="AO90" s="194">
        <f t="shared" si="168"/>
        <v>0</v>
      </c>
      <c r="AP90" s="194">
        <f t="shared" si="168"/>
        <v>3</v>
      </c>
      <c r="AQ90" s="194">
        <f t="shared" si="168"/>
        <v>0</v>
      </c>
      <c r="AR90" s="194">
        <f t="shared" si="168"/>
        <v>0</v>
      </c>
      <c r="AS90" s="194">
        <f t="shared" si="168"/>
        <v>7.85</v>
      </c>
      <c r="AT90" s="194">
        <f t="shared" si="168"/>
        <v>0</v>
      </c>
      <c r="AU90" s="194">
        <f t="shared" si="168"/>
        <v>0</v>
      </c>
      <c r="AV90" s="194">
        <f t="shared" si="168"/>
        <v>0</v>
      </c>
      <c r="AW90" s="194">
        <f t="shared" si="168"/>
        <v>0</v>
      </c>
      <c r="AX90" s="194">
        <f t="shared" si="168"/>
        <v>0</v>
      </c>
      <c r="AY90" s="194">
        <f t="shared" si="168"/>
        <v>32.549999999999997</v>
      </c>
      <c r="AZ90" s="194">
        <f t="shared" si="168"/>
        <v>0</v>
      </c>
      <c r="BA90" s="194">
        <f t="shared" si="168"/>
        <v>0</v>
      </c>
      <c r="BB90" s="194">
        <f t="shared" si="168"/>
        <v>10.5</v>
      </c>
      <c r="BC90" s="194">
        <f t="shared" si="168"/>
        <v>7.2</v>
      </c>
      <c r="BD90" s="194">
        <f t="shared" si="168"/>
        <v>0</v>
      </c>
      <c r="BE90" s="194">
        <f t="shared" si="168"/>
        <v>0</v>
      </c>
      <c r="BF90" s="194">
        <f t="shared" si="168"/>
        <v>8.1</v>
      </c>
      <c r="BG90" s="194">
        <f t="shared" si="168"/>
        <v>0</v>
      </c>
      <c r="BH90" s="194">
        <f t="shared" si="168"/>
        <v>9.8000000000000007</v>
      </c>
      <c r="BI90" s="194">
        <f t="shared" si="168"/>
        <v>13.1</v>
      </c>
      <c r="BJ90" s="194">
        <f t="shared" si="168"/>
        <v>0</v>
      </c>
      <c r="BK90" s="194">
        <f t="shared" si="168"/>
        <v>0</v>
      </c>
      <c r="BL90" s="194">
        <f t="shared" si="168"/>
        <v>0</v>
      </c>
      <c r="BM90" s="194">
        <f t="shared" si="168"/>
        <v>0</v>
      </c>
      <c r="BN90" s="194">
        <f t="shared" si="168"/>
        <v>0</v>
      </c>
      <c r="BO90" s="194">
        <f t="shared" si="168"/>
        <v>8.1999999999999993</v>
      </c>
      <c r="BP90" s="194">
        <f t="shared" si="168"/>
        <v>11</v>
      </c>
      <c r="BQ90" s="194">
        <f t="shared" ref="BQ90:CV90" si="169">BQ9/2+BQ16+BQ19</f>
        <v>5.5</v>
      </c>
      <c r="BR90" s="194">
        <f t="shared" si="169"/>
        <v>0</v>
      </c>
      <c r="BS90" s="194">
        <f t="shared" si="169"/>
        <v>15.65</v>
      </c>
      <c r="BT90" s="194">
        <f t="shared" si="169"/>
        <v>0</v>
      </c>
      <c r="BU90" s="194">
        <f t="shared" si="169"/>
        <v>0</v>
      </c>
      <c r="BV90" s="194">
        <f t="shared" si="169"/>
        <v>9.25</v>
      </c>
      <c r="BW90" s="194">
        <f t="shared" si="169"/>
        <v>0</v>
      </c>
      <c r="BX90" s="194">
        <f t="shared" si="169"/>
        <v>23.5</v>
      </c>
      <c r="BY90" s="194">
        <f t="shared" si="169"/>
        <v>5.05</v>
      </c>
      <c r="BZ90" s="194">
        <f t="shared" si="169"/>
        <v>0</v>
      </c>
      <c r="CA90" s="194">
        <f t="shared" si="169"/>
        <v>11.5</v>
      </c>
      <c r="CB90" s="194">
        <f t="shared" si="169"/>
        <v>5</v>
      </c>
      <c r="CC90" s="194">
        <f t="shared" si="169"/>
        <v>11.7</v>
      </c>
      <c r="CD90" s="194">
        <f t="shared" si="169"/>
        <v>7</v>
      </c>
      <c r="CE90" s="194">
        <f t="shared" si="169"/>
        <v>6.65</v>
      </c>
      <c r="CF90" s="194">
        <f t="shared" si="169"/>
        <v>0</v>
      </c>
      <c r="CG90" s="194">
        <f t="shared" si="169"/>
        <v>0</v>
      </c>
      <c r="CH90" s="194">
        <f t="shared" si="169"/>
        <v>0</v>
      </c>
      <c r="CI90" s="194">
        <f t="shared" si="169"/>
        <v>0</v>
      </c>
      <c r="CJ90" s="194">
        <f t="shared" si="169"/>
        <v>6.45</v>
      </c>
      <c r="CK90" s="194">
        <f t="shared" si="169"/>
        <v>0</v>
      </c>
      <c r="CL90" s="194">
        <f t="shared" si="169"/>
        <v>35.1</v>
      </c>
      <c r="CM90" s="194">
        <f t="shared" si="169"/>
        <v>10</v>
      </c>
      <c r="CN90" s="194">
        <f t="shared" si="169"/>
        <v>0</v>
      </c>
      <c r="CO90" s="194">
        <f t="shared" si="169"/>
        <v>8</v>
      </c>
      <c r="CP90" s="194">
        <f t="shared" si="169"/>
        <v>7.9</v>
      </c>
      <c r="CQ90" s="194">
        <f t="shared" si="169"/>
        <v>7.5</v>
      </c>
      <c r="CR90" s="194">
        <f t="shared" si="169"/>
        <v>0</v>
      </c>
      <c r="CS90" s="194">
        <f t="shared" si="169"/>
        <v>7.55</v>
      </c>
      <c r="CT90" s="194">
        <f t="shared" si="169"/>
        <v>16.45</v>
      </c>
      <c r="CU90" s="194">
        <f t="shared" si="169"/>
        <v>0</v>
      </c>
      <c r="CV90" s="194">
        <f t="shared" si="169"/>
        <v>5</v>
      </c>
      <c r="CW90" s="194">
        <f t="shared" ref="CW90:EB90" si="170">CW9/2+CW16+CW19</f>
        <v>2.5</v>
      </c>
      <c r="CX90" s="194">
        <f t="shared" si="170"/>
        <v>0</v>
      </c>
      <c r="CY90" s="194">
        <f t="shared" si="170"/>
        <v>4</v>
      </c>
      <c r="CZ90" s="194">
        <f t="shared" si="170"/>
        <v>0</v>
      </c>
      <c r="DA90" s="194">
        <f t="shared" si="170"/>
        <v>23.5</v>
      </c>
      <c r="DB90" s="194">
        <f t="shared" si="170"/>
        <v>0</v>
      </c>
      <c r="DC90" s="194">
        <f t="shared" si="170"/>
        <v>0</v>
      </c>
      <c r="DD90" s="194">
        <f t="shared" si="170"/>
        <v>2.5</v>
      </c>
      <c r="DE90" s="194">
        <f t="shared" si="170"/>
        <v>4</v>
      </c>
      <c r="DF90" s="194">
        <f t="shared" si="170"/>
        <v>3.5</v>
      </c>
      <c r="DG90" s="194">
        <f t="shared" si="170"/>
        <v>10.85</v>
      </c>
      <c r="DH90" s="194">
        <f t="shared" si="170"/>
        <v>0</v>
      </c>
      <c r="DI90" s="194">
        <f t="shared" si="170"/>
        <v>0</v>
      </c>
      <c r="DJ90" s="194">
        <f t="shared" si="170"/>
        <v>8</v>
      </c>
      <c r="DK90" s="194">
        <f t="shared" si="170"/>
        <v>0</v>
      </c>
      <c r="DL90" s="194">
        <f t="shared" si="170"/>
        <v>0</v>
      </c>
      <c r="DM90" s="194">
        <f t="shared" si="170"/>
        <v>6</v>
      </c>
      <c r="DN90" s="194">
        <f t="shared" si="170"/>
        <v>0</v>
      </c>
      <c r="DO90" s="194">
        <f t="shared" si="170"/>
        <v>0</v>
      </c>
      <c r="DP90" s="194">
        <f t="shared" si="170"/>
        <v>0</v>
      </c>
      <c r="DQ90" s="194">
        <f t="shared" si="170"/>
        <v>6</v>
      </c>
      <c r="DR90" s="194">
        <f t="shared" si="170"/>
        <v>0</v>
      </c>
      <c r="DS90" s="194">
        <f t="shared" si="170"/>
        <v>3.5</v>
      </c>
      <c r="DT90" s="194">
        <f t="shared" si="170"/>
        <v>0</v>
      </c>
      <c r="DU90" s="194">
        <f t="shared" si="170"/>
        <v>0</v>
      </c>
      <c r="DV90" s="194">
        <f t="shared" si="170"/>
        <v>3</v>
      </c>
      <c r="DW90" s="194">
        <f t="shared" si="170"/>
        <v>0</v>
      </c>
      <c r="DX90" s="194">
        <f t="shared" si="170"/>
        <v>0</v>
      </c>
      <c r="DY90" s="194">
        <f t="shared" si="170"/>
        <v>9</v>
      </c>
      <c r="DZ90" s="194">
        <f t="shared" si="170"/>
        <v>0</v>
      </c>
      <c r="EA90" s="194">
        <f t="shared" si="170"/>
        <v>0</v>
      </c>
      <c r="EB90" s="194">
        <f t="shared" si="170"/>
        <v>0</v>
      </c>
      <c r="EC90" s="194">
        <f t="shared" ref="EC90:FH90" si="171">EC9/2+EC16+EC19</f>
        <v>0</v>
      </c>
      <c r="ED90" s="194">
        <f t="shared" si="171"/>
        <v>0</v>
      </c>
      <c r="EE90" s="194">
        <f t="shared" si="171"/>
        <v>0</v>
      </c>
      <c r="EF90" s="194">
        <f t="shared" si="171"/>
        <v>0</v>
      </c>
      <c r="EG90" s="194">
        <f t="shared" si="171"/>
        <v>0</v>
      </c>
      <c r="EH90" s="194">
        <f t="shared" si="171"/>
        <v>0</v>
      </c>
      <c r="EI90" s="194">
        <f t="shared" si="171"/>
        <v>0</v>
      </c>
      <c r="EJ90" s="194">
        <f t="shared" si="171"/>
        <v>0</v>
      </c>
      <c r="EK90" s="194">
        <f t="shared" si="171"/>
        <v>0</v>
      </c>
      <c r="EL90" s="194">
        <f t="shared" si="171"/>
        <v>0</v>
      </c>
      <c r="EM90" s="194">
        <f t="shared" si="171"/>
        <v>0</v>
      </c>
      <c r="EN90" s="194">
        <f t="shared" si="171"/>
        <v>0</v>
      </c>
      <c r="EO90" s="194">
        <f t="shared" si="171"/>
        <v>0</v>
      </c>
      <c r="EP90" s="194">
        <f t="shared" si="171"/>
        <v>0</v>
      </c>
      <c r="EQ90" s="194">
        <f t="shared" si="171"/>
        <v>0</v>
      </c>
      <c r="ER90" s="194">
        <f t="shared" si="171"/>
        <v>0</v>
      </c>
      <c r="ES90" s="194">
        <f t="shared" si="171"/>
        <v>0</v>
      </c>
      <c r="ET90" s="194">
        <f t="shared" si="171"/>
        <v>10</v>
      </c>
      <c r="EU90" s="194">
        <f t="shared" si="171"/>
        <v>0</v>
      </c>
      <c r="EV90" s="194">
        <f t="shared" si="171"/>
        <v>0</v>
      </c>
      <c r="EW90" s="194">
        <f t="shared" si="171"/>
        <v>0</v>
      </c>
      <c r="EX90" s="194">
        <f t="shared" si="171"/>
        <v>0</v>
      </c>
      <c r="EY90" s="194">
        <f t="shared" si="171"/>
        <v>0</v>
      </c>
      <c r="EZ90" s="194">
        <f t="shared" si="171"/>
        <v>12.3</v>
      </c>
      <c r="FA90" s="194">
        <f t="shared" si="171"/>
        <v>0</v>
      </c>
      <c r="FB90" s="194">
        <f t="shared" si="171"/>
        <v>0</v>
      </c>
      <c r="FC90" s="194">
        <f t="shared" si="171"/>
        <v>0</v>
      </c>
      <c r="FD90" s="194">
        <f t="shared" si="171"/>
        <v>0</v>
      </c>
      <c r="FE90" s="194">
        <f t="shared" si="171"/>
        <v>0</v>
      </c>
      <c r="FF90" s="194">
        <f t="shared" si="171"/>
        <v>0</v>
      </c>
      <c r="FG90" s="194">
        <f t="shared" si="171"/>
        <v>0</v>
      </c>
      <c r="FH90" s="194">
        <f t="shared" si="171"/>
        <v>0</v>
      </c>
      <c r="FI90" s="194">
        <f t="shared" ref="FI90:GN90" si="172">FI9/2+FI16+FI19</f>
        <v>0</v>
      </c>
      <c r="FJ90" s="194">
        <f t="shared" si="172"/>
        <v>17.600000000000001</v>
      </c>
      <c r="FK90" s="194">
        <f t="shared" si="172"/>
        <v>0</v>
      </c>
      <c r="FL90" s="194">
        <f t="shared" si="172"/>
        <v>0</v>
      </c>
      <c r="FM90" s="194">
        <f t="shared" si="172"/>
        <v>0</v>
      </c>
      <c r="FN90" s="194">
        <f t="shared" si="172"/>
        <v>0</v>
      </c>
      <c r="FO90" s="194">
        <f t="shared" si="172"/>
        <v>0</v>
      </c>
      <c r="FP90" s="194">
        <f t="shared" si="172"/>
        <v>0</v>
      </c>
      <c r="FQ90" s="194">
        <f t="shared" si="172"/>
        <v>0</v>
      </c>
      <c r="FR90" s="194">
        <f t="shared" si="172"/>
        <v>0</v>
      </c>
      <c r="FS90" s="194">
        <f t="shared" si="172"/>
        <v>0</v>
      </c>
      <c r="FT90" s="194">
        <f t="shared" si="172"/>
        <v>0</v>
      </c>
      <c r="FU90" s="194">
        <f t="shared" si="172"/>
        <v>0</v>
      </c>
      <c r="FV90" s="194">
        <f t="shared" si="172"/>
        <v>0</v>
      </c>
      <c r="FW90" s="194">
        <f t="shared" si="172"/>
        <v>0</v>
      </c>
      <c r="FX90" s="194">
        <f t="shared" si="172"/>
        <v>0</v>
      </c>
      <c r="FY90" s="194">
        <f t="shared" si="172"/>
        <v>0</v>
      </c>
      <c r="FZ90" s="194">
        <f t="shared" si="172"/>
        <v>0</v>
      </c>
      <c r="GA90" s="194">
        <f t="shared" si="172"/>
        <v>0</v>
      </c>
      <c r="GB90" s="194">
        <f t="shared" si="172"/>
        <v>0</v>
      </c>
      <c r="GC90" s="194">
        <f t="shared" si="172"/>
        <v>0</v>
      </c>
      <c r="GD90" s="194">
        <f t="shared" si="172"/>
        <v>0</v>
      </c>
      <c r="GE90" s="194">
        <f t="shared" si="172"/>
        <v>0</v>
      </c>
      <c r="GF90" s="194">
        <f t="shared" si="172"/>
        <v>0</v>
      </c>
      <c r="GG90" s="194">
        <f t="shared" si="172"/>
        <v>0</v>
      </c>
      <c r="GH90" s="194">
        <f t="shared" si="172"/>
        <v>0</v>
      </c>
      <c r="GI90" s="194">
        <f t="shared" si="172"/>
        <v>0</v>
      </c>
      <c r="GJ90" s="194">
        <f t="shared" si="172"/>
        <v>0</v>
      </c>
      <c r="GK90" s="194">
        <f t="shared" si="172"/>
        <v>0</v>
      </c>
      <c r="GL90" s="194">
        <f t="shared" si="172"/>
        <v>0</v>
      </c>
      <c r="GM90" s="194">
        <f t="shared" si="172"/>
        <v>0</v>
      </c>
      <c r="GN90" s="194">
        <f t="shared" si="172"/>
        <v>0</v>
      </c>
      <c r="GO90" s="194">
        <f t="shared" ref="GO90:HT90" si="173">GO9/2+GO16+GO19</f>
        <v>0</v>
      </c>
      <c r="GP90" s="194">
        <f t="shared" si="173"/>
        <v>0</v>
      </c>
      <c r="GQ90" s="194">
        <f t="shared" si="173"/>
        <v>0</v>
      </c>
      <c r="GR90" s="194">
        <f t="shared" si="173"/>
        <v>0</v>
      </c>
      <c r="GS90" s="194">
        <f t="shared" si="173"/>
        <v>0</v>
      </c>
      <c r="GT90" s="194">
        <f t="shared" si="173"/>
        <v>0</v>
      </c>
      <c r="GU90" s="194">
        <f t="shared" si="173"/>
        <v>0</v>
      </c>
      <c r="GV90" s="194">
        <f t="shared" si="173"/>
        <v>0</v>
      </c>
      <c r="GW90" s="194">
        <f t="shared" si="173"/>
        <v>0</v>
      </c>
      <c r="GX90" s="194">
        <f t="shared" si="173"/>
        <v>0</v>
      </c>
      <c r="GY90" s="194">
        <f t="shared" si="173"/>
        <v>0</v>
      </c>
      <c r="GZ90" s="194">
        <f t="shared" si="173"/>
        <v>0</v>
      </c>
      <c r="HA90" s="194">
        <f t="shared" si="173"/>
        <v>0</v>
      </c>
      <c r="HB90" s="194">
        <f t="shared" si="173"/>
        <v>0</v>
      </c>
      <c r="HC90" s="194">
        <f t="shared" si="173"/>
        <v>0</v>
      </c>
      <c r="HD90" s="194">
        <f t="shared" si="173"/>
        <v>0</v>
      </c>
      <c r="HE90" s="194">
        <f t="shared" si="173"/>
        <v>0</v>
      </c>
      <c r="HF90" s="194">
        <f t="shared" si="173"/>
        <v>0</v>
      </c>
      <c r="HG90" s="194">
        <f t="shared" si="173"/>
        <v>0</v>
      </c>
      <c r="HH90" s="194">
        <f t="shared" si="173"/>
        <v>0</v>
      </c>
      <c r="HI90" s="194">
        <f t="shared" si="173"/>
        <v>0</v>
      </c>
      <c r="HJ90" s="194">
        <f t="shared" si="173"/>
        <v>0</v>
      </c>
      <c r="HK90" s="194">
        <f t="shared" si="173"/>
        <v>0</v>
      </c>
      <c r="HL90" s="194">
        <f t="shared" si="173"/>
        <v>0</v>
      </c>
      <c r="HM90" s="194">
        <f t="shared" si="173"/>
        <v>0</v>
      </c>
      <c r="HN90" s="194">
        <f t="shared" si="173"/>
        <v>0</v>
      </c>
      <c r="HO90" s="194">
        <f t="shared" si="173"/>
        <v>0</v>
      </c>
      <c r="HP90" s="194">
        <f t="shared" si="173"/>
        <v>0</v>
      </c>
      <c r="HQ90" s="194">
        <f t="shared" si="173"/>
        <v>0</v>
      </c>
      <c r="HR90" s="194">
        <f t="shared" si="173"/>
        <v>0</v>
      </c>
      <c r="HS90" s="194">
        <f t="shared" si="173"/>
        <v>0</v>
      </c>
      <c r="HT90" s="194">
        <f t="shared" si="173"/>
        <v>0</v>
      </c>
      <c r="HV90" s="194"/>
    </row>
    <row r="91" spans="1:230" x14ac:dyDescent="0.25">
      <c r="M91"/>
      <c r="N91"/>
      <c r="O91" s="293"/>
      <c r="AE91" s="293"/>
      <c r="HU91">
        <v>69</v>
      </c>
    </row>
    <row r="92" spans="1:230" x14ac:dyDescent="0.25">
      <c r="B92" s="495" t="s">
        <v>16</v>
      </c>
      <c r="C92" s="8" t="s">
        <v>79</v>
      </c>
      <c r="E92" s="194">
        <f t="shared" ref="E92:AJ92" si="174">E23+E24+E26+E27+E28</f>
        <v>13</v>
      </c>
      <c r="F92" s="194">
        <f t="shared" si="174"/>
        <v>0</v>
      </c>
      <c r="G92" s="194">
        <f t="shared" si="174"/>
        <v>0</v>
      </c>
      <c r="H92" s="194">
        <f t="shared" si="174"/>
        <v>34.5</v>
      </c>
      <c r="I92" s="194">
        <f t="shared" si="174"/>
        <v>15</v>
      </c>
      <c r="J92" s="194">
        <f t="shared" si="174"/>
        <v>18.7</v>
      </c>
      <c r="K92" s="194">
        <f t="shared" si="174"/>
        <v>0</v>
      </c>
      <c r="L92" s="194">
        <f t="shared" si="174"/>
        <v>17</v>
      </c>
      <c r="M92" s="194">
        <f t="shared" si="174"/>
        <v>98.2</v>
      </c>
      <c r="N92" s="194">
        <f t="shared" si="174"/>
        <v>0</v>
      </c>
      <c r="O92" s="296">
        <f t="shared" si="174"/>
        <v>0</v>
      </c>
      <c r="P92" s="194">
        <f t="shared" si="174"/>
        <v>0</v>
      </c>
      <c r="Q92" s="194">
        <f t="shared" si="174"/>
        <v>9.5</v>
      </c>
      <c r="R92" s="194">
        <f t="shared" si="174"/>
        <v>0</v>
      </c>
      <c r="S92" s="194">
        <f t="shared" si="174"/>
        <v>10</v>
      </c>
      <c r="T92" s="194">
        <f t="shared" si="174"/>
        <v>0</v>
      </c>
      <c r="U92" s="194">
        <f t="shared" si="174"/>
        <v>17.600000000000001</v>
      </c>
      <c r="V92" s="194">
        <f t="shared" si="174"/>
        <v>0</v>
      </c>
      <c r="W92" s="194">
        <f t="shared" si="174"/>
        <v>0</v>
      </c>
      <c r="X92" s="194">
        <f t="shared" si="174"/>
        <v>0</v>
      </c>
      <c r="Y92" s="194">
        <f t="shared" si="174"/>
        <v>27.8</v>
      </c>
      <c r="Z92" s="194">
        <f t="shared" si="174"/>
        <v>0</v>
      </c>
      <c r="AA92" s="194">
        <f t="shared" si="174"/>
        <v>0</v>
      </c>
      <c r="AB92" s="194">
        <f t="shared" si="174"/>
        <v>0</v>
      </c>
      <c r="AC92" s="194">
        <f t="shared" si="174"/>
        <v>0</v>
      </c>
      <c r="AD92" s="194">
        <f t="shared" si="174"/>
        <v>0</v>
      </c>
      <c r="AE92" s="292">
        <f t="shared" si="174"/>
        <v>0</v>
      </c>
      <c r="AF92" s="194">
        <f t="shared" si="174"/>
        <v>0</v>
      </c>
      <c r="AG92" s="194">
        <f t="shared" si="174"/>
        <v>19</v>
      </c>
      <c r="AH92" s="194">
        <f t="shared" si="174"/>
        <v>0</v>
      </c>
      <c r="AI92" s="194">
        <f t="shared" si="174"/>
        <v>0</v>
      </c>
      <c r="AJ92" s="194">
        <f t="shared" si="174"/>
        <v>0</v>
      </c>
      <c r="AK92" s="194">
        <f t="shared" ref="AK92:BP92" si="175">AK23+AK24+AK26+AK27+AK28</f>
        <v>0</v>
      </c>
      <c r="AL92" s="194">
        <f t="shared" si="175"/>
        <v>25.5</v>
      </c>
      <c r="AM92" s="194">
        <f t="shared" si="175"/>
        <v>16.5</v>
      </c>
      <c r="AN92" s="194">
        <f t="shared" si="175"/>
        <v>0</v>
      </c>
      <c r="AO92" s="194">
        <f t="shared" si="175"/>
        <v>0</v>
      </c>
      <c r="AP92" s="194">
        <f t="shared" si="175"/>
        <v>16.5</v>
      </c>
      <c r="AQ92" s="194">
        <f t="shared" si="175"/>
        <v>0</v>
      </c>
      <c r="AR92" s="194">
        <f t="shared" si="175"/>
        <v>0</v>
      </c>
      <c r="AS92" s="194">
        <f t="shared" si="175"/>
        <v>0</v>
      </c>
      <c r="AT92" s="194">
        <f t="shared" si="175"/>
        <v>21</v>
      </c>
      <c r="AU92" s="194">
        <f t="shared" si="175"/>
        <v>0</v>
      </c>
      <c r="AV92" s="194">
        <f t="shared" si="175"/>
        <v>0</v>
      </c>
      <c r="AW92" s="194">
        <f t="shared" si="175"/>
        <v>0</v>
      </c>
      <c r="AX92" s="194">
        <f t="shared" si="175"/>
        <v>20</v>
      </c>
      <c r="AY92" s="194">
        <f t="shared" si="175"/>
        <v>9.8000000000000007</v>
      </c>
      <c r="AZ92" s="194">
        <f t="shared" si="175"/>
        <v>0</v>
      </c>
      <c r="BA92" s="194">
        <f t="shared" si="175"/>
        <v>0</v>
      </c>
      <c r="BB92" s="194">
        <f t="shared" si="175"/>
        <v>0</v>
      </c>
      <c r="BC92" s="194">
        <f t="shared" si="175"/>
        <v>0</v>
      </c>
      <c r="BD92" s="194">
        <f t="shared" si="175"/>
        <v>0</v>
      </c>
      <c r="BE92" s="194">
        <f t="shared" si="175"/>
        <v>0</v>
      </c>
      <c r="BF92" s="194">
        <f t="shared" si="175"/>
        <v>0</v>
      </c>
      <c r="BG92" s="194">
        <f t="shared" si="175"/>
        <v>0</v>
      </c>
      <c r="BH92" s="194">
        <f t="shared" si="175"/>
        <v>0</v>
      </c>
      <c r="BI92" s="194">
        <f t="shared" si="175"/>
        <v>0</v>
      </c>
      <c r="BJ92" s="194">
        <f t="shared" si="175"/>
        <v>0</v>
      </c>
      <c r="BK92" s="194">
        <f t="shared" si="175"/>
        <v>0</v>
      </c>
      <c r="BL92" s="194">
        <f t="shared" si="175"/>
        <v>0</v>
      </c>
      <c r="BM92" s="194">
        <f t="shared" si="175"/>
        <v>0</v>
      </c>
      <c r="BN92" s="194">
        <f t="shared" si="175"/>
        <v>0</v>
      </c>
      <c r="BO92" s="194">
        <f t="shared" si="175"/>
        <v>0</v>
      </c>
      <c r="BP92" s="194">
        <f t="shared" si="175"/>
        <v>0</v>
      </c>
      <c r="BQ92" s="194">
        <f t="shared" ref="BQ92:CV92" si="176">BQ23+BQ24+BQ26+BQ27+BQ28</f>
        <v>0</v>
      </c>
      <c r="BR92" s="194">
        <f t="shared" si="176"/>
        <v>0</v>
      </c>
      <c r="BS92" s="194">
        <f t="shared" si="176"/>
        <v>0</v>
      </c>
      <c r="BT92" s="194">
        <f t="shared" si="176"/>
        <v>0</v>
      </c>
      <c r="BU92" s="194">
        <f t="shared" si="176"/>
        <v>7</v>
      </c>
      <c r="BV92" s="194">
        <f t="shared" si="176"/>
        <v>0</v>
      </c>
      <c r="BW92" s="194">
        <f t="shared" si="176"/>
        <v>0</v>
      </c>
      <c r="BX92" s="194">
        <f t="shared" si="176"/>
        <v>0</v>
      </c>
      <c r="BY92" s="194">
        <f t="shared" si="176"/>
        <v>0</v>
      </c>
      <c r="BZ92" s="194">
        <f t="shared" si="176"/>
        <v>0</v>
      </c>
      <c r="CA92" s="194">
        <f t="shared" si="176"/>
        <v>0</v>
      </c>
      <c r="CB92" s="194">
        <f t="shared" si="176"/>
        <v>22</v>
      </c>
      <c r="CC92" s="194">
        <f t="shared" si="176"/>
        <v>0</v>
      </c>
      <c r="CD92" s="194">
        <f t="shared" si="176"/>
        <v>0</v>
      </c>
      <c r="CE92" s="194">
        <f t="shared" si="176"/>
        <v>0</v>
      </c>
      <c r="CF92" s="194">
        <f t="shared" si="176"/>
        <v>0</v>
      </c>
      <c r="CG92" s="194">
        <f t="shared" si="176"/>
        <v>0</v>
      </c>
      <c r="CH92" s="194">
        <f t="shared" si="176"/>
        <v>0</v>
      </c>
      <c r="CI92" s="194">
        <f t="shared" si="176"/>
        <v>20.5</v>
      </c>
      <c r="CJ92" s="194">
        <f t="shared" si="176"/>
        <v>0</v>
      </c>
      <c r="CK92" s="194">
        <f t="shared" si="176"/>
        <v>0</v>
      </c>
      <c r="CL92" s="194">
        <f t="shared" si="176"/>
        <v>0</v>
      </c>
      <c r="CM92" s="194">
        <f t="shared" si="176"/>
        <v>45</v>
      </c>
      <c r="CN92" s="194">
        <f t="shared" si="176"/>
        <v>0</v>
      </c>
      <c r="CO92" s="194">
        <f t="shared" si="176"/>
        <v>31</v>
      </c>
      <c r="CP92" s="194">
        <f t="shared" si="176"/>
        <v>17.7</v>
      </c>
      <c r="CQ92" s="194">
        <f t="shared" si="176"/>
        <v>0</v>
      </c>
      <c r="CR92" s="194">
        <f t="shared" si="176"/>
        <v>0</v>
      </c>
      <c r="CS92" s="194">
        <f t="shared" si="176"/>
        <v>0</v>
      </c>
      <c r="CT92" s="194">
        <f t="shared" si="176"/>
        <v>0</v>
      </c>
      <c r="CU92" s="194">
        <f t="shared" si="176"/>
        <v>0</v>
      </c>
      <c r="CV92" s="194">
        <f t="shared" si="176"/>
        <v>0</v>
      </c>
      <c r="CW92" s="194">
        <f t="shared" ref="CW92:EB92" si="177">CW23+CW24+CW26+CW27+CW28</f>
        <v>42</v>
      </c>
      <c r="CX92" s="194">
        <f t="shared" si="177"/>
        <v>0</v>
      </c>
      <c r="CY92" s="194">
        <f t="shared" si="177"/>
        <v>0</v>
      </c>
      <c r="CZ92" s="194">
        <f t="shared" si="177"/>
        <v>0</v>
      </c>
      <c r="DA92" s="194">
        <f t="shared" si="177"/>
        <v>45</v>
      </c>
      <c r="DB92" s="194">
        <f t="shared" si="177"/>
        <v>0</v>
      </c>
      <c r="DC92" s="194">
        <f t="shared" si="177"/>
        <v>15.5</v>
      </c>
      <c r="DD92" s="194">
        <f t="shared" si="177"/>
        <v>0</v>
      </c>
      <c r="DE92" s="194">
        <f t="shared" si="177"/>
        <v>21.5</v>
      </c>
      <c r="DF92" s="194">
        <f t="shared" si="177"/>
        <v>0</v>
      </c>
      <c r="DG92" s="194">
        <f t="shared" si="177"/>
        <v>0</v>
      </c>
      <c r="DH92" s="194">
        <f t="shared" si="177"/>
        <v>20.100000000000001</v>
      </c>
      <c r="DI92" s="194">
        <f t="shared" si="177"/>
        <v>0</v>
      </c>
      <c r="DJ92" s="194">
        <f t="shared" si="177"/>
        <v>0</v>
      </c>
      <c r="DK92" s="194">
        <f t="shared" si="177"/>
        <v>0</v>
      </c>
      <c r="DL92" s="194">
        <f t="shared" si="177"/>
        <v>23.3</v>
      </c>
      <c r="DM92" s="194">
        <f t="shared" si="177"/>
        <v>0</v>
      </c>
      <c r="DN92" s="194">
        <f t="shared" si="177"/>
        <v>0</v>
      </c>
      <c r="DO92" s="194">
        <f t="shared" si="177"/>
        <v>17.5</v>
      </c>
      <c r="DP92" s="194">
        <f t="shared" si="177"/>
        <v>0</v>
      </c>
      <c r="DQ92" s="194">
        <f t="shared" si="177"/>
        <v>7.6</v>
      </c>
      <c r="DR92" s="194">
        <f t="shared" si="177"/>
        <v>0</v>
      </c>
      <c r="DS92" s="194">
        <f t="shared" si="177"/>
        <v>0</v>
      </c>
      <c r="DT92" s="194">
        <f t="shared" si="177"/>
        <v>53.7</v>
      </c>
      <c r="DU92" s="194">
        <f t="shared" si="177"/>
        <v>0</v>
      </c>
      <c r="DV92" s="194">
        <f t="shared" si="177"/>
        <v>0</v>
      </c>
      <c r="DW92" s="194">
        <f t="shared" si="177"/>
        <v>0</v>
      </c>
      <c r="DX92" s="194">
        <f t="shared" si="177"/>
        <v>0</v>
      </c>
      <c r="DY92" s="194">
        <f t="shared" si="177"/>
        <v>63.4</v>
      </c>
      <c r="DZ92" s="194">
        <f t="shared" si="177"/>
        <v>0</v>
      </c>
      <c r="EA92" s="194">
        <f t="shared" si="177"/>
        <v>0</v>
      </c>
      <c r="EB92" s="194">
        <f t="shared" si="177"/>
        <v>0</v>
      </c>
      <c r="EC92" s="194">
        <f t="shared" ref="EC92:FH92" si="178">EC23+EC24+EC26+EC27+EC28</f>
        <v>0</v>
      </c>
      <c r="ED92" s="194">
        <f t="shared" si="178"/>
        <v>0</v>
      </c>
      <c r="EE92" s="194">
        <f t="shared" si="178"/>
        <v>0</v>
      </c>
      <c r="EF92" s="194">
        <f t="shared" si="178"/>
        <v>0</v>
      </c>
      <c r="EG92" s="194">
        <f t="shared" si="178"/>
        <v>0</v>
      </c>
      <c r="EH92" s="194">
        <f t="shared" si="178"/>
        <v>0</v>
      </c>
      <c r="EI92" s="194">
        <f t="shared" si="178"/>
        <v>0</v>
      </c>
      <c r="EJ92" s="194">
        <f t="shared" si="178"/>
        <v>7.1</v>
      </c>
      <c r="EK92" s="194">
        <f t="shared" si="178"/>
        <v>0</v>
      </c>
      <c r="EL92" s="194">
        <f t="shared" si="178"/>
        <v>0</v>
      </c>
      <c r="EM92" s="194">
        <f t="shared" si="178"/>
        <v>0</v>
      </c>
      <c r="EN92" s="194">
        <f t="shared" si="178"/>
        <v>0</v>
      </c>
      <c r="EO92" s="194">
        <f t="shared" si="178"/>
        <v>0</v>
      </c>
      <c r="EP92" s="194">
        <f t="shared" si="178"/>
        <v>0</v>
      </c>
      <c r="EQ92" s="194">
        <f t="shared" si="178"/>
        <v>0</v>
      </c>
      <c r="ER92" s="194">
        <f t="shared" si="178"/>
        <v>0</v>
      </c>
      <c r="ES92" s="194">
        <f t="shared" si="178"/>
        <v>0</v>
      </c>
      <c r="ET92" s="194">
        <f t="shared" si="178"/>
        <v>0</v>
      </c>
      <c r="EU92" s="194">
        <f t="shared" si="178"/>
        <v>0</v>
      </c>
      <c r="EV92" s="194">
        <f t="shared" si="178"/>
        <v>0</v>
      </c>
      <c r="EW92" s="194">
        <f t="shared" si="178"/>
        <v>0</v>
      </c>
      <c r="EX92" s="194">
        <f t="shared" si="178"/>
        <v>0</v>
      </c>
      <c r="EY92" s="194">
        <f t="shared" si="178"/>
        <v>0</v>
      </c>
      <c r="EZ92" s="194">
        <f t="shared" si="178"/>
        <v>0</v>
      </c>
      <c r="FA92" s="194">
        <f t="shared" si="178"/>
        <v>0</v>
      </c>
      <c r="FB92" s="194">
        <f t="shared" si="178"/>
        <v>0</v>
      </c>
      <c r="FC92" s="194">
        <f t="shared" si="178"/>
        <v>0</v>
      </c>
      <c r="FD92" s="194">
        <f t="shared" si="178"/>
        <v>0</v>
      </c>
      <c r="FE92" s="194">
        <f t="shared" si="178"/>
        <v>0</v>
      </c>
      <c r="FF92" s="194">
        <f t="shared" si="178"/>
        <v>0</v>
      </c>
      <c r="FG92" s="194">
        <f t="shared" si="178"/>
        <v>0</v>
      </c>
      <c r="FH92" s="194">
        <f t="shared" si="178"/>
        <v>0</v>
      </c>
      <c r="FI92" s="194">
        <f t="shared" ref="FI92:GN92" si="179">FI23+FI24+FI26+FI27+FI28</f>
        <v>0</v>
      </c>
      <c r="FJ92" s="194">
        <f t="shared" si="179"/>
        <v>0</v>
      </c>
      <c r="FK92" s="194">
        <f t="shared" si="179"/>
        <v>0</v>
      </c>
      <c r="FL92" s="194">
        <f t="shared" si="179"/>
        <v>0</v>
      </c>
      <c r="FM92" s="194">
        <f t="shared" si="179"/>
        <v>0</v>
      </c>
      <c r="FN92" s="194">
        <f t="shared" si="179"/>
        <v>0</v>
      </c>
      <c r="FO92" s="194">
        <f t="shared" si="179"/>
        <v>0</v>
      </c>
      <c r="FP92" s="194">
        <f t="shared" si="179"/>
        <v>0</v>
      </c>
      <c r="FQ92" s="194">
        <f t="shared" si="179"/>
        <v>0</v>
      </c>
      <c r="FR92" s="194">
        <f t="shared" si="179"/>
        <v>0</v>
      </c>
      <c r="FS92" s="194">
        <f t="shared" si="179"/>
        <v>0</v>
      </c>
      <c r="FT92" s="194">
        <f t="shared" si="179"/>
        <v>0</v>
      </c>
      <c r="FU92" s="194">
        <f t="shared" si="179"/>
        <v>0</v>
      </c>
      <c r="FV92" s="194">
        <f t="shared" si="179"/>
        <v>0</v>
      </c>
      <c r="FW92" s="194">
        <f t="shared" si="179"/>
        <v>0</v>
      </c>
      <c r="FX92" s="194">
        <f t="shared" si="179"/>
        <v>0</v>
      </c>
      <c r="FY92" s="194">
        <f t="shared" si="179"/>
        <v>0</v>
      </c>
      <c r="FZ92" s="194">
        <f t="shared" si="179"/>
        <v>0</v>
      </c>
      <c r="GA92" s="194">
        <f t="shared" si="179"/>
        <v>0</v>
      </c>
      <c r="GB92" s="194">
        <f t="shared" si="179"/>
        <v>0</v>
      </c>
      <c r="GC92" s="194">
        <f t="shared" si="179"/>
        <v>0</v>
      </c>
      <c r="GD92" s="194">
        <f t="shared" si="179"/>
        <v>0</v>
      </c>
      <c r="GE92" s="194">
        <f t="shared" si="179"/>
        <v>0</v>
      </c>
      <c r="GF92" s="194">
        <f t="shared" si="179"/>
        <v>0</v>
      </c>
      <c r="GG92" s="194">
        <f t="shared" si="179"/>
        <v>0</v>
      </c>
      <c r="GH92" s="194">
        <f t="shared" si="179"/>
        <v>0</v>
      </c>
      <c r="GI92" s="194">
        <f t="shared" si="179"/>
        <v>0</v>
      </c>
      <c r="GJ92" s="194">
        <f t="shared" si="179"/>
        <v>0</v>
      </c>
      <c r="GK92" s="194">
        <f t="shared" si="179"/>
        <v>0</v>
      </c>
      <c r="GL92" s="194">
        <f t="shared" si="179"/>
        <v>0</v>
      </c>
      <c r="GM92" s="194">
        <f t="shared" si="179"/>
        <v>0</v>
      </c>
      <c r="GN92" s="194">
        <f t="shared" si="179"/>
        <v>0</v>
      </c>
      <c r="GO92" s="194">
        <f t="shared" ref="GO92:HT92" si="180">GO23+GO24+GO26+GO27+GO28</f>
        <v>0</v>
      </c>
      <c r="GP92" s="194">
        <f t="shared" si="180"/>
        <v>0</v>
      </c>
      <c r="GQ92" s="194">
        <f t="shared" si="180"/>
        <v>0</v>
      </c>
      <c r="GR92" s="194">
        <f t="shared" si="180"/>
        <v>0</v>
      </c>
      <c r="GS92" s="194">
        <f t="shared" si="180"/>
        <v>0</v>
      </c>
      <c r="GT92" s="194">
        <f t="shared" si="180"/>
        <v>0</v>
      </c>
      <c r="GU92" s="194">
        <f t="shared" si="180"/>
        <v>0</v>
      </c>
      <c r="GV92" s="194">
        <f t="shared" si="180"/>
        <v>0</v>
      </c>
      <c r="GW92" s="194">
        <f t="shared" si="180"/>
        <v>2.5</v>
      </c>
      <c r="GX92" s="194">
        <f t="shared" si="180"/>
        <v>0</v>
      </c>
      <c r="GY92" s="194">
        <f t="shared" si="180"/>
        <v>0</v>
      </c>
      <c r="GZ92" s="194">
        <f t="shared" si="180"/>
        <v>0</v>
      </c>
      <c r="HA92" s="194">
        <f t="shared" si="180"/>
        <v>0</v>
      </c>
      <c r="HB92" s="194">
        <f t="shared" si="180"/>
        <v>0</v>
      </c>
      <c r="HC92" s="194">
        <f t="shared" si="180"/>
        <v>0</v>
      </c>
      <c r="HD92" s="194">
        <f t="shared" si="180"/>
        <v>0</v>
      </c>
      <c r="HE92" s="194">
        <f t="shared" si="180"/>
        <v>0</v>
      </c>
      <c r="HF92" s="194">
        <f t="shared" si="180"/>
        <v>0</v>
      </c>
      <c r="HG92" s="194">
        <f t="shared" si="180"/>
        <v>0</v>
      </c>
      <c r="HH92" s="194">
        <f t="shared" si="180"/>
        <v>0</v>
      </c>
      <c r="HI92" s="194">
        <f t="shared" si="180"/>
        <v>0</v>
      </c>
      <c r="HJ92" s="194">
        <f t="shared" si="180"/>
        <v>0</v>
      </c>
      <c r="HK92" s="194">
        <f t="shared" si="180"/>
        <v>0</v>
      </c>
      <c r="HL92" s="194">
        <f t="shared" si="180"/>
        <v>0</v>
      </c>
      <c r="HM92" s="194">
        <f t="shared" si="180"/>
        <v>0</v>
      </c>
      <c r="HN92" s="194">
        <f t="shared" si="180"/>
        <v>0</v>
      </c>
      <c r="HO92" s="194">
        <f t="shared" si="180"/>
        <v>0</v>
      </c>
      <c r="HP92" s="194">
        <f t="shared" si="180"/>
        <v>0</v>
      </c>
      <c r="HQ92" s="194">
        <f t="shared" si="180"/>
        <v>0</v>
      </c>
      <c r="HR92" s="194">
        <f t="shared" si="180"/>
        <v>0</v>
      </c>
      <c r="HS92" s="194">
        <f t="shared" si="180"/>
        <v>0</v>
      </c>
      <c r="HT92" s="194">
        <f t="shared" si="180"/>
        <v>0</v>
      </c>
      <c r="HU92">
        <v>87</v>
      </c>
    </row>
    <row r="93" spans="1:230" x14ac:dyDescent="0.25">
      <c r="B93" s="495"/>
      <c r="C93" s="8" t="s">
        <v>80</v>
      </c>
      <c r="E93" s="194">
        <f t="shared" ref="E93:AJ93" si="181">E22/2+E25+E30+E31</f>
        <v>0</v>
      </c>
      <c r="F93" s="194">
        <f t="shared" si="181"/>
        <v>0</v>
      </c>
      <c r="G93" s="194">
        <f t="shared" si="181"/>
        <v>0</v>
      </c>
      <c r="H93" s="194">
        <f t="shared" si="181"/>
        <v>0</v>
      </c>
      <c r="I93" s="194">
        <f t="shared" si="181"/>
        <v>0</v>
      </c>
      <c r="J93" s="194">
        <f t="shared" si="181"/>
        <v>0</v>
      </c>
      <c r="K93" s="194">
        <f t="shared" si="181"/>
        <v>0</v>
      </c>
      <c r="L93" s="194">
        <f t="shared" si="181"/>
        <v>0</v>
      </c>
      <c r="M93" s="194">
        <f t="shared" si="181"/>
        <v>0</v>
      </c>
      <c r="N93" s="194">
        <f t="shared" si="181"/>
        <v>0</v>
      </c>
      <c r="O93" s="296">
        <f t="shared" si="181"/>
        <v>0</v>
      </c>
      <c r="P93" s="194">
        <f t="shared" si="181"/>
        <v>0</v>
      </c>
      <c r="Q93" s="194">
        <f t="shared" si="181"/>
        <v>0</v>
      </c>
      <c r="R93" s="194">
        <f t="shared" si="181"/>
        <v>0</v>
      </c>
      <c r="S93" s="194">
        <f t="shared" si="181"/>
        <v>0</v>
      </c>
      <c r="T93" s="194">
        <f t="shared" si="181"/>
        <v>0</v>
      </c>
      <c r="U93" s="194">
        <f t="shared" si="181"/>
        <v>0</v>
      </c>
      <c r="V93" s="194">
        <f t="shared" si="181"/>
        <v>0</v>
      </c>
      <c r="W93" s="194">
        <f t="shared" si="181"/>
        <v>0</v>
      </c>
      <c r="X93" s="194">
        <f t="shared" si="181"/>
        <v>0</v>
      </c>
      <c r="Y93" s="194">
        <f t="shared" si="181"/>
        <v>0</v>
      </c>
      <c r="Z93" s="194">
        <f t="shared" si="181"/>
        <v>0</v>
      </c>
      <c r="AA93" s="194">
        <f t="shared" si="181"/>
        <v>0</v>
      </c>
      <c r="AB93" s="194">
        <f t="shared" si="181"/>
        <v>0</v>
      </c>
      <c r="AC93" s="194">
        <f t="shared" si="181"/>
        <v>0</v>
      </c>
      <c r="AD93" s="194">
        <f t="shared" si="181"/>
        <v>0</v>
      </c>
      <c r="AE93" s="194">
        <f t="shared" si="181"/>
        <v>0</v>
      </c>
      <c r="AF93" s="194">
        <f t="shared" si="181"/>
        <v>0</v>
      </c>
      <c r="AG93" s="194">
        <f t="shared" si="181"/>
        <v>0</v>
      </c>
      <c r="AH93" s="194">
        <f t="shared" si="181"/>
        <v>0</v>
      </c>
      <c r="AI93" s="194">
        <f t="shared" si="181"/>
        <v>0</v>
      </c>
      <c r="AJ93" s="194">
        <f t="shared" si="181"/>
        <v>0</v>
      </c>
      <c r="AK93" s="194">
        <f t="shared" ref="AK93:BP93" si="182">AK22/2+AK25+AK30+AK31</f>
        <v>0</v>
      </c>
      <c r="AL93" s="194">
        <f t="shared" si="182"/>
        <v>0</v>
      </c>
      <c r="AM93" s="194">
        <f t="shared" si="182"/>
        <v>0</v>
      </c>
      <c r="AN93" s="194">
        <f t="shared" si="182"/>
        <v>0</v>
      </c>
      <c r="AO93" s="194">
        <f t="shared" si="182"/>
        <v>0</v>
      </c>
      <c r="AP93" s="194">
        <f t="shared" si="182"/>
        <v>0</v>
      </c>
      <c r="AQ93" s="194">
        <f t="shared" si="182"/>
        <v>0</v>
      </c>
      <c r="AR93" s="194">
        <f t="shared" si="182"/>
        <v>0</v>
      </c>
      <c r="AS93" s="194">
        <f t="shared" si="182"/>
        <v>0</v>
      </c>
      <c r="AT93" s="194">
        <f t="shared" si="182"/>
        <v>0</v>
      </c>
      <c r="AU93" s="194">
        <f t="shared" si="182"/>
        <v>0</v>
      </c>
      <c r="AV93" s="194">
        <f t="shared" si="182"/>
        <v>0</v>
      </c>
      <c r="AW93" s="194">
        <f t="shared" si="182"/>
        <v>0</v>
      </c>
      <c r="AX93" s="194">
        <f t="shared" si="182"/>
        <v>0</v>
      </c>
      <c r="AY93" s="194">
        <f t="shared" si="182"/>
        <v>0</v>
      </c>
      <c r="AZ93" s="194">
        <f t="shared" si="182"/>
        <v>0</v>
      </c>
      <c r="BA93" s="194">
        <f t="shared" si="182"/>
        <v>0</v>
      </c>
      <c r="BB93" s="194">
        <f t="shared" si="182"/>
        <v>0</v>
      </c>
      <c r="BC93" s="194">
        <f t="shared" si="182"/>
        <v>0</v>
      </c>
      <c r="BD93" s="194">
        <f t="shared" si="182"/>
        <v>0</v>
      </c>
      <c r="BE93" s="194">
        <f t="shared" si="182"/>
        <v>0</v>
      </c>
      <c r="BF93" s="194">
        <f t="shared" si="182"/>
        <v>16.399999999999999</v>
      </c>
      <c r="BG93" s="194">
        <f t="shared" si="182"/>
        <v>0</v>
      </c>
      <c r="BH93" s="194">
        <f t="shared" si="182"/>
        <v>0</v>
      </c>
      <c r="BI93" s="194">
        <f t="shared" si="182"/>
        <v>0</v>
      </c>
      <c r="BJ93" s="194">
        <f t="shared" si="182"/>
        <v>0</v>
      </c>
      <c r="BK93" s="194">
        <f t="shared" si="182"/>
        <v>0</v>
      </c>
      <c r="BL93" s="194">
        <f t="shared" si="182"/>
        <v>0</v>
      </c>
      <c r="BM93" s="194">
        <f t="shared" si="182"/>
        <v>0</v>
      </c>
      <c r="BN93" s="194">
        <f t="shared" si="182"/>
        <v>0</v>
      </c>
      <c r="BO93" s="194">
        <f t="shared" si="182"/>
        <v>0</v>
      </c>
      <c r="BP93" s="194">
        <f t="shared" si="182"/>
        <v>0</v>
      </c>
      <c r="BQ93" s="194">
        <f t="shared" ref="BQ93:CV93" si="183">BQ22/2+BQ25+BQ30+BQ31</f>
        <v>0</v>
      </c>
      <c r="BR93" s="194">
        <f t="shared" si="183"/>
        <v>0</v>
      </c>
      <c r="BS93" s="194">
        <f t="shared" si="183"/>
        <v>0</v>
      </c>
      <c r="BT93" s="194">
        <f t="shared" si="183"/>
        <v>0</v>
      </c>
      <c r="BU93" s="194">
        <f t="shared" si="183"/>
        <v>0</v>
      </c>
      <c r="BV93" s="194">
        <f t="shared" si="183"/>
        <v>16</v>
      </c>
      <c r="BW93" s="194">
        <f t="shared" si="183"/>
        <v>0</v>
      </c>
      <c r="BX93" s="194">
        <f t="shared" si="183"/>
        <v>15</v>
      </c>
      <c r="BY93" s="194">
        <f t="shared" si="183"/>
        <v>14</v>
      </c>
      <c r="BZ93" s="194">
        <f t="shared" si="183"/>
        <v>0</v>
      </c>
      <c r="CA93" s="194">
        <f t="shared" si="183"/>
        <v>0</v>
      </c>
      <c r="CB93" s="194">
        <f t="shared" si="183"/>
        <v>28</v>
      </c>
      <c r="CC93" s="194">
        <f t="shared" si="183"/>
        <v>0</v>
      </c>
      <c r="CD93" s="194">
        <f t="shared" si="183"/>
        <v>0</v>
      </c>
      <c r="CE93" s="194">
        <f t="shared" si="183"/>
        <v>0</v>
      </c>
      <c r="CF93" s="194">
        <f t="shared" si="183"/>
        <v>16.5</v>
      </c>
      <c r="CG93" s="194">
        <f t="shared" si="183"/>
        <v>0</v>
      </c>
      <c r="CH93" s="194">
        <f t="shared" si="183"/>
        <v>0</v>
      </c>
      <c r="CI93" s="194">
        <f t="shared" si="183"/>
        <v>0</v>
      </c>
      <c r="CJ93" s="194">
        <f t="shared" si="183"/>
        <v>24.1</v>
      </c>
      <c r="CK93" s="194">
        <f t="shared" si="183"/>
        <v>0</v>
      </c>
      <c r="CL93" s="194">
        <f t="shared" si="183"/>
        <v>10</v>
      </c>
      <c r="CM93" s="194">
        <f t="shared" si="183"/>
        <v>6.9</v>
      </c>
      <c r="CN93" s="194">
        <f t="shared" si="183"/>
        <v>0</v>
      </c>
      <c r="CO93" s="194">
        <f t="shared" si="183"/>
        <v>6</v>
      </c>
      <c r="CP93" s="194">
        <f t="shared" si="183"/>
        <v>43.2</v>
      </c>
      <c r="CQ93" s="194">
        <f t="shared" si="183"/>
        <v>0</v>
      </c>
      <c r="CR93" s="194">
        <f t="shared" si="183"/>
        <v>19.5</v>
      </c>
      <c r="CS93" s="194">
        <f t="shared" si="183"/>
        <v>25.8</v>
      </c>
      <c r="CT93" s="194">
        <f t="shared" si="183"/>
        <v>0</v>
      </c>
      <c r="CU93" s="194">
        <f t="shared" si="183"/>
        <v>0</v>
      </c>
      <c r="CV93" s="194">
        <f t="shared" si="183"/>
        <v>24</v>
      </c>
      <c r="CW93" s="194">
        <f t="shared" ref="CW93:EB93" si="184">CW22/2+CW25+CW30+CW31</f>
        <v>6</v>
      </c>
      <c r="CX93" s="194">
        <f t="shared" si="184"/>
        <v>0</v>
      </c>
      <c r="CY93" s="194">
        <f t="shared" si="184"/>
        <v>0</v>
      </c>
      <c r="CZ93" s="194">
        <f t="shared" si="184"/>
        <v>0</v>
      </c>
      <c r="DA93" s="194">
        <f t="shared" si="184"/>
        <v>0</v>
      </c>
      <c r="DB93" s="194">
        <f t="shared" si="184"/>
        <v>0</v>
      </c>
      <c r="DC93" s="194">
        <f t="shared" si="184"/>
        <v>17.899999999999999</v>
      </c>
      <c r="DD93" s="194">
        <f t="shared" si="184"/>
        <v>0</v>
      </c>
      <c r="DE93" s="194">
        <f t="shared" si="184"/>
        <v>21.5</v>
      </c>
      <c r="DF93" s="194">
        <f t="shared" si="184"/>
        <v>0</v>
      </c>
      <c r="DG93" s="194">
        <f t="shared" si="184"/>
        <v>16</v>
      </c>
      <c r="DH93" s="194">
        <f t="shared" si="184"/>
        <v>0</v>
      </c>
      <c r="DI93" s="194">
        <f t="shared" si="184"/>
        <v>0</v>
      </c>
      <c r="DJ93" s="194">
        <f t="shared" si="184"/>
        <v>13</v>
      </c>
      <c r="DK93" s="194">
        <f t="shared" si="184"/>
        <v>0</v>
      </c>
      <c r="DL93" s="194">
        <f t="shared" si="184"/>
        <v>10.5</v>
      </c>
      <c r="DM93" s="194">
        <f t="shared" si="184"/>
        <v>0</v>
      </c>
      <c r="DN93" s="194">
        <f t="shared" si="184"/>
        <v>6.05</v>
      </c>
      <c r="DO93" s="194">
        <f t="shared" si="184"/>
        <v>13.75</v>
      </c>
      <c r="DP93" s="194">
        <f t="shared" si="184"/>
        <v>0</v>
      </c>
      <c r="DQ93" s="194">
        <f t="shared" si="184"/>
        <v>44.1</v>
      </c>
      <c r="DR93" s="194">
        <f t="shared" si="184"/>
        <v>9.3000000000000007</v>
      </c>
      <c r="DS93" s="194">
        <f t="shared" si="184"/>
        <v>9</v>
      </c>
      <c r="DT93" s="194">
        <f t="shared" si="184"/>
        <v>14</v>
      </c>
      <c r="DU93" s="194">
        <f t="shared" si="184"/>
        <v>6.6</v>
      </c>
      <c r="DV93" s="194">
        <f t="shared" si="184"/>
        <v>0</v>
      </c>
      <c r="DW93" s="194">
        <f t="shared" si="184"/>
        <v>0</v>
      </c>
      <c r="DX93" s="194">
        <f t="shared" si="184"/>
        <v>33.6</v>
      </c>
      <c r="DY93" s="194">
        <f t="shared" si="184"/>
        <v>0</v>
      </c>
      <c r="DZ93" s="194">
        <f t="shared" si="184"/>
        <v>0</v>
      </c>
      <c r="EA93" s="194">
        <f t="shared" si="184"/>
        <v>0</v>
      </c>
      <c r="EB93" s="194">
        <f t="shared" si="184"/>
        <v>0</v>
      </c>
      <c r="EC93" s="194">
        <f t="shared" ref="EC93:FH93" si="185">EC22/2+EC25+EC30+EC31</f>
        <v>0</v>
      </c>
      <c r="ED93" s="194">
        <f t="shared" si="185"/>
        <v>0</v>
      </c>
      <c r="EE93" s="194">
        <f t="shared" si="185"/>
        <v>0</v>
      </c>
      <c r="EF93" s="194">
        <f t="shared" si="185"/>
        <v>14.3</v>
      </c>
      <c r="EG93" s="194">
        <f t="shared" si="185"/>
        <v>6</v>
      </c>
      <c r="EH93" s="194">
        <f t="shared" si="185"/>
        <v>12.25</v>
      </c>
      <c r="EI93" s="194">
        <f t="shared" si="185"/>
        <v>0</v>
      </c>
      <c r="EJ93" s="194">
        <f t="shared" si="185"/>
        <v>11.05</v>
      </c>
      <c r="EK93" s="194">
        <f t="shared" si="185"/>
        <v>0</v>
      </c>
      <c r="EL93" s="194">
        <f t="shared" si="185"/>
        <v>9.5</v>
      </c>
      <c r="EM93" s="194">
        <f t="shared" si="185"/>
        <v>9.85</v>
      </c>
      <c r="EN93" s="194">
        <f t="shared" si="185"/>
        <v>14</v>
      </c>
      <c r="EO93" s="194">
        <f t="shared" si="185"/>
        <v>3</v>
      </c>
      <c r="EP93" s="194">
        <f t="shared" si="185"/>
        <v>0</v>
      </c>
      <c r="EQ93" s="194">
        <f t="shared" si="185"/>
        <v>14</v>
      </c>
      <c r="ER93" s="194">
        <f t="shared" si="185"/>
        <v>0</v>
      </c>
      <c r="ES93" s="194">
        <f t="shared" si="185"/>
        <v>0</v>
      </c>
      <c r="ET93" s="194">
        <f t="shared" si="185"/>
        <v>0</v>
      </c>
      <c r="EU93" s="194">
        <f t="shared" si="185"/>
        <v>0</v>
      </c>
      <c r="EV93" s="194">
        <f t="shared" si="185"/>
        <v>24.55</v>
      </c>
      <c r="EW93" s="194">
        <f t="shared" si="185"/>
        <v>11.4</v>
      </c>
      <c r="EX93" s="194">
        <f t="shared" si="185"/>
        <v>13.5</v>
      </c>
      <c r="EY93" s="194">
        <f t="shared" si="185"/>
        <v>0</v>
      </c>
      <c r="EZ93" s="194">
        <f t="shared" si="185"/>
        <v>7.5</v>
      </c>
      <c r="FA93" s="194">
        <f t="shared" si="185"/>
        <v>0</v>
      </c>
      <c r="FB93" s="194">
        <f t="shared" si="185"/>
        <v>6</v>
      </c>
      <c r="FC93" s="194">
        <f t="shared" si="185"/>
        <v>1</v>
      </c>
      <c r="FD93" s="194">
        <f t="shared" si="185"/>
        <v>8.75</v>
      </c>
      <c r="FE93" s="194">
        <f t="shared" si="185"/>
        <v>5.5</v>
      </c>
      <c r="FF93" s="194">
        <f t="shared" si="185"/>
        <v>0</v>
      </c>
      <c r="FG93" s="194">
        <f t="shared" si="185"/>
        <v>10.5</v>
      </c>
      <c r="FH93" s="194">
        <f t="shared" si="185"/>
        <v>0</v>
      </c>
      <c r="FI93" s="194">
        <f t="shared" ref="FI93:GN93" si="186">FI22/2+FI25+FI30+FI31</f>
        <v>0</v>
      </c>
      <c r="FJ93" s="194">
        <f t="shared" si="186"/>
        <v>10.4</v>
      </c>
      <c r="FK93" s="194">
        <f t="shared" si="186"/>
        <v>0</v>
      </c>
      <c r="FL93" s="194">
        <f t="shared" si="186"/>
        <v>7.5</v>
      </c>
      <c r="FM93" s="194">
        <f t="shared" si="186"/>
        <v>0</v>
      </c>
      <c r="FN93" s="194">
        <f t="shared" si="186"/>
        <v>0</v>
      </c>
      <c r="FO93" s="194">
        <f t="shared" si="186"/>
        <v>0</v>
      </c>
      <c r="FP93" s="194">
        <f t="shared" si="186"/>
        <v>0</v>
      </c>
      <c r="FQ93" s="194">
        <f t="shared" si="186"/>
        <v>0</v>
      </c>
      <c r="FR93" s="194">
        <f t="shared" si="186"/>
        <v>10</v>
      </c>
      <c r="FS93" s="194">
        <f t="shared" si="186"/>
        <v>0</v>
      </c>
      <c r="FT93" s="194">
        <f t="shared" si="186"/>
        <v>0</v>
      </c>
      <c r="FU93" s="194">
        <f t="shared" si="186"/>
        <v>0</v>
      </c>
      <c r="FV93" s="194">
        <f t="shared" si="186"/>
        <v>0</v>
      </c>
      <c r="FW93" s="194">
        <f t="shared" si="186"/>
        <v>0</v>
      </c>
      <c r="FX93" s="194">
        <f t="shared" si="186"/>
        <v>8.75</v>
      </c>
      <c r="FY93" s="194">
        <f t="shared" si="186"/>
        <v>0</v>
      </c>
      <c r="FZ93" s="194">
        <f t="shared" si="186"/>
        <v>0</v>
      </c>
      <c r="GA93" s="194">
        <f t="shared" si="186"/>
        <v>4.75</v>
      </c>
      <c r="GB93" s="194">
        <f t="shared" si="186"/>
        <v>0</v>
      </c>
      <c r="GC93" s="194">
        <f t="shared" si="186"/>
        <v>0</v>
      </c>
      <c r="GD93" s="194">
        <f t="shared" si="186"/>
        <v>0</v>
      </c>
      <c r="GE93" s="194">
        <f t="shared" si="186"/>
        <v>9.5</v>
      </c>
      <c r="GF93" s="194">
        <f t="shared" si="186"/>
        <v>7.75</v>
      </c>
      <c r="GG93" s="194">
        <f t="shared" si="186"/>
        <v>5.5</v>
      </c>
      <c r="GH93" s="194">
        <f t="shared" si="186"/>
        <v>0</v>
      </c>
      <c r="GI93" s="194">
        <f t="shared" si="186"/>
        <v>0</v>
      </c>
      <c r="GJ93" s="194">
        <f t="shared" si="186"/>
        <v>0</v>
      </c>
      <c r="GK93" s="194">
        <f t="shared" si="186"/>
        <v>0</v>
      </c>
      <c r="GL93" s="194">
        <f t="shared" si="186"/>
        <v>0</v>
      </c>
      <c r="GM93" s="194">
        <f t="shared" si="186"/>
        <v>0</v>
      </c>
      <c r="GN93" s="194">
        <f t="shared" si="186"/>
        <v>0</v>
      </c>
      <c r="GO93" s="194">
        <f t="shared" ref="GO93:HT93" si="187">GO22/2+GO25+GO30+GO31</f>
        <v>0</v>
      </c>
      <c r="GP93" s="194">
        <f t="shared" si="187"/>
        <v>0</v>
      </c>
      <c r="GQ93" s="194">
        <f t="shared" si="187"/>
        <v>10.199999999999999</v>
      </c>
      <c r="GR93" s="194">
        <f t="shared" si="187"/>
        <v>0</v>
      </c>
      <c r="GS93" s="194">
        <f t="shared" si="187"/>
        <v>0</v>
      </c>
      <c r="GT93" s="194">
        <f t="shared" si="187"/>
        <v>0</v>
      </c>
      <c r="GU93" s="194">
        <f t="shared" si="187"/>
        <v>1.4</v>
      </c>
      <c r="GV93" s="194">
        <f t="shared" si="187"/>
        <v>0</v>
      </c>
      <c r="GW93" s="194">
        <f t="shared" si="187"/>
        <v>0</v>
      </c>
      <c r="GX93" s="194">
        <f t="shared" si="187"/>
        <v>0</v>
      </c>
      <c r="GY93" s="194">
        <f t="shared" si="187"/>
        <v>0</v>
      </c>
      <c r="GZ93" s="194">
        <f t="shared" si="187"/>
        <v>26</v>
      </c>
      <c r="HA93" s="194">
        <f t="shared" si="187"/>
        <v>0</v>
      </c>
      <c r="HB93" s="194">
        <f t="shared" si="187"/>
        <v>0</v>
      </c>
      <c r="HC93" s="194">
        <f t="shared" si="187"/>
        <v>0</v>
      </c>
      <c r="HD93" s="194">
        <f t="shared" si="187"/>
        <v>0</v>
      </c>
      <c r="HE93" s="194">
        <f t="shared" si="187"/>
        <v>0</v>
      </c>
      <c r="HF93" s="194">
        <f t="shared" si="187"/>
        <v>0</v>
      </c>
      <c r="HG93" s="194">
        <f t="shared" si="187"/>
        <v>0</v>
      </c>
      <c r="HH93" s="194">
        <f t="shared" si="187"/>
        <v>0</v>
      </c>
      <c r="HI93" s="194">
        <f t="shared" si="187"/>
        <v>0</v>
      </c>
      <c r="HJ93" s="194">
        <f t="shared" si="187"/>
        <v>0</v>
      </c>
      <c r="HK93" s="194">
        <f t="shared" si="187"/>
        <v>0</v>
      </c>
      <c r="HL93" s="194">
        <f t="shared" si="187"/>
        <v>0</v>
      </c>
      <c r="HM93" s="194">
        <f t="shared" si="187"/>
        <v>0</v>
      </c>
      <c r="HN93" s="194">
        <f t="shared" si="187"/>
        <v>0</v>
      </c>
      <c r="HO93" s="194">
        <f t="shared" si="187"/>
        <v>0</v>
      </c>
      <c r="HP93" s="194">
        <f t="shared" si="187"/>
        <v>0</v>
      </c>
      <c r="HQ93" s="194">
        <f t="shared" si="187"/>
        <v>0</v>
      </c>
      <c r="HR93" s="194">
        <f t="shared" si="187"/>
        <v>0</v>
      </c>
      <c r="HS93" s="194">
        <f t="shared" si="187"/>
        <v>0</v>
      </c>
      <c r="HT93" s="194">
        <f t="shared" si="187"/>
        <v>0</v>
      </c>
    </row>
    <row r="94" spans="1:230" x14ac:dyDescent="0.25">
      <c r="B94" s="495"/>
      <c r="C94" s="8" t="s">
        <v>89</v>
      </c>
      <c r="E94">
        <f t="shared" ref="E94:AJ94" si="188">E22/2+E29+E32</f>
        <v>0</v>
      </c>
      <c r="F94">
        <f t="shared" si="188"/>
        <v>0</v>
      </c>
      <c r="G94">
        <f t="shared" si="188"/>
        <v>0</v>
      </c>
      <c r="H94">
        <f t="shared" si="188"/>
        <v>0</v>
      </c>
      <c r="I94">
        <f t="shared" si="188"/>
        <v>0</v>
      </c>
      <c r="J94">
        <f t="shared" si="188"/>
        <v>0</v>
      </c>
      <c r="K94">
        <f t="shared" si="188"/>
        <v>0</v>
      </c>
      <c r="L94">
        <f t="shared" si="188"/>
        <v>0</v>
      </c>
      <c r="M94">
        <f t="shared" si="188"/>
        <v>0</v>
      </c>
      <c r="N94">
        <f t="shared" si="188"/>
        <v>0</v>
      </c>
      <c r="O94" s="59">
        <f t="shared" si="188"/>
        <v>0</v>
      </c>
      <c r="P94">
        <f t="shared" si="188"/>
        <v>0</v>
      </c>
      <c r="Q94">
        <f t="shared" si="188"/>
        <v>0</v>
      </c>
      <c r="R94">
        <f t="shared" si="188"/>
        <v>0</v>
      </c>
      <c r="S94">
        <f t="shared" si="188"/>
        <v>0</v>
      </c>
      <c r="T94">
        <f t="shared" si="188"/>
        <v>0</v>
      </c>
      <c r="U94">
        <f t="shared" si="188"/>
        <v>0</v>
      </c>
      <c r="V94">
        <f t="shared" si="188"/>
        <v>0</v>
      </c>
      <c r="W94">
        <f t="shared" si="188"/>
        <v>0</v>
      </c>
      <c r="X94">
        <f t="shared" si="188"/>
        <v>0</v>
      </c>
      <c r="Y94">
        <f t="shared" si="188"/>
        <v>0</v>
      </c>
      <c r="Z94">
        <f t="shared" si="188"/>
        <v>0</v>
      </c>
      <c r="AA94">
        <f t="shared" si="188"/>
        <v>0</v>
      </c>
      <c r="AB94">
        <f t="shared" si="188"/>
        <v>0</v>
      </c>
      <c r="AC94">
        <f t="shared" si="188"/>
        <v>0</v>
      </c>
      <c r="AD94">
        <f t="shared" si="188"/>
        <v>0</v>
      </c>
      <c r="AE94">
        <f t="shared" si="188"/>
        <v>0</v>
      </c>
      <c r="AF94">
        <f t="shared" si="188"/>
        <v>0</v>
      </c>
      <c r="AG94">
        <f t="shared" si="188"/>
        <v>0</v>
      </c>
      <c r="AH94">
        <f t="shared" si="188"/>
        <v>0</v>
      </c>
      <c r="AI94">
        <f t="shared" si="188"/>
        <v>0</v>
      </c>
      <c r="AJ94">
        <f t="shared" si="188"/>
        <v>0</v>
      </c>
      <c r="AK94">
        <f t="shared" ref="AK94:BP94" si="189">AK22/2+AK29+AK32</f>
        <v>24</v>
      </c>
      <c r="AL94">
        <f t="shared" si="189"/>
        <v>0</v>
      </c>
      <c r="AM94">
        <f t="shared" si="189"/>
        <v>0</v>
      </c>
      <c r="AN94">
        <f t="shared" si="189"/>
        <v>21</v>
      </c>
      <c r="AO94">
        <f t="shared" si="189"/>
        <v>0</v>
      </c>
      <c r="AP94">
        <f t="shared" si="189"/>
        <v>0</v>
      </c>
      <c r="AQ94">
        <f t="shared" si="189"/>
        <v>0</v>
      </c>
      <c r="AR94">
        <f t="shared" si="189"/>
        <v>0</v>
      </c>
      <c r="AS94">
        <f t="shared" si="189"/>
        <v>0</v>
      </c>
      <c r="AT94">
        <f t="shared" si="189"/>
        <v>0</v>
      </c>
      <c r="AU94">
        <f t="shared" si="189"/>
        <v>0</v>
      </c>
      <c r="AV94">
        <f t="shared" si="189"/>
        <v>6</v>
      </c>
      <c r="AW94">
        <f t="shared" si="189"/>
        <v>0</v>
      </c>
      <c r="AX94">
        <f t="shared" si="189"/>
        <v>0</v>
      </c>
      <c r="AY94">
        <f t="shared" si="189"/>
        <v>0</v>
      </c>
      <c r="AZ94">
        <f t="shared" si="189"/>
        <v>0</v>
      </c>
      <c r="BA94">
        <f t="shared" si="189"/>
        <v>14</v>
      </c>
      <c r="BB94">
        <f t="shared" si="189"/>
        <v>0</v>
      </c>
      <c r="BC94">
        <f t="shared" si="189"/>
        <v>0</v>
      </c>
      <c r="BD94">
        <f t="shared" si="189"/>
        <v>0</v>
      </c>
      <c r="BE94">
        <f t="shared" si="189"/>
        <v>36</v>
      </c>
      <c r="BF94">
        <f t="shared" si="189"/>
        <v>0</v>
      </c>
      <c r="BG94">
        <f t="shared" si="189"/>
        <v>0</v>
      </c>
      <c r="BH94">
        <f t="shared" si="189"/>
        <v>0</v>
      </c>
      <c r="BI94">
        <f t="shared" si="189"/>
        <v>0</v>
      </c>
      <c r="BJ94">
        <f t="shared" si="189"/>
        <v>0</v>
      </c>
      <c r="BK94">
        <f t="shared" si="189"/>
        <v>0</v>
      </c>
      <c r="BL94">
        <f t="shared" si="189"/>
        <v>0</v>
      </c>
      <c r="BM94">
        <f t="shared" si="189"/>
        <v>0</v>
      </c>
      <c r="BN94">
        <f t="shared" si="189"/>
        <v>0</v>
      </c>
      <c r="BO94">
        <f t="shared" si="189"/>
        <v>0</v>
      </c>
      <c r="BP94">
        <f t="shared" si="189"/>
        <v>0</v>
      </c>
      <c r="BQ94">
        <f t="shared" ref="BQ94:CV94" si="190">BQ22/2+BQ29+BQ32</f>
        <v>0</v>
      </c>
      <c r="BR94">
        <f t="shared" si="190"/>
        <v>0</v>
      </c>
      <c r="BS94">
        <f t="shared" si="190"/>
        <v>3.5</v>
      </c>
      <c r="BT94">
        <f t="shared" si="190"/>
        <v>8</v>
      </c>
      <c r="BU94">
        <f t="shared" si="190"/>
        <v>0</v>
      </c>
      <c r="BV94">
        <f t="shared" si="190"/>
        <v>0</v>
      </c>
      <c r="BW94">
        <f t="shared" si="190"/>
        <v>0</v>
      </c>
      <c r="BX94">
        <f t="shared" si="190"/>
        <v>0</v>
      </c>
      <c r="BY94">
        <f t="shared" si="190"/>
        <v>23.4</v>
      </c>
      <c r="BZ94">
        <f t="shared" si="190"/>
        <v>0</v>
      </c>
      <c r="CA94">
        <f t="shared" si="190"/>
        <v>0</v>
      </c>
      <c r="CB94">
        <f t="shared" si="190"/>
        <v>0</v>
      </c>
      <c r="CC94">
        <f t="shared" si="190"/>
        <v>0</v>
      </c>
      <c r="CD94">
        <f t="shared" si="190"/>
        <v>0</v>
      </c>
      <c r="CE94">
        <f t="shared" si="190"/>
        <v>0</v>
      </c>
      <c r="CF94">
        <f t="shared" si="190"/>
        <v>0</v>
      </c>
      <c r="CG94">
        <f t="shared" si="190"/>
        <v>0</v>
      </c>
      <c r="CH94">
        <f t="shared" si="190"/>
        <v>0</v>
      </c>
      <c r="CI94">
        <f t="shared" si="190"/>
        <v>70.599999999999994</v>
      </c>
      <c r="CJ94">
        <f t="shared" si="190"/>
        <v>0</v>
      </c>
      <c r="CK94">
        <f t="shared" si="190"/>
        <v>0</v>
      </c>
      <c r="CL94">
        <f t="shared" si="190"/>
        <v>0</v>
      </c>
      <c r="CM94">
        <f t="shared" si="190"/>
        <v>7</v>
      </c>
      <c r="CN94">
        <f t="shared" si="190"/>
        <v>0</v>
      </c>
      <c r="CO94">
        <f t="shared" si="190"/>
        <v>13</v>
      </c>
      <c r="CP94">
        <f t="shared" si="190"/>
        <v>0</v>
      </c>
      <c r="CQ94">
        <f t="shared" si="190"/>
        <v>0</v>
      </c>
      <c r="CR94">
        <f t="shared" si="190"/>
        <v>0</v>
      </c>
      <c r="CS94">
        <f t="shared" si="190"/>
        <v>0</v>
      </c>
      <c r="CT94">
        <f t="shared" si="190"/>
        <v>0</v>
      </c>
      <c r="CU94">
        <f t="shared" si="190"/>
        <v>0</v>
      </c>
      <c r="CV94">
        <f t="shared" si="190"/>
        <v>0</v>
      </c>
      <c r="CW94">
        <f t="shared" ref="CW94:EB94" si="191">CW22/2+CW29+CW32</f>
        <v>0</v>
      </c>
      <c r="CX94">
        <f t="shared" si="191"/>
        <v>25</v>
      </c>
      <c r="CY94">
        <f t="shared" si="191"/>
        <v>0</v>
      </c>
      <c r="CZ94">
        <f t="shared" si="191"/>
        <v>50.6</v>
      </c>
      <c r="DA94">
        <f t="shared" si="191"/>
        <v>0</v>
      </c>
      <c r="DB94">
        <f t="shared" si="191"/>
        <v>0</v>
      </c>
      <c r="DC94">
        <f t="shared" si="191"/>
        <v>0</v>
      </c>
      <c r="DD94">
        <f t="shared" si="191"/>
        <v>0</v>
      </c>
      <c r="DE94">
        <f t="shared" si="191"/>
        <v>21.5</v>
      </c>
      <c r="DF94">
        <f t="shared" si="191"/>
        <v>0</v>
      </c>
      <c r="DG94">
        <f t="shared" si="191"/>
        <v>0</v>
      </c>
      <c r="DH94">
        <f t="shared" si="191"/>
        <v>0</v>
      </c>
      <c r="DI94">
        <f t="shared" si="191"/>
        <v>0</v>
      </c>
      <c r="DJ94">
        <f t="shared" si="191"/>
        <v>18</v>
      </c>
      <c r="DK94">
        <f t="shared" si="191"/>
        <v>21</v>
      </c>
      <c r="DL94">
        <f t="shared" si="191"/>
        <v>10.5</v>
      </c>
      <c r="DM94">
        <f t="shared" si="191"/>
        <v>12</v>
      </c>
      <c r="DN94">
        <f t="shared" si="191"/>
        <v>6.05</v>
      </c>
      <c r="DO94">
        <f t="shared" si="191"/>
        <v>13.75</v>
      </c>
      <c r="DP94">
        <f t="shared" si="191"/>
        <v>0</v>
      </c>
      <c r="DQ94">
        <f t="shared" si="191"/>
        <v>17.5</v>
      </c>
      <c r="DR94">
        <f t="shared" si="191"/>
        <v>1.5</v>
      </c>
      <c r="DS94">
        <f t="shared" si="191"/>
        <v>0</v>
      </c>
      <c r="DT94">
        <f t="shared" si="191"/>
        <v>0</v>
      </c>
      <c r="DU94">
        <f t="shared" si="191"/>
        <v>6.6</v>
      </c>
      <c r="DV94">
        <f t="shared" si="191"/>
        <v>0</v>
      </c>
      <c r="DW94">
        <f t="shared" si="191"/>
        <v>0</v>
      </c>
      <c r="DX94">
        <f t="shared" si="191"/>
        <v>33.6</v>
      </c>
      <c r="DY94">
        <f t="shared" si="191"/>
        <v>0</v>
      </c>
      <c r="DZ94">
        <f t="shared" si="191"/>
        <v>23.2</v>
      </c>
      <c r="EA94">
        <f t="shared" si="191"/>
        <v>0</v>
      </c>
      <c r="EB94">
        <f t="shared" si="191"/>
        <v>0</v>
      </c>
      <c r="EC94">
        <f t="shared" ref="EC94:FH94" si="192">EC22/2+EC29+EC32</f>
        <v>0</v>
      </c>
      <c r="ED94">
        <f t="shared" si="192"/>
        <v>0</v>
      </c>
      <c r="EE94">
        <f t="shared" si="192"/>
        <v>0</v>
      </c>
      <c r="EF94">
        <f t="shared" si="192"/>
        <v>14.3</v>
      </c>
      <c r="EG94">
        <f t="shared" si="192"/>
        <v>10</v>
      </c>
      <c r="EH94">
        <f t="shared" si="192"/>
        <v>12.25</v>
      </c>
      <c r="EI94">
        <f t="shared" si="192"/>
        <v>0</v>
      </c>
      <c r="EJ94">
        <f t="shared" si="192"/>
        <v>11.05</v>
      </c>
      <c r="EK94">
        <f t="shared" si="192"/>
        <v>0</v>
      </c>
      <c r="EL94">
        <f t="shared" si="192"/>
        <v>9.5</v>
      </c>
      <c r="EM94">
        <f t="shared" si="192"/>
        <v>9.85</v>
      </c>
      <c r="EN94">
        <f t="shared" si="192"/>
        <v>14</v>
      </c>
      <c r="EO94">
        <f t="shared" si="192"/>
        <v>3</v>
      </c>
      <c r="EP94">
        <f t="shared" si="192"/>
        <v>0</v>
      </c>
      <c r="EQ94">
        <f t="shared" si="192"/>
        <v>14</v>
      </c>
      <c r="ER94">
        <f t="shared" si="192"/>
        <v>0</v>
      </c>
      <c r="ES94">
        <f t="shared" si="192"/>
        <v>0</v>
      </c>
      <c r="ET94">
        <f t="shared" si="192"/>
        <v>0</v>
      </c>
      <c r="EU94">
        <f t="shared" si="192"/>
        <v>0</v>
      </c>
      <c r="EV94">
        <f t="shared" si="192"/>
        <v>24.55</v>
      </c>
      <c r="EW94">
        <f t="shared" si="192"/>
        <v>11.4</v>
      </c>
      <c r="EX94">
        <f t="shared" si="192"/>
        <v>13.5</v>
      </c>
      <c r="EY94">
        <f t="shared" si="192"/>
        <v>0</v>
      </c>
      <c r="EZ94">
        <f t="shared" si="192"/>
        <v>7.5</v>
      </c>
      <c r="FA94">
        <f t="shared" si="192"/>
        <v>0</v>
      </c>
      <c r="FB94">
        <f t="shared" si="192"/>
        <v>6</v>
      </c>
      <c r="FC94">
        <f t="shared" si="192"/>
        <v>1</v>
      </c>
      <c r="FD94">
        <f t="shared" si="192"/>
        <v>8.75</v>
      </c>
      <c r="FE94">
        <f t="shared" si="192"/>
        <v>3.5</v>
      </c>
      <c r="FF94">
        <f t="shared" si="192"/>
        <v>0</v>
      </c>
      <c r="FG94">
        <f t="shared" si="192"/>
        <v>33.299999999999997</v>
      </c>
      <c r="FH94">
        <f t="shared" si="192"/>
        <v>0</v>
      </c>
      <c r="FI94">
        <f t="shared" ref="FI94:GN94" si="193">FI22/2+FI29+FI32</f>
        <v>0</v>
      </c>
      <c r="FJ94">
        <f t="shared" si="193"/>
        <v>10.4</v>
      </c>
      <c r="FK94">
        <f t="shared" si="193"/>
        <v>0</v>
      </c>
      <c r="FL94">
        <f t="shared" si="193"/>
        <v>7.5</v>
      </c>
      <c r="FM94">
        <f t="shared" si="193"/>
        <v>0</v>
      </c>
      <c r="FN94">
        <f t="shared" si="193"/>
        <v>9.5</v>
      </c>
      <c r="FO94">
        <f t="shared" si="193"/>
        <v>0</v>
      </c>
      <c r="FP94">
        <f t="shared" si="193"/>
        <v>0</v>
      </c>
      <c r="FQ94">
        <f t="shared" si="193"/>
        <v>0</v>
      </c>
      <c r="FR94">
        <f t="shared" si="193"/>
        <v>10</v>
      </c>
      <c r="FS94">
        <f t="shared" si="193"/>
        <v>0</v>
      </c>
      <c r="FT94">
        <f t="shared" si="193"/>
        <v>0</v>
      </c>
      <c r="FU94">
        <f t="shared" si="193"/>
        <v>0</v>
      </c>
      <c r="FV94">
        <f t="shared" si="193"/>
        <v>0</v>
      </c>
      <c r="FW94">
        <f t="shared" si="193"/>
        <v>0</v>
      </c>
      <c r="FX94">
        <f t="shared" si="193"/>
        <v>8.75</v>
      </c>
      <c r="FY94">
        <f t="shared" si="193"/>
        <v>0</v>
      </c>
      <c r="FZ94">
        <f t="shared" si="193"/>
        <v>0</v>
      </c>
      <c r="GA94">
        <f t="shared" si="193"/>
        <v>4.75</v>
      </c>
      <c r="GB94">
        <f t="shared" si="193"/>
        <v>0</v>
      </c>
      <c r="GC94">
        <f t="shared" si="193"/>
        <v>0</v>
      </c>
      <c r="GD94">
        <f t="shared" si="193"/>
        <v>0</v>
      </c>
      <c r="GE94">
        <f t="shared" si="193"/>
        <v>0</v>
      </c>
      <c r="GF94">
        <f t="shared" si="193"/>
        <v>7.75</v>
      </c>
      <c r="GG94">
        <f t="shared" si="193"/>
        <v>5.5</v>
      </c>
      <c r="GH94">
        <f t="shared" si="193"/>
        <v>0</v>
      </c>
      <c r="GI94">
        <f t="shared" si="193"/>
        <v>0</v>
      </c>
      <c r="GJ94">
        <f t="shared" si="193"/>
        <v>0</v>
      </c>
      <c r="GK94">
        <f t="shared" si="193"/>
        <v>0</v>
      </c>
      <c r="GL94">
        <f t="shared" si="193"/>
        <v>0</v>
      </c>
      <c r="GM94">
        <f t="shared" si="193"/>
        <v>0</v>
      </c>
      <c r="GN94">
        <f t="shared" si="193"/>
        <v>0</v>
      </c>
      <c r="GO94">
        <f t="shared" ref="GO94:HT94" si="194">GO22/2+GO29+GO32</f>
        <v>0</v>
      </c>
      <c r="GP94">
        <f t="shared" si="194"/>
        <v>0</v>
      </c>
      <c r="GQ94">
        <f t="shared" si="194"/>
        <v>10.199999999999999</v>
      </c>
      <c r="GR94">
        <f t="shared" si="194"/>
        <v>0</v>
      </c>
      <c r="GS94">
        <f t="shared" si="194"/>
        <v>0</v>
      </c>
      <c r="GT94">
        <f t="shared" si="194"/>
        <v>0</v>
      </c>
      <c r="GU94">
        <f t="shared" si="194"/>
        <v>1.4</v>
      </c>
      <c r="GV94">
        <f t="shared" si="194"/>
        <v>0</v>
      </c>
      <c r="GW94">
        <f t="shared" si="194"/>
        <v>0</v>
      </c>
      <c r="GX94">
        <f t="shared" si="194"/>
        <v>0</v>
      </c>
      <c r="GY94">
        <f t="shared" si="194"/>
        <v>0</v>
      </c>
      <c r="GZ94">
        <f t="shared" si="194"/>
        <v>0</v>
      </c>
      <c r="HA94">
        <f t="shared" si="194"/>
        <v>0</v>
      </c>
      <c r="HB94">
        <f t="shared" si="194"/>
        <v>0</v>
      </c>
      <c r="HC94">
        <f t="shared" si="194"/>
        <v>0</v>
      </c>
      <c r="HD94">
        <f t="shared" si="194"/>
        <v>0</v>
      </c>
      <c r="HE94">
        <f t="shared" si="194"/>
        <v>0</v>
      </c>
      <c r="HF94">
        <f t="shared" si="194"/>
        <v>0</v>
      </c>
      <c r="HG94">
        <f t="shared" si="194"/>
        <v>0</v>
      </c>
      <c r="HH94">
        <f t="shared" si="194"/>
        <v>0</v>
      </c>
      <c r="HI94">
        <f t="shared" si="194"/>
        <v>0</v>
      </c>
      <c r="HJ94">
        <f t="shared" si="194"/>
        <v>0</v>
      </c>
      <c r="HK94">
        <f t="shared" si="194"/>
        <v>0</v>
      </c>
      <c r="HL94">
        <f t="shared" si="194"/>
        <v>0</v>
      </c>
      <c r="HM94">
        <f t="shared" si="194"/>
        <v>0</v>
      </c>
      <c r="HN94">
        <f t="shared" si="194"/>
        <v>0</v>
      </c>
      <c r="HO94">
        <f t="shared" si="194"/>
        <v>0</v>
      </c>
      <c r="HP94">
        <f t="shared" si="194"/>
        <v>0</v>
      </c>
      <c r="HQ94">
        <f t="shared" si="194"/>
        <v>0</v>
      </c>
      <c r="HR94">
        <f t="shared" si="194"/>
        <v>0</v>
      </c>
      <c r="HS94">
        <f t="shared" si="194"/>
        <v>0</v>
      </c>
      <c r="HT94">
        <f t="shared" si="194"/>
        <v>0</v>
      </c>
    </row>
    <row r="95" spans="1:230" x14ac:dyDescent="0.25">
      <c r="M95"/>
      <c r="N95"/>
      <c r="O95" s="293"/>
    </row>
    <row r="96" spans="1:230" x14ac:dyDescent="0.25">
      <c r="B96" s="495" t="s">
        <v>78</v>
      </c>
      <c r="C96" s="8" t="s">
        <v>79</v>
      </c>
      <c r="E96" s="194">
        <f t="shared" ref="E96:AJ96" si="195">E36+E37+E39+E40+E41</f>
        <v>0</v>
      </c>
      <c r="F96" s="194">
        <f t="shared" si="195"/>
        <v>0</v>
      </c>
      <c r="G96" s="194">
        <f t="shared" si="195"/>
        <v>0</v>
      </c>
      <c r="H96" s="194">
        <f t="shared" si="195"/>
        <v>0</v>
      </c>
      <c r="I96" s="194">
        <f t="shared" si="195"/>
        <v>0</v>
      </c>
      <c r="J96" s="194">
        <f t="shared" si="195"/>
        <v>0</v>
      </c>
      <c r="K96" s="194">
        <f t="shared" si="195"/>
        <v>0</v>
      </c>
      <c r="L96" s="194">
        <f t="shared" si="195"/>
        <v>0</v>
      </c>
      <c r="M96" s="194">
        <f t="shared" si="195"/>
        <v>0</v>
      </c>
      <c r="N96" s="194">
        <f t="shared" si="195"/>
        <v>0</v>
      </c>
      <c r="O96" s="194">
        <f t="shared" si="195"/>
        <v>0</v>
      </c>
      <c r="P96" s="194">
        <f t="shared" si="195"/>
        <v>0</v>
      </c>
      <c r="Q96" s="194">
        <f t="shared" si="195"/>
        <v>0</v>
      </c>
      <c r="R96" s="194">
        <f t="shared" si="195"/>
        <v>0</v>
      </c>
      <c r="S96" s="194">
        <f t="shared" si="195"/>
        <v>0</v>
      </c>
      <c r="T96" s="194">
        <f t="shared" si="195"/>
        <v>0</v>
      </c>
      <c r="U96" s="194">
        <f t="shared" si="195"/>
        <v>0</v>
      </c>
      <c r="V96" s="194">
        <f t="shared" si="195"/>
        <v>0</v>
      </c>
      <c r="W96" s="194">
        <f t="shared" si="195"/>
        <v>0</v>
      </c>
      <c r="X96" s="194">
        <f t="shared" si="195"/>
        <v>0</v>
      </c>
      <c r="Y96" s="194">
        <f t="shared" si="195"/>
        <v>0</v>
      </c>
      <c r="Z96" s="194">
        <f t="shared" si="195"/>
        <v>0</v>
      </c>
      <c r="AA96" s="194">
        <f t="shared" si="195"/>
        <v>0</v>
      </c>
      <c r="AB96" s="194">
        <f t="shared" si="195"/>
        <v>0</v>
      </c>
      <c r="AC96" s="194">
        <f t="shared" si="195"/>
        <v>0</v>
      </c>
      <c r="AD96" s="194">
        <f t="shared" si="195"/>
        <v>0</v>
      </c>
      <c r="AE96" s="194">
        <f t="shared" si="195"/>
        <v>0</v>
      </c>
      <c r="AF96" s="194">
        <f t="shared" si="195"/>
        <v>0</v>
      </c>
      <c r="AG96" s="194">
        <f t="shared" si="195"/>
        <v>0</v>
      </c>
      <c r="AH96" s="194">
        <f t="shared" si="195"/>
        <v>0</v>
      </c>
      <c r="AI96" s="194">
        <f t="shared" si="195"/>
        <v>0</v>
      </c>
      <c r="AJ96" s="194">
        <f t="shared" si="195"/>
        <v>0</v>
      </c>
      <c r="AK96" s="194">
        <f t="shared" ref="AK96:BP96" si="196">AK36+AK37+AK39+AK40+AK41</f>
        <v>0</v>
      </c>
      <c r="AL96" s="194">
        <f t="shared" si="196"/>
        <v>0</v>
      </c>
      <c r="AM96" s="194">
        <f t="shared" si="196"/>
        <v>0</v>
      </c>
      <c r="AN96" s="194">
        <f t="shared" si="196"/>
        <v>0</v>
      </c>
      <c r="AO96" s="194">
        <f t="shared" si="196"/>
        <v>0</v>
      </c>
      <c r="AP96" s="194">
        <f t="shared" si="196"/>
        <v>0</v>
      </c>
      <c r="AQ96" s="194">
        <f t="shared" si="196"/>
        <v>0</v>
      </c>
      <c r="AR96" s="194">
        <f t="shared" si="196"/>
        <v>0</v>
      </c>
      <c r="AS96" s="194">
        <f t="shared" si="196"/>
        <v>0</v>
      </c>
      <c r="AT96" s="194">
        <f t="shared" si="196"/>
        <v>0</v>
      </c>
      <c r="AU96" s="194">
        <f t="shared" si="196"/>
        <v>0</v>
      </c>
      <c r="AV96" s="194">
        <f t="shared" si="196"/>
        <v>0</v>
      </c>
      <c r="AW96" s="194">
        <f t="shared" si="196"/>
        <v>0</v>
      </c>
      <c r="AX96" s="194">
        <f t="shared" si="196"/>
        <v>0</v>
      </c>
      <c r="AY96" s="194">
        <f t="shared" si="196"/>
        <v>0</v>
      </c>
      <c r="AZ96" s="194">
        <f t="shared" si="196"/>
        <v>0</v>
      </c>
      <c r="BA96" s="194">
        <f t="shared" si="196"/>
        <v>0</v>
      </c>
      <c r="BB96" s="194">
        <f t="shared" si="196"/>
        <v>20.5</v>
      </c>
      <c r="BC96" s="194">
        <f t="shared" si="196"/>
        <v>0</v>
      </c>
      <c r="BD96" s="194">
        <f t="shared" si="196"/>
        <v>0</v>
      </c>
      <c r="BE96" s="194">
        <f t="shared" si="196"/>
        <v>0</v>
      </c>
      <c r="BF96" s="194">
        <f t="shared" si="196"/>
        <v>0</v>
      </c>
      <c r="BG96" s="194">
        <f t="shared" si="196"/>
        <v>0</v>
      </c>
      <c r="BH96" s="194">
        <f t="shared" si="196"/>
        <v>11</v>
      </c>
      <c r="BI96" s="194">
        <f t="shared" si="196"/>
        <v>0</v>
      </c>
      <c r="BJ96" s="194">
        <f t="shared" si="196"/>
        <v>0</v>
      </c>
      <c r="BK96" s="194">
        <f t="shared" si="196"/>
        <v>0</v>
      </c>
      <c r="BL96" s="194">
        <f t="shared" si="196"/>
        <v>0</v>
      </c>
      <c r="BM96" s="194">
        <f t="shared" si="196"/>
        <v>0</v>
      </c>
      <c r="BN96" s="194">
        <f t="shared" si="196"/>
        <v>0</v>
      </c>
      <c r="BO96" s="194">
        <f t="shared" si="196"/>
        <v>0</v>
      </c>
      <c r="BP96" s="194">
        <f t="shared" si="196"/>
        <v>0</v>
      </c>
      <c r="BQ96" s="194">
        <f t="shared" ref="BQ96:CV96" si="197">BQ36+BQ37+BQ39+BQ40+BQ41</f>
        <v>0</v>
      </c>
      <c r="BR96" s="194">
        <f t="shared" si="197"/>
        <v>0</v>
      </c>
      <c r="BS96" s="194">
        <f t="shared" si="197"/>
        <v>0</v>
      </c>
      <c r="BT96" s="194">
        <f t="shared" si="197"/>
        <v>0</v>
      </c>
      <c r="BU96" s="194">
        <f t="shared" si="197"/>
        <v>0</v>
      </c>
      <c r="BV96" s="194">
        <f t="shared" si="197"/>
        <v>0</v>
      </c>
      <c r="BW96" s="194">
        <f t="shared" si="197"/>
        <v>0</v>
      </c>
      <c r="BX96" s="194">
        <f t="shared" si="197"/>
        <v>10</v>
      </c>
      <c r="BY96" s="194">
        <f t="shared" si="197"/>
        <v>12</v>
      </c>
      <c r="BZ96" s="194">
        <f t="shared" si="197"/>
        <v>0</v>
      </c>
      <c r="CA96" s="194">
        <f t="shared" si="197"/>
        <v>0</v>
      </c>
      <c r="CB96" s="194">
        <f t="shared" si="197"/>
        <v>0</v>
      </c>
      <c r="CC96" s="194">
        <f t="shared" si="197"/>
        <v>0</v>
      </c>
      <c r="CD96" s="194">
        <f t="shared" si="197"/>
        <v>0</v>
      </c>
      <c r="CE96" s="194">
        <f t="shared" si="197"/>
        <v>22</v>
      </c>
      <c r="CF96" s="194">
        <f t="shared" si="197"/>
        <v>19.5</v>
      </c>
      <c r="CG96" s="194">
        <f t="shared" si="197"/>
        <v>0</v>
      </c>
      <c r="CH96" s="194">
        <f t="shared" si="197"/>
        <v>0</v>
      </c>
      <c r="CI96" s="194">
        <f t="shared" si="197"/>
        <v>25.5</v>
      </c>
      <c r="CJ96" s="194">
        <f t="shared" si="197"/>
        <v>0</v>
      </c>
      <c r="CK96" s="194">
        <f t="shared" si="197"/>
        <v>0</v>
      </c>
      <c r="CL96" s="194">
        <f t="shared" si="197"/>
        <v>24</v>
      </c>
      <c r="CM96" s="194">
        <f t="shared" si="197"/>
        <v>0</v>
      </c>
      <c r="CN96" s="194">
        <f t="shared" si="197"/>
        <v>0</v>
      </c>
      <c r="CO96" s="194">
        <f t="shared" si="197"/>
        <v>34</v>
      </c>
      <c r="CP96" s="194">
        <f t="shared" si="197"/>
        <v>0</v>
      </c>
      <c r="CQ96" s="194">
        <f t="shared" si="197"/>
        <v>5.3</v>
      </c>
      <c r="CR96" s="194">
        <f t="shared" si="197"/>
        <v>0</v>
      </c>
      <c r="CS96" s="194">
        <f t="shared" si="197"/>
        <v>12</v>
      </c>
      <c r="CT96" s="194">
        <f t="shared" si="197"/>
        <v>0</v>
      </c>
      <c r="CU96" s="194">
        <f t="shared" si="197"/>
        <v>0</v>
      </c>
      <c r="CV96" s="194">
        <f t="shared" si="197"/>
        <v>0</v>
      </c>
      <c r="CW96" s="194">
        <f t="shared" ref="CW96:EB96" si="198">CW36+CW37+CW39+CW40+CW41</f>
        <v>0</v>
      </c>
      <c r="CX96" s="194">
        <f t="shared" si="198"/>
        <v>12.6</v>
      </c>
      <c r="CY96" s="194">
        <f t="shared" si="198"/>
        <v>6</v>
      </c>
      <c r="CZ96" s="194">
        <f t="shared" si="198"/>
        <v>0</v>
      </c>
      <c r="DA96" s="194">
        <f t="shared" si="198"/>
        <v>0</v>
      </c>
      <c r="DB96" s="194">
        <f t="shared" si="198"/>
        <v>0</v>
      </c>
      <c r="DC96" s="194">
        <f t="shared" si="198"/>
        <v>16.5</v>
      </c>
      <c r="DD96" s="194">
        <f t="shared" si="198"/>
        <v>35.5</v>
      </c>
      <c r="DE96" s="194">
        <f t="shared" si="198"/>
        <v>19.5</v>
      </c>
      <c r="DF96" s="194">
        <f t="shared" si="198"/>
        <v>23.4</v>
      </c>
      <c r="DG96" s="194">
        <f t="shared" si="198"/>
        <v>24</v>
      </c>
      <c r="DH96" s="194">
        <f t="shared" si="198"/>
        <v>0</v>
      </c>
      <c r="DI96" s="194">
        <f t="shared" si="198"/>
        <v>0</v>
      </c>
      <c r="DJ96" s="194">
        <f t="shared" si="198"/>
        <v>23.4</v>
      </c>
      <c r="DK96" s="194">
        <f t="shared" si="198"/>
        <v>0</v>
      </c>
      <c r="DL96" s="194">
        <f t="shared" si="198"/>
        <v>0</v>
      </c>
      <c r="DM96" s="194">
        <f t="shared" si="198"/>
        <v>0</v>
      </c>
      <c r="DN96" s="194">
        <f t="shared" si="198"/>
        <v>6.7</v>
      </c>
      <c r="DO96" s="194">
        <f t="shared" si="198"/>
        <v>0</v>
      </c>
      <c r="DP96" s="194">
        <f t="shared" si="198"/>
        <v>0</v>
      </c>
      <c r="DQ96" s="194">
        <f t="shared" si="198"/>
        <v>0</v>
      </c>
      <c r="DR96" s="194">
        <f t="shared" si="198"/>
        <v>0</v>
      </c>
      <c r="DS96" s="194">
        <f t="shared" si="198"/>
        <v>0</v>
      </c>
      <c r="DT96" s="194">
        <f t="shared" si="198"/>
        <v>0</v>
      </c>
      <c r="DU96" s="194">
        <f t="shared" si="198"/>
        <v>0</v>
      </c>
      <c r="DV96" s="194">
        <f t="shared" si="198"/>
        <v>0</v>
      </c>
      <c r="DW96" s="194">
        <f t="shared" si="198"/>
        <v>0</v>
      </c>
      <c r="DX96" s="194">
        <f t="shared" si="198"/>
        <v>0</v>
      </c>
      <c r="DY96" s="194">
        <f t="shared" si="198"/>
        <v>0</v>
      </c>
      <c r="DZ96" s="194">
        <f t="shared" si="198"/>
        <v>0</v>
      </c>
      <c r="EA96" s="194">
        <f t="shared" si="198"/>
        <v>0</v>
      </c>
      <c r="EB96" s="194">
        <f t="shared" si="198"/>
        <v>0</v>
      </c>
      <c r="EC96" s="194">
        <f t="shared" ref="EC96:FH96" si="199">EC36+EC37+EC39+EC40+EC41</f>
        <v>0</v>
      </c>
      <c r="ED96" s="194">
        <f t="shared" si="199"/>
        <v>0</v>
      </c>
      <c r="EE96" s="194">
        <f t="shared" si="199"/>
        <v>0</v>
      </c>
      <c r="EF96" s="194">
        <f t="shared" si="199"/>
        <v>0</v>
      </c>
      <c r="EG96" s="194">
        <f t="shared" si="199"/>
        <v>0</v>
      </c>
      <c r="EH96" s="194">
        <f t="shared" si="199"/>
        <v>0</v>
      </c>
      <c r="EI96" s="194">
        <f t="shared" si="199"/>
        <v>0</v>
      </c>
      <c r="EJ96" s="194">
        <f t="shared" si="199"/>
        <v>0</v>
      </c>
      <c r="EK96" s="194">
        <f t="shared" si="199"/>
        <v>0</v>
      </c>
      <c r="EL96" s="194">
        <f t="shared" si="199"/>
        <v>0</v>
      </c>
      <c r="EM96" s="194">
        <f t="shared" si="199"/>
        <v>0</v>
      </c>
      <c r="EN96" s="194">
        <f t="shared" si="199"/>
        <v>40</v>
      </c>
      <c r="EO96" s="194">
        <f t="shared" si="199"/>
        <v>30.5</v>
      </c>
      <c r="EP96" s="194">
        <f t="shared" si="199"/>
        <v>11</v>
      </c>
      <c r="EQ96" s="194">
        <f t="shared" si="199"/>
        <v>0</v>
      </c>
      <c r="ER96" s="194">
        <f t="shared" si="199"/>
        <v>0</v>
      </c>
      <c r="ES96" s="194">
        <f t="shared" si="199"/>
        <v>0</v>
      </c>
      <c r="ET96" s="194">
        <f t="shared" si="199"/>
        <v>4</v>
      </c>
      <c r="EU96" s="194">
        <f t="shared" si="199"/>
        <v>40</v>
      </c>
      <c r="EV96" s="194">
        <f t="shared" si="199"/>
        <v>0</v>
      </c>
      <c r="EW96" s="194">
        <f t="shared" si="199"/>
        <v>0</v>
      </c>
      <c r="EX96" s="194">
        <f t="shared" si="199"/>
        <v>40.5</v>
      </c>
      <c r="EY96" s="194">
        <f t="shared" si="199"/>
        <v>0</v>
      </c>
      <c r="EZ96" s="194">
        <f t="shared" si="199"/>
        <v>20.5</v>
      </c>
      <c r="FA96" s="194">
        <f t="shared" si="199"/>
        <v>0</v>
      </c>
      <c r="FB96" s="194">
        <f t="shared" si="199"/>
        <v>0</v>
      </c>
      <c r="FC96" s="194">
        <f t="shared" si="199"/>
        <v>0</v>
      </c>
      <c r="FD96" s="194">
        <f t="shared" si="199"/>
        <v>13</v>
      </c>
      <c r="FE96" s="194">
        <f t="shared" si="199"/>
        <v>0</v>
      </c>
      <c r="FF96" s="194">
        <f t="shared" si="199"/>
        <v>0</v>
      </c>
      <c r="FG96" s="194">
        <f t="shared" si="199"/>
        <v>5.4</v>
      </c>
      <c r="FH96" s="194">
        <f t="shared" si="199"/>
        <v>41.8</v>
      </c>
      <c r="FI96" s="194">
        <f t="shared" ref="FI96:GN96" si="200">FI36+FI37+FI39+FI40+FI41</f>
        <v>0</v>
      </c>
      <c r="FJ96" s="194">
        <f t="shared" si="200"/>
        <v>0</v>
      </c>
      <c r="FK96" s="194">
        <f t="shared" si="200"/>
        <v>64</v>
      </c>
      <c r="FL96" s="194">
        <f t="shared" si="200"/>
        <v>11.5</v>
      </c>
      <c r="FM96" s="194">
        <f t="shared" si="200"/>
        <v>0</v>
      </c>
      <c r="FN96" s="194">
        <f t="shared" si="200"/>
        <v>3</v>
      </c>
      <c r="FO96" s="194">
        <f t="shared" si="200"/>
        <v>0</v>
      </c>
      <c r="FP96" s="194">
        <f t="shared" si="200"/>
        <v>15.5</v>
      </c>
      <c r="FQ96" s="194">
        <f t="shared" si="200"/>
        <v>0</v>
      </c>
      <c r="FR96" s="194">
        <f t="shared" si="200"/>
        <v>0</v>
      </c>
      <c r="FS96" s="194">
        <f t="shared" si="200"/>
        <v>1.5</v>
      </c>
      <c r="FT96" s="194">
        <f t="shared" si="200"/>
        <v>0</v>
      </c>
      <c r="FU96" s="194">
        <f t="shared" si="200"/>
        <v>71.8</v>
      </c>
      <c r="FV96" s="194">
        <f t="shared" si="200"/>
        <v>0</v>
      </c>
      <c r="FW96" s="194">
        <f t="shared" si="200"/>
        <v>0</v>
      </c>
      <c r="FX96" s="194">
        <f t="shared" si="200"/>
        <v>5.0999999999999996</v>
      </c>
      <c r="FY96" s="194">
        <f t="shared" si="200"/>
        <v>0</v>
      </c>
      <c r="FZ96" s="194">
        <f t="shared" si="200"/>
        <v>0</v>
      </c>
      <c r="GA96" s="194">
        <f t="shared" si="200"/>
        <v>0</v>
      </c>
      <c r="GB96" s="194">
        <f t="shared" si="200"/>
        <v>7</v>
      </c>
      <c r="GC96" s="194">
        <f t="shared" si="200"/>
        <v>0</v>
      </c>
      <c r="GD96" s="194">
        <f t="shared" si="200"/>
        <v>0</v>
      </c>
      <c r="GE96" s="194">
        <f t="shared" si="200"/>
        <v>0</v>
      </c>
      <c r="GF96" s="194">
        <f t="shared" si="200"/>
        <v>0</v>
      </c>
      <c r="GG96" s="194">
        <f t="shared" si="200"/>
        <v>0</v>
      </c>
      <c r="GH96" s="194">
        <f t="shared" si="200"/>
        <v>0</v>
      </c>
      <c r="GI96" s="194">
        <f t="shared" si="200"/>
        <v>0</v>
      </c>
      <c r="GJ96" s="194">
        <f t="shared" si="200"/>
        <v>0</v>
      </c>
      <c r="GK96" s="194">
        <f t="shared" si="200"/>
        <v>0</v>
      </c>
      <c r="GL96" s="194">
        <f t="shared" si="200"/>
        <v>0</v>
      </c>
      <c r="GM96" s="194">
        <f t="shared" si="200"/>
        <v>0</v>
      </c>
      <c r="GN96" s="194">
        <f t="shared" si="200"/>
        <v>0</v>
      </c>
      <c r="GO96" s="194">
        <f t="shared" ref="GO96:HT96" si="201">GO36+GO37+GO39+GO40+GO41</f>
        <v>0</v>
      </c>
      <c r="GP96" s="194">
        <f t="shared" si="201"/>
        <v>0</v>
      </c>
      <c r="GQ96" s="194">
        <f t="shared" si="201"/>
        <v>0</v>
      </c>
      <c r="GR96" s="194">
        <f t="shared" si="201"/>
        <v>0</v>
      </c>
      <c r="GS96" s="194">
        <f t="shared" si="201"/>
        <v>0</v>
      </c>
      <c r="GT96" s="194">
        <f t="shared" si="201"/>
        <v>0</v>
      </c>
      <c r="GU96" s="194">
        <f t="shared" si="201"/>
        <v>0</v>
      </c>
      <c r="GV96" s="194">
        <f t="shared" si="201"/>
        <v>0</v>
      </c>
      <c r="GW96" s="194">
        <f t="shared" si="201"/>
        <v>0</v>
      </c>
      <c r="GX96" s="194">
        <f t="shared" si="201"/>
        <v>0</v>
      </c>
      <c r="GY96" s="194">
        <f t="shared" si="201"/>
        <v>0</v>
      </c>
      <c r="GZ96" s="194">
        <f t="shared" si="201"/>
        <v>0</v>
      </c>
      <c r="HA96" s="194">
        <f t="shared" si="201"/>
        <v>0</v>
      </c>
      <c r="HB96" s="194">
        <f t="shared" si="201"/>
        <v>0</v>
      </c>
      <c r="HC96" s="194">
        <f t="shared" si="201"/>
        <v>0</v>
      </c>
      <c r="HD96" s="194">
        <f t="shared" si="201"/>
        <v>0</v>
      </c>
      <c r="HE96" s="194">
        <f t="shared" si="201"/>
        <v>0</v>
      </c>
      <c r="HF96" s="194">
        <f t="shared" si="201"/>
        <v>0</v>
      </c>
      <c r="HG96" s="194">
        <f t="shared" si="201"/>
        <v>0</v>
      </c>
      <c r="HH96" s="194">
        <f t="shared" si="201"/>
        <v>2.5</v>
      </c>
      <c r="HI96" s="194">
        <f t="shared" si="201"/>
        <v>0</v>
      </c>
      <c r="HJ96" s="194">
        <f t="shared" si="201"/>
        <v>0</v>
      </c>
      <c r="HK96" s="194">
        <f t="shared" si="201"/>
        <v>0</v>
      </c>
      <c r="HL96" s="194">
        <f t="shared" si="201"/>
        <v>0</v>
      </c>
      <c r="HM96" s="194">
        <f t="shared" si="201"/>
        <v>0</v>
      </c>
      <c r="HN96" s="194">
        <f t="shared" si="201"/>
        <v>0</v>
      </c>
      <c r="HO96" s="194">
        <f t="shared" si="201"/>
        <v>0</v>
      </c>
      <c r="HP96" s="194">
        <f t="shared" si="201"/>
        <v>0</v>
      </c>
      <c r="HQ96" s="194">
        <f t="shared" si="201"/>
        <v>0</v>
      </c>
      <c r="HR96" s="194">
        <f t="shared" si="201"/>
        <v>0</v>
      </c>
      <c r="HS96" s="194">
        <f t="shared" si="201"/>
        <v>0</v>
      </c>
      <c r="HT96" s="194">
        <f t="shared" si="201"/>
        <v>0</v>
      </c>
    </row>
    <row r="97" spans="2:228" x14ac:dyDescent="0.25">
      <c r="B97" s="495"/>
      <c r="C97" s="8" t="s">
        <v>80</v>
      </c>
      <c r="E97" s="194">
        <f t="shared" ref="E97:AJ97" si="202">E35/2+E38+E43+E44</f>
        <v>0</v>
      </c>
      <c r="F97" s="194">
        <f t="shared" si="202"/>
        <v>0</v>
      </c>
      <c r="G97" s="194">
        <f t="shared" si="202"/>
        <v>0</v>
      </c>
      <c r="H97" s="194">
        <f t="shared" si="202"/>
        <v>0</v>
      </c>
      <c r="I97" s="194">
        <f t="shared" si="202"/>
        <v>0</v>
      </c>
      <c r="J97" s="194">
        <f t="shared" si="202"/>
        <v>0</v>
      </c>
      <c r="K97" s="194">
        <f t="shared" si="202"/>
        <v>0</v>
      </c>
      <c r="L97" s="194">
        <f t="shared" si="202"/>
        <v>0</v>
      </c>
      <c r="M97" s="194">
        <f t="shared" si="202"/>
        <v>0</v>
      </c>
      <c r="N97" s="194">
        <f t="shared" si="202"/>
        <v>0</v>
      </c>
      <c r="O97" s="194">
        <f t="shared" si="202"/>
        <v>0</v>
      </c>
      <c r="P97" s="194">
        <f t="shared" si="202"/>
        <v>0</v>
      </c>
      <c r="Q97" s="194">
        <f t="shared" si="202"/>
        <v>0</v>
      </c>
      <c r="R97" s="194">
        <f t="shared" si="202"/>
        <v>0</v>
      </c>
      <c r="S97" s="194">
        <f t="shared" si="202"/>
        <v>0</v>
      </c>
      <c r="T97" s="194">
        <f t="shared" si="202"/>
        <v>0</v>
      </c>
      <c r="U97" s="194">
        <f t="shared" si="202"/>
        <v>0</v>
      </c>
      <c r="V97" s="194">
        <f t="shared" si="202"/>
        <v>0</v>
      </c>
      <c r="W97" s="194">
        <f t="shared" si="202"/>
        <v>0</v>
      </c>
      <c r="X97" s="194">
        <f t="shared" si="202"/>
        <v>0</v>
      </c>
      <c r="Y97" s="194">
        <f t="shared" si="202"/>
        <v>0</v>
      </c>
      <c r="Z97" s="194">
        <f t="shared" si="202"/>
        <v>0</v>
      </c>
      <c r="AA97" s="194">
        <f t="shared" si="202"/>
        <v>0</v>
      </c>
      <c r="AB97" s="194">
        <f t="shared" si="202"/>
        <v>0</v>
      </c>
      <c r="AC97" s="194">
        <f t="shared" si="202"/>
        <v>0</v>
      </c>
      <c r="AD97" s="194">
        <f t="shared" si="202"/>
        <v>0</v>
      </c>
      <c r="AE97" s="194">
        <f t="shared" si="202"/>
        <v>0</v>
      </c>
      <c r="AF97" s="194">
        <f t="shared" si="202"/>
        <v>0</v>
      </c>
      <c r="AG97" s="194">
        <f t="shared" si="202"/>
        <v>0</v>
      </c>
      <c r="AH97" s="194">
        <f t="shared" si="202"/>
        <v>0</v>
      </c>
      <c r="AI97" s="194">
        <f t="shared" si="202"/>
        <v>0</v>
      </c>
      <c r="AJ97" s="194">
        <f t="shared" si="202"/>
        <v>0</v>
      </c>
      <c r="AK97" s="194">
        <f t="shared" ref="AK97:BP97" si="203">AK35/2+AK38+AK43+AK44</f>
        <v>0</v>
      </c>
      <c r="AL97" s="194">
        <f t="shared" si="203"/>
        <v>0</v>
      </c>
      <c r="AM97" s="194">
        <f t="shared" si="203"/>
        <v>0</v>
      </c>
      <c r="AN97" s="194">
        <f t="shared" si="203"/>
        <v>0</v>
      </c>
      <c r="AO97" s="194">
        <f t="shared" si="203"/>
        <v>0</v>
      </c>
      <c r="AP97" s="194">
        <f t="shared" si="203"/>
        <v>0</v>
      </c>
      <c r="AQ97" s="194">
        <f t="shared" si="203"/>
        <v>0</v>
      </c>
      <c r="AR97" s="194">
        <f t="shared" si="203"/>
        <v>0</v>
      </c>
      <c r="AS97" s="194">
        <f t="shared" si="203"/>
        <v>0</v>
      </c>
      <c r="AT97" s="194">
        <f t="shared" si="203"/>
        <v>0</v>
      </c>
      <c r="AU97" s="194">
        <f t="shared" si="203"/>
        <v>0</v>
      </c>
      <c r="AV97" s="194">
        <f t="shared" si="203"/>
        <v>0</v>
      </c>
      <c r="AW97" s="194">
        <f t="shared" si="203"/>
        <v>0</v>
      </c>
      <c r="AX97" s="194">
        <f t="shared" si="203"/>
        <v>0</v>
      </c>
      <c r="AY97" s="194">
        <f t="shared" si="203"/>
        <v>0</v>
      </c>
      <c r="AZ97" s="194">
        <f t="shared" si="203"/>
        <v>0</v>
      </c>
      <c r="BA97" s="194">
        <f t="shared" si="203"/>
        <v>0</v>
      </c>
      <c r="BB97" s="194">
        <f t="shared" si="203"/>
        <v>0</v>
      </c>
      <c r="BC97" s="194">
        <f t="shared" si="203"/>
        <v>0</v>
      </c>
      <c r="BD97" s="194">
        <f t="shared" si="203"/>
        <v>0</v>
      </c>
      <c r="BE97" s="194">
        <f t="shared" si="203"/>
        <v>0</v>
      </c>
      <c r="BF97" s="194">
        <f t="shared" si="203"/>
        <v>0</v>
      </c>
      <c r="BG97" s="194">
        <f t="shared" si="203"/>
        <v>0</v>
      </c>
      <c r="BH97" s="194">
        <f t="shared" si="203"/>
        <v>0</v>
      </c>
      <c r="BI97" s="194">
        <f t="shared" si="203"/>
        <v>0</v>
      </c>
      <c r="BJ97" s="194">
        <f t="shared" si="203"/>
        <v>0</v>
      </c>
      <c r="BK97" s="194">
        <f t="shared" si="203"/>
        <v>0</v>
      </c>
      <c r="BL97" s="194">
        <f t="shared" si="203"/>
        <v>0</v>
      </c>
      <c r="BM97" s="194">
        <f t="shared" si="203"/>
        <v>0</v>
      </c>
      <c r="BN97" s="194">
        <f t="shared" si="203"/>
        <v>0</v>
      </c>
      <c r="BO97" s="194">
        <f t="shared" si="203"/>
        <v>0</v>
      </c>
      <c r="BP97" s="194">
        <f t="shared" si="203"/>
        <v>0</v>
      </c>
      <c r="BQ97" s="194">
        <f t="shared" ref="BQ97:CV97" si="204">BQ35/2+BQ38+BQ43+BQ44</f>
        <v>0</v>
      </c>
      <c r="BR97" s="194">
        <f t="shared" si="204"/>
        <v>0</v>
      </c>
      <c r="BS97" s="194">
        <f t="shared" si="204"/>
        <v>0</v>
      </c>
      <c r="BT97" s="194">
        <f t="shared" si="204"/>
        <v>0</v>
      </c>
      <c r="BU97" s="194">
        <f t="shared" si="204"/>
        <v>0</v>
      </c>
      <c r="BV97" s="194">
        <f t="shared" si="204"/>
        <v>0</v>
      </c>
      <c r="BW97" s="194">
        <f t="shared" si="204"/>
        <v>0</v>
      </c>
      <c r="BX97" s="194">
        <f t="shared" si="204"/>
        <v>0</v>
      </c>
      <c r="BY97" s="194">
        <f t="shared" si="204"/>
        <v>0</v>
      </c>
      <c r="BZ97" s="194">
        <f t="shared" si="204"/>
        <v>0</v>
      </c>
      <c r="CA97" s="194">
        <f t="shared" si="204"/>
        <v>0</v>
      </c>
      <c r="CB97" s="194">
        <f t="shared" si="204"/>
        <v>11</v>
      </c>
      <c r="CC97" s="194">
        <f t="shared" si="204"/>
        <v>0</v>
      </c>
      <c r="CD97" s="194">
        <f t="shared" si="204"/>
        <v>0</v>
      </c>
      <c r="CE97" s="194">
        <f t="shared" si="204"/>
        <v>0</v>
      </c>
      <c r="CF97" s="194">
        <f t="shared" si="204"/>
        <v>0</v>
      </c>
      <c r="CG97" s="194">
        <f t="shared" si="204"/>
        <v>0</v>
      </c>
      <c r="CH97" s="194">
        <f t="shared" si="204"/>
        <v>0</v>
      </c>
      <c r="CI97" s="194">
        <f t="shared" si="204"/>
        <v>0</v>
      </c>
      <c r="CJ97" s="194">
        <f t="shared" si="204"/>
        <v>0</v>
      </c>
      <c r="CK97" s="194">
        <f t="shared" si="204"/>
        <v>0</v>
      </c>
      <c r="CL97" s="194">
        <f t="shared" si="204"/>
        <v>0</v>
      </c>
      <c r="CM97" s="194">
        <f t="shared" si="204"/>
        <v>0</v>
      </c>
      <c r="CN97" s="194">
        <f t="shared" si="204"/>
        <v>0</v>
      </c>
      <c r="CO97" s="194">
        <f t="shared" si="204"/>
        <v>0</v>
      </c>
      <c r="CP97" s="194">
        <f t="shared" si="204"/>
        <v>0</v>
      </c>
      <c r="CQ97" s="194">
        <f t="shared" si="204"/>
        <v>0</v>
      </c>
      <c r="CR97" s="194">
        <f t="shared" si="204"/>
        <v>0</v>
      </c>
      <c r="CS97" s="194">
        <f t="shared" si="204"/>
        <v>0</v>
      </c>
      <c r="CT97" s="194">
        <f t="shared" si="204"/>
        <v>0</v>
      </c>
      <c r="CU97" s="194">
        <f t="shared" si="204"/>
        <v>0</v>
      </c>
      <c r="CV97" s="194">
        <f t="shared" si="204"/>
        <v>0</v>
      </c>
      <c r="CW97" s="194">
        <f t="shared" ref="CW97:EB97" si="205">CW35/2+CW38+CW43+CW44</f>
        <v>0</v>
      </c>
      <c r="CX97" s="194">
        <f t="shared" si="205"/>
        <v>0</v>
      </c>
      <c r="CY97" s="194">
        <f t="shared" si="205"/>
        <v>0</v>
      </c>
      <c r="CZ97" s="194">
        <f t="shared" si="205"/>
        <v>0</v>
      </c>
      <c r="DA97" s="194">
        <f t="shared" si="205"/>
        <v>0</v>
      </c>
      <c r="DB97" s="194">
        <f t="shared" si="205"/>
        <v>0</v>
      </c>
      <c r="DC97" s="194">
        <f t="shared" si="205"/>
        <v>0</v>
      </c>
      <c r="DD97" s="194">
        <f t="shared" si="205"/>
        <v>0</v>
      </c>
      <c r="DE97" s="194">
        <f t="shared" si="205"/>
        <v>0</v>
      </c>
      <c r="DF97" s="194">
        <f t="shared" si="205"/>
        <v>0</v>
      </c>
      <c r="DG97" s="194">
        <f t="shared" si="205"/>
        <v>0</v>
      </c>
      <c r="DH97" s="194">
        <f t="shared" si="205"/>
        <v>10.199999999999999</v>
      </c>
      <c r="DI97" s="194">
        <f t="shared" si="205"/>
        <v>0</v>
      </c>
      <c r="DJ97" s="194">
        <f t="shared" si="205"/>
        <v>0</v>
      </c>
      <c r="DK97" s="194">
        <f t="shared" si="205"/>
        <v>0</v>
      </c>
      <c r="DL97" s="194">
        <f t="shared" si="205"/>
        <v>0</v>
      </c>
      <c r="DM97" s="194">
        <f t="shared" si="205"/>
        <v>11.5</v>
      </c>
      <c r="DN97" s="194">
        <f t="shared" si="205"/>
        <v>0</v>
      </c>
      <c r="DO97" s="194">
        <f t="shared" si="205"/>
        <v>0</v>
      </c>
      <c r="DP97" s="194">
        <f t="shared" si="205"/>
        <v>0</v>
      </c>
      <c r="DQ97" s="194">
        <f t="shared" si="205"/>
        <v>0</v>
      </c>
      <c r="DR97" s="194">
        <f t="shared" si="205"/>
        <v>0</v>
      </c>
      <c r="DS97" s="194">
        <f t="shared" si="205"/>
        <v>0</v>
      </c>
      <c r="DT97" s="194">
        <f t="shared" si="205"/>
        <v>0</v>
      </c>
      <c r="DU97" s="194">
        <f t="shared" si="205"/>
        <v>15</v>
      </c>
      <c r="DV97" s="194">
        <f t="shared" si="205"/>
        <v>0</v>
      </c>
      <c r="DW97" s="194">
        <f t="shared" si="205"/>
        <v>0</v>
      </c>
      <c r="DX97" s="194">
        <f t="shared" si="205"/>
        <v>0</v>
      </c>
      <c r="DY97" s="194">
        <f t="shared" si="205"/>
        <v>15</v>
      </c>
      <c r="DZ97" s="194">
        <f t="shared" si="205"/>
        <v>0</v>
      </c>
      <c r="EA97" s="194">
        <f t="shared" si="205"/>
        <v>0</v>
      </c>
      <c r="EB97" s="194">
        <f t="shared" si="205"/>
        <v>0</v>
      </c>
      <c r="EC97" s="194">
        <f t="shared" ref="EC97:FH97" si="206">EC35/2+EC38+EC43+EC44</f>
        <v>0</v>
      </c>
      <c r="ED97" s="194">
        <f t="shared" si="206"/>
        <v>0</v>
      </c>
      <c r="EE97" s="194">
        <f t="shared" si="206"/>
        <v>0</v>
      </c>
      <c r="EF97" s="194">
        <f t="shared" si="206"/>
        <v>15.2</v>
      </c>
      <c r="EG97" s="194">
        <f t="shared" si="206"/>
        <v>15</v>
      </c>
      <c r="EH97" s="194">
        <f t="shared" si="206"/>
        <v>0</v>
      </c>
      <c r="EI97" s="194">
        <f t="shared" si="206"/>
        <v>0</v>
      </c>
      <c r="EJ97" s="194">
        <f t="shared" si="206"/>
        <v>0</v>
      </c>
      <c r="EK97" s="194">
        <f t="shared" si="206"/>
        <v>0</v>
      </c>
      <c r="EL97" s="194">
        <f t="shared" si="206"/>
        <v>0</v>
      </c>
      <c r="EM97" s="194">
        <f t="shared" si="206"/>
        <v>41.4</v>
      </c>
      <c r="EN97" s="194">
        <f t="shared" si="206"/>
        <v>0</v>
      </c>
      <c r="EO97" s="194">
        <f t="shared" si="206"/>
        <v>5.5</v>
      </c>
      <c r="EP97" s="194">
        <f t="shared" si="206"/>
        <v>15</v>
      </c>
      <c r="EQ97" s="194">
        <f t="shared" si="206"/>
        <v>17</v>
      </c>
      <c r="ER97" s="194">
        <f t="shared" si="206"/>
        <v>0</v>
      </c>
      <c r="ES97" s="194">
        <f t="shared" si="206"/>
        <v>0</v>
      </c>
      <c r="ET97" s="194">
        <f t="shared" si="206"/>
        <v>3.5</v>
      </c>
      <c r="EU97" s="194">
        <f t="shared" si="206"/>
        <v>12</v>
      </c>
      <c r="EV97" s="194">
        <f t="shared" si="206"/>
        <v>0</v>
      </c>
      <c r="EW97" s="194">
        <f t="shared" si="206"/>
        <v>19</v>
      </c>
      <c r="EX97" s="194">
        <f t="shared" si="206"/>
        <v>10.5</v>
      </c>
      <c r="EY97" s="194">
        <f t="shared" si="206"/>
        <v>0</v>
      </c>
      <c r="EZ97" s="194">
        <f t="shared" si="206"/>
        <v>15.5</v>
      </c>
      <c r="FA97" s="194">
        <f t="shared" si="206"/>
        <v>0</v>
      </c>
      <c r="FB97" s="194">
        <f t="shared" si="206"/>
        <v>18.5</v>
      </c>
      <c r="FC97" s="194">
        <f t="shared" si="206"/>
        <v>20</v>
      </c>
      <c r="FD97" s="194">
        <f t="shared" si="206"/>
        <v>11</v>
      </c>
      <c r="FE97" s="194">
        <f t="shared" si="206"/>
        <v>0</v>
      </c>
      <c r="FF97" s="194">
        <f t="shared" si="206"/>
        <v>0</v>
      </c>
      <c r="FG97" s="194">
        <f t="shared" si="206"/>
        <v>0</v>
      </c>
      <c r="FH97" s="194">
        <f t="shared" si="206"/>
        <v>0</v>
      </c>
      <c r="FI97" s="194">
        <f t="shared" ref="FI97:GN97" si="207">FI35/2+FI38+FI43+FI44</f>
        <v>25.2</v>
      </c>
      <c r="FJ97" s="194">
        <f t="shared" si="207"/>
        <v>0</v>
      </c>
      <c r="FK97" s="194">
        <f t="shared" si="207"/>
        <v>11.4</v>
      </c>
      <c r="FL97" s="194">
        <f t="shared" si="207"/>
        <v>0</v>
      </c>
      <c r="FM97" s="194">
        <f t="shared" si="207"/>
        <v>0</v>
      </c>
      <c r="FN97" s="194">
        <f t="shared" si="207"/>
        <v>0</v>
      </c>
      <c r="FO97" s="194">
        <f t="shared" si="207"/>
        <v>0</v>
      </c>
      <c r="FP97" s="194">
        <f t="shared" si="207"/>
        <v>0</v>
      </c>
      <c r="FQ97" s="194">
        <f t="shared" si="207"/>
        <v>0</v>
      </c>
      <c r="FR97" s="194">
        <f t="shared" si="207"/>
        <v>0</v>
      </c>
      <c r="FS97" s="194">
        <f t="shared" si="207"/>
        <v>0</v>
      </c>
      <c r="FT97" s="194">
        <f t="shared" si="207"/>
        <v>0</v>
      </c>
      <c r="FU97" s="194">
        <f t="shared" si="207"/>
        <v>0</v>
      </c>
      <c r="FV97" s="194">
        <f t="shared" si="207"/>
        <v>13.5</v>
      </c>
      <c r="FW97" s="194">
        <f t="shared" si="207"/>
        <v>11.5</v>
      </c>
      <c r="FX97" s="194">
        <f t="shared" si="207"/>
        <v>0</v>
      </c>
      <c r="FY97" s="194">
        <f t="shared" si="207"/>
        <v>0</v>
      </c>
      <c r="FZ97" s="194">
        <f t="shared" si="207"/>
        <v>0</v>
      </c>
      <c r="GA97" s="194">
        <f t="shared" si="207"/>
        <v>0</v>
      </c>
      <c r="GB97" s="194">
        <f t="shared" si="207"/>
        <v>0</v>
      </c>
      <c r="GC97" s="194">
        <f t="shared" si="207"/>
        <v>0</v>
      </c>
      <c r="GD97" s="194">
        <f t="shared" si="207"/>
        <v>0</v>
      </c>
      <c r="GE97" s="194">
        <f t="shared" si="207"/>
        <v>0</v>
      </c>
      <c r="GF97" s="194">
        <f t="shared" si="207"/>
        <v>2.25</v>
      </c>
      <c r="GG97" s="194">
        <f t="shared" si="207"/>
        <v>0</v>
      </c>
      <c r="GH97" s="194">
        <f t="shared" si="207"/>
        <v>0</v>
      </c>
      <c r="GI97" s="194">
        <f t="shared" si="207"/>
        <v>0</v>
      </c>
      <c r="GJ97" s="194">
        <f t="shared" si="207"/>
        <v>5</v>
      </c>
      <c r="GK97" s="194">
        <f t="shared" si="207"/>
        <v>0</v>
      </c>
      <c r="GL97" s="194">
        <f t="shared" si="207"/>
        <v>8</v>
      </c>
      <c r="GM97" s="194">
        <f t="shared" si="207"/>
        <v>1.55</v>
      </c>
      <c r="GN97" s="194">
        <f t="shared" si="207"/>
        <v>0</v>
      </c>
      <c r="GO97" s="194">
        <f t="shared" ref="GO97:HT97" si="208">GO35/2+GO38+GO43+GO44</f>
        <v>0</v>
      </c>
      <c r="GP97" s="194">
        <f t="shared" si="208"/>
        <v>0</v>
      </c>
      <c r="GQ97" s="194">
        <f t="shared" si="208"/>
        <v>0</v>
      </c>
      <c r="GR97" s="194">
        <f t="shared" si="208"/>
        <v>0</v>
      </c>
      <c r="GS97" s="194">
        <f t="shared" si="208"/>
        <v>0</v>
      </c>
      <c r="GT97" s="194">
        <f t="shared" si="208"/>
        <v>0</v>
      </c>
      <c r="GU97" s="194">
        <f t="shared" si="208"/>
        <v>8</v>
      </c>
      <c r="GV97" s="194">
        <f t="shared" si="208"/>
        <v>0</v>
      </c>
      <c r="GW97" s="194">
        <f t="shared" si="208"/>
        <v>0</v>
      </c>
      <c r="GX97" s="194">
        <f t="shared" si="208"/>
        <v>0</v>
      </c>
      <c r="GY97" s="194">
        <f t="shared" si="208"/>
        <v>0</v>
      </c>
      <c r="GZ97" s="194">
        <f t="shared" si="208"/>
        <v>14.05</v>
      </c>
      <c r="HA97" s="194">
        <f t="shared" si="208"/>
        <v>0</v>
      </c>
      <c r="HB97" s="194">
        <f t="shared" si="208"/>
        <v>0</v>
      </c>
      <c r="HC97" s="194">
        <f t="shared" si="208"/>
        <v>0</v>
      </c>
      <c r="HD97" s="194">
        <f t="shared" si="208"/>
        <v>0</v>
      </c>
      <c r="HE97" s="194">
        <f t="shared" si="208"/>
        <v>0</v>
      </c>
      <c r="HF97" s="194">
        <f t="shared" si="208"/>
        <v>10.5</v>
      </c>
      <c r="HG97" s="194">
        <f t="shared" si="208"/>
        <v>1</v>
      </c>
      <c r="HH97" s="194">
        <f t="shared" si="208"/>
        <v>7</v>
      </c>
      <c r="HI97" s="194">
        <f t="shared" si="208"/>
        <v>0</v>
      </c>
      <c r="HJ97" s="194">
        <f t="shared" si="208"/>
        <v>0</v>
      </c>
      <c r="HK97" s="194">
        <f t="shared" si="208"/>
        <v>0</v>
      </c>
      <c r="HL97" s="194">
        <f t="shared" si="208"/>
        <v>0</v>
      </c>
      <c r="HM97" s="194">
        <f t="shared" si="208"/>
        <v>0</v>
      </c>
      <c r="HN97" s="194">
        <f t="shared" si="208"/>
        <v>0</v>
      </c>
      <c r="HO97" s="194">
        <f t="shared" si="208"/>
        <v>0</v>
      </c>
      <c r="HP97" s="194">
        <f t="shared" si="208"/>
        <v>0</v>
      </c>
      <c r="HQ97" s="194">
        <f t="shared" si="208"/>
        <v>0</v>
      </c>
      <c r="HR97" s="194">
        <f t="shared" si="208"/>
        <v>0</v>
      </c>
      <c r="HS97" s="194">
        <f t="shared" si="208"/>
        <v>0</v>
      </c>
      <c r="HT97" s="194">
        <f t="shared" si="208"/>
        <v>0</v>
      </c>
    </row>
    <row r="98" spans="2:228" x14ac:dyDescent="0.25">
      <c r="B98" s="495"/>
      <c r="C98" s="8" t="s">
        <v>89</v>
      </c>
      <c r="E98">
        <f t="shared" ref="E98:AJ98" si="209">E35/2+E42+E45</f>
        <v>0</v>
      </c>
      <c r="F98">
        <f t="shared" si="209"/>
        <v>0</v>
      </c>
      <c r="G98">
        <f t="shared" si="209"/>
        <v>0</v>
      </c>
      <c r="H98">
        <f t="shared" si="209"/>
        <v>0</v>
      </c>
      <c r="I98">
        <f t="shared" si="209"/>
        <v>0</v>
      </c>
      <c r="J98">
        <f t="shared" si="209"/>
        <v>0</v>
      </c>
      <c r="K98">
        <f t="shared" si="209"/>
        <v>0</v>
      </c>
      <c r="L98">
        <f t="shared" si="209"/>
        <v>0</v>
      </c>
      <c r="M98">
        <f t="shared" si="209"/>
        <v>0</v>
      </c>
      <c r="N98">
        <f t="shared" si="209"/>
        <v>0</v>
      </c>
      <c r="O98">
        <f t="shared" si="209"/>
        <v>0</v>
      </c>
      <c r="P98">
        <f t="shared" si="209"/>
        <v>0</v>
      </c>
      <c r="Q98">
        <f t="shared" si="209"/>
        <v>0</v>
      </c>
      <c r="R98">
        <f t="shared" si="209"/>
        <v>0</v>
      </c>
      <c r="S98">
        <f t="shared" si="209"/>
        <v>0</v>
      </c>
      <c r="T98">
        <f t="shared" si="209"/>
        <v>0</v>
      </c>
      <c r="U98">
        <f t="shared" si="209"/>
        <v>0</v>
      </c>
      <c r="V98">
        <f t="shared" si="209"/>
        <v>0</v>
      </c>
      <c r="W98">
        <f t="shared" si="209"/>
        <v>0</v>
      </c>
      <c r="X98">
        <f t="shared" si="209"/>
        <v>0</v>
      </c>
      <c r="Y98">
        <f t="shared" si="209"/>
        <v>0</v>
      </c>
      <c r="Z98">
        <f t="shared" si="209"/>
        <v>0</v>
      </c>
      <c r="AA98">
        <f t="shared" si="209"/>
        <v>0</v>
      </c>
      <c r="AB98">
        <f t="shared" si="209"/>
        <v>0</v>
      </c>
      <c r="AC98">
        <f t="shared" si="209"/>
        <v>0</v>
      </c>
      <c r="AD98">
        <f t="shared" si="209"/>
        <v>0</v>
      </c>
      <c r="AE98">
        <f t="shared" si="209"/>
        <v>0</v>
      </c>
      <c r="AF98">
        <f t="shared" si="209"/>
        <v>0</v>
      </c>
      <c r="AG98">
        <f t="shared" si="209"/>
        <v>0</v>
      </c>
      <c r="AH98">
        <f t="shared" si="209"/>
        <v>0</v>
      </c>
      <c r="AI98">
        <f t="shared" si="209"/>
        <v>0</v>
      </c>
      <c r="AJ98">
        <f t="shared" si="209"/>
        <v>0</v>
      </c>
      <c r="AK98">
        <f t="shared" ref="AK98:BP98" si="210">AK35/2+AK42+AK45</f>
        <v>0</v>
      </c>
      <c r="AL98">
        <f t="shared" si="210"/>
        <v>0</v>
      </c>
      <c r="AM98">
        <f t="shared" si="210"/>
        <v>0</v>
      </c>
      <c r="AN98">
        <f t="shared" si="210"/>
        <v>0</v>
      </c>
      <c r="AO98">
        <f t="shared" si="210"/>
        <v>0</v>
      </c>
      <c r="AP98">
        <f t="shared" si="210"/>
        <v>0</v>
      </c>
      <c r="AQ98">
        <f t="shared" si="210"/>
        <v>0</v>
      </c>
      <c r="AR98">
        <f t="shared" si="210"/>
        <v>0</v>
      </c>
      <c r="AS98">
        <f t="shared" si="210"/>
        <v>0</v>
      </c>
      <c r="AT98">
        <f t="shared" si="210"/>
        <v>0</v>
      </c>
      <c r="AU98">
        <f t="shared" si="210"/>
        <v>0</v>
      </c>
      <c r="AV98">
        <f t="shared" si="210"/>
        <v>0</v>
      </c>
      <c r="AW98">
        <f t="shared" si="210"/>
        <v>0</v>
      </c>
      <c r="AX98">
        <f t="shared" si="210"/>
        <v>0</v>
      </c>
      <c r="AY98">
        <f t="shared" si="210"/>
        <v>0</v>
      </c>
      <c r="AZ98">
        <f t="shared" si="210"/>
        <v>0</v>
      </c>
      <c r="BA98">
        <f t="shared" si="210"/>
        <v>0</v>
      </c>
      <c r="BB98">
        <f t="shared" si="210"/>
        <v>0</v>
      </c>
      <c r="BC98">
        <f t="shared" si="210"/>
        <v>0</v>
      </c>
      <c r="BD98">
        <f t="shared" si="210"/>
        <v>0</v>
      </c>
      <c r="BE98">
        <f t="shared" si="210"/>
        <v>0</v>
      </c>
      <c r="BF98">
        <f t="shared" si="210"/>
        <v>0</v>
      </c>
      <c r="BG98">
        <f t="shared" si="210"/>
        <v>0</v>
      </c>
      <c r="BH98">
        <f t="shared" si="210"/>
        <v>0</v>
      </c>
      <c r="BI98">
        <f t="shared" si="210"/>
        <v>0</v>
      </c>
      <c r="BJ98">
        <f t="shared" si="210"/>
        <v>0</v>
      </c>
      <c r="BK98">
        <f t="shared" si="210"/>
        <v>0</v>
      </c>
      <c r="BL98">
        <f t="shared" si="210"/>
        <v>0</v>
      </c>
      <c r="BM98">
        <f t="shared" si="210"/>
        <v>0</v>
      </c>
      <c r="BN98">
        <f t="shared" si="210"/>
        <v>0</v>
      </c>
      <c r="BO98">
        <f t="shared" si="210"/>
        <v>0</v>
      </c>
      <c r="BP98">
        <f t="shared" si="210"/>
        <v>0</v>
      </c>
      <c r="BQ98">
        <f t="shared" ref="BQ98:CV98" si="211">BQ35/2+BQ42+BQ45</f>
        <v>0</v>
      </c>
      <c r="BR98">
        <f t="shared" si="211"/>
        <v>0</v>
      </c>
      <c r="BS98">
        <f t="shared" si="211"/>
        <v>0</v>
      </c>
      <c r="BT98">
        <f t="shared" si="211"/>
        <v>0</v>
      </c>
      <c r="BU98">
        <f t="shared" si="211"/>
        <v>0</v>
      </c>
      <c r="BV98">
        <f t="shared" si="211"/>
        <v>0</v>
      </c>
      <c r="BW98">
        <f t="shared" si="211"/>
        <v>0</v>
      </c>
      <c r="BX98">
        <f t="shared" si="211"/>
        <v>0</v>
      </c>
      <c r="BY98">
        <f t="shared" si="211"/>
        <v>0</v>
      </c>
      <c r="BZ98">
        <f t="shared" si="211"/>
        <v>0</v>
      </c>
      <c r="CA98">
        <f t="shared" si="211"/>
        <v>0</v>
      </c>
      <c r="CB98">
        <f t="shared" si="211"/>
        <v>11</v>
      </c>
      <c r="CC98">
        <f t="shared" si="211"/>
        <v>0</v>
      </c>
      <c r="CD98">
        <f t="shared" si="211"/>
        <v>0</v>
      </c>
      <c r="CE98">
        <f t="shared" si="211"/>
        <v>0</v>
      </c>
      <c r="CF98">
        <f t="shared" si="211"/>
        <v>0</v>
      </c>
      <c r="CG98">
        <f t="shared" si="211"/>
        <v>0</v>
      </c>
      <c r="CH98">
        <f t="shared" si="211"/>
        <v>0</v>
      </c>
      <c r="CI98">
        <f t="shared" si="211"/>
        <v>0</v>
      </c>
      <c r="CJ98">
        <f t="shared" si="211"/>
        <v>0</v>
      </c>
      <c r="CK98">
        <f t="shared" si="211"/>
        <v>0</v>
      </c>
      <c r="CL98">
        <f t="shared" si="211"/>
        <v>0</v>
      </c>
      <c r="CM98">
        <f t="shared" si="211"/>
        <v>0</v>
      </c>
      <c r="CN98">
        <f t="shared" si="211"/>
        <v>0</v>
      </c>
      <c r="CO98">
        <f t="shared" si="211"/>
        <v>0</v>
      </c>
      <c r="CP98">
        <f t="shared" si="211"/>
        <v>0</v>
      </c>
      <c r="CQ98">
        <f t="shared" si="211"/>
        <v>0</v>
      </c>
      <c r="CR98">
        <f t="shared" si="211"/>
        <v>0</v>
      </c>
      <c r="CS98">
        <f t="shared" si="211"/>
        <v>0</v>
      </c>
      <c r="CT98">
        <f t="shared" si="211"/>
        <v>0</v>
      </c>
      <c r="CU98">
        <f t="shared" si="211"/>
        <v>0</v>
      </c>
      <c r="CV98">
        <f t="shared" si="211"/>
        <v>0</v>
      </c>
      <c r="CW98">
        <f t="shared" ref="CW98:EB98" si="212">CW35/2+CW42+CW45</f>
        <v>0</v>
      </c>
      <c r="CX98">
        <f t="shared" si="212"/>
        <v>0</v>
      </c>
      <c r="CY98">
        <f t="shared" si="212"/>
        <v>0</v>
      </c>
      <c r="CZ98">
        <f t="shared" si="212"/>
        <v>0</v>
      </c>
      <c r="DA98">
        <f t="shared" si="212"/>
        <v>0</v>
      </c>
      <c r="DB98">
        <f t="shared" si="212"/>
        <v>0</v>
      </c>
      <c r="DC98">
        <f t="shared" si="212"/>
        <v>0</v>
      </c>
      <c r="DD98">
        <f t="shared" si="212"/>
        <v>0</v>
      </c>
      <c r="DE98">
        <f t="shared" si="212"/>
        <v>44</v>
      </c>
      <c r="DF98">
        <f t="shared" si="212"/>
        <v>0</v>
      </c>
      <c r="DG98">
        <f t="shared" si="212"/>
        <v>0</v>
      </c>
      <c r="DH98">
        <f t="shared" si="212"/>
        <v>0</v>
      </c>
      <c r="DI98">
        <f t="shared" si="212"/>
        <v>0</v>
      </c>
      <c r="DJ98">
        <f t="shared" si="212"/>
        <v>0</v>
      </c>
      <c r="DK98">
        <f t="shared" si="212"/>
        <v>0</v>
      </c>
      <c r="DL98">
        <f t="shared" si="212"/>
        <v>0</v>
      </c>
      <c r="DM98">
        <f t="shared" si="212"/>
        <v>0</v>
      </c>
      <c r="DN98">
        <f t="shared" si="212"/>
        <v>0</v>
      </c>
      <c r="DO98">
        <f t="shared" si="212"/>
        <v>0</v>
      </c>
      <c r="DP98">
        <f t="shared" si="212"/>
        <v>0</v>
      </c>
      <c r="DQ98">
        <f t="shared" si="212"/>
        <v>0</v>
      </c>
      <c r="DR98">
        <f t="shared" si="212"/>
        <v>0</v>
      </c>
      <c r="DS98">
        <f t="shared" si="212"/>
        <v>0</v>
      </c>
      <c r="DT98">
        <f t="shared" si="212"/>
        <v>0</v>
      </c>
      <c r="DU98">
        <f t="shared" si="212"/>
        <v>0</v>
      </c>
      <c r="DV98">
        <f t="shared" si="212"/>
        <v>0</v>
      </c>
      <c r="DW98">
        <f t="shared" si="212"/>
        <v>0</v>
      </c>
      <c r="DX98">
        <f t="shared" si="212"/>
        <v>0</v>
      </c>
      <c r="DY98">
        <f t="shared" si="212"/>
        <v>0</v>
      </c>
      <c r="DZ98">
        <f t="shared" si="212"/>
        <v>0</v>
      </c>
      <c r="EA98">
        <f t="shared" si="212"/>
        <v>0</v>
      </c>
      <c r="EB98">
        <f t="shared" si="212"/>
        <v>0</v>
      </c>
      <c r="EC98">
        <f t="shared" ref="EC98:FH98" si="213">EC35/2+EC42+EC45</f>
        <v>0</v>
      </c>
      <c r="ED98">
        <f t="shared" si="213"/>
        <v>0</v>
      </c>
      <c r="EE98">
        <f t="shared" si="213"/>
        <v>0</v>
      </c>
      <c r="EF98">
        <f t="shared" si="213"/>
        <v>0</v>
      </c>
      <c r="EG98">
        <f t="shared" si="213"/>
        <v>0</v>
      </c>
      <c r="EH98">
        <f t="shared" si="213"/>
        <v>0</v>
      </c>
      <c r="EI98">
        <f t="shared" si="213"/>
        <v>0</v>
      </c>
      <c r="EJ98">
        <f t="shared" si="213"/>
        <v>0</v>
      </c>
      <c r="EK98">
        <f t="shared" si="213"/>
        <v>0</v>
      </c>
      <c r="EL98">
        <f t="shared" si="213"/>
        <v>0</v>
      </c>
      <c r="EM98">
        <f t="shared" si="213"/>
        <v>0</v>
      </c>
      <c r="EN98">
        <f t="shared" si="213"/>
        <v>0</v>
      </c>
      <c r="EO98">
        <f t="shared" si="213"/>
        <v>5.5</v>
      </c>
      <c r="EP98">
        <f t="shared" si="213"/>
        <v>0</v>
      </c>
      <c r="EQ98">
        <f t="shared" si="213"/>
        <v>0</v>
      </c>
      <c r="ER98">
        <f t="shared" si="213"/>
        <v>0</v>
      </c>
      <c r="ES98">
        <f t="shared" si="213"/>
        <v>0</v>
      </c>
      <c r="ET98">
        <f t="shared" si="213"/>
        <v>3.5</v>
      </c>
      <c r="EU98">
        <f t="shared" si="213"/>
        <v>0</v>
      </c>
      <c r="EV98">
        <f t="shared" si="213"/>
        <v>0</v>
      </c>
      <c r="EW98">
        <f t="shared" si="213"/>
        <v>0</v>
      </c>
      <c r="EX98">
        <f t="shared" si="213"/>
        <v>10.5</v>
      </c>
      <c r="EY98">
        <f t="shared" si="213"/>
        <v>0</v>
      </c>
      <c r="EZ98">
        <f t="shared" si="213"/>
        <v>0</v>
      </c>
      <c r="FA98">
        <f t="shared" si="213"/>
        <v>0</v>
      </c>
      <c r="FB98">
        <f t="shared" si="213"/>
        <v>6</v>
      </c>
      <c r="FC98">
        <f t="shared" si="213"/>
        <v>8.5</v>
      </c>
      <c r="FD98">
        <f t="shared" si="213"/>
        <v>0</v>
      </c>
      <c r="FE98">
        <f t="shared" si="213"/>
        <v>0</v>
      </c>
      <c r="FF98">
        <f t="shared" si="213"/>
        <v>0</v>
      </c>
      <c r="FG98">
        <f t="shared" si="213"/>
        <v>0</v>
      </c>
      <c r="FH98">
        <f t="shared" si="213"/>
        <v>0</v>
      </c>
      <c r="FI98">
        <f t="shared" ref="FI98:GN98" si="214">FI35/2+FI42+FI45</f>
        <v>0</v>
      </c>
      <c r="FJ98">
        <f t="shared" si="214"/>
        <v>0</v>
      </c>
      <c r="FK98">
        <f t="shared" si="214"/>
        <v>11.4</v>
      </c>
      <c r="FL98">
        <f t="shared" si="214"/>
        <v>0</v>
      </c>
      <c r="FM98">
        <f t="shared" si="214"/>
        <v>0</v>
      </c>
      <c r="FN98">
        <f t="shared" si="214"/>
        <v>0</v>
      </c>
      <c r="FO98">
        <f t="shared" si="214"/>
        <v>0</v>
      </c>
      <c r="FP98">
        <f t="shared" si="214"/>
        <v>0</v>
      </c>
      <c r="FQ98">
        <f t="shared" si="214"/>
        <v>0</v>
      </c>
      <c r="FR98">
        <f t="shared" si="214"/>
        <v>0</v>
      </c>
      <c r="FS98">
        <f t="shared" si="214"/>
        <v>0</v>
      </c>
      <c r="FT98">
        <f t="shared" si="214"/>
        <v>0</v>
      </c>
      <c r="FU98">
        <f t="shared" si="214"/>
        <v>0</v>
      </c>
      <c r="FV98">
        <f t="shared" si="214"/>
        <v>13.5</v>
      </c>
      <c r="FW98">
        <f t="shared" si="214"/>
        <v>11.5</v>
      </c>
      <c r="FX98">
        <f t="shared" si="214"/>
        <v>0</v>
      </c>
      <c r="FY98">
        <f t="shared" si="214"/>
        <v>26</v>
      </c>
      <c r="FZ98">
        <f t="shared" si="214"/>
        <v>0</v>
      </c>
      <c r="GA98">
        <f t="shared" si="214"/>
        <v>0</v>
      </c>
      <c r="GB98">
        <f t="shared" si="214"/>
        <v>0</v>
      </c>
      <c r="GC98">
        <f t="shared" si="214"/>
        <v>0</v>
      </c>
      <c r="GD98">
        <f t="shared" si="214"/>
        <v>0</v>
      </c>
      <c r="GE98">
        <f t="shared" si="214"/>
        <v>0</v>
      </c>
      <c r="GF98">
        <f t="shared" si="214"/>
        <v>2.25</v>
      </c>
      <c r="GG98">
        <f t="shared" si="214"/>
        <v>0</v>
      </c>
      <c r="GH98">
        <f t="shared" si="214"/>
        <v>0</v>
      </c>
      <c r="GI98">
        <f t="shared" si="214"/>
        <v>0</v>
      </c>
      <c r="GJ98">
        <f t="shared" si="214"/>
        <v>5</v>
      </c>
      <c r="GK98">
        <f t="shared" si="214"/>
        <v>0</v>
      </c>
      <c r="GL98">
        <f t="shared" si="214"/>
        <v>8</v>
      </c>
      <c r="GM98">
        <f t="shared" si="214"/>
        <v>1.55</v>
      </c>
      <c r="GN98">
        <f t="shared" si="214"/>
        <v>34</v>
      </c>
      <c r="GO98">
        <f t="shared" ref="GO98:HT98" si="215">GO35/2+GO42+GO45</f>
        <v>0</v>
      </c>
      <c r="GP98">
        <f t="shared" si="215"/>
        <v>0</v>
      </c>
      <c r="GQ98">
        <f t="shared" si="215"/>
        <v>0</v>
      </c>
      <c r="GR98">
        <f t="shared" si="215"/>
        <v>0</v>
      </c>
      <c r="GS98">
        <f t="shared" si="215"/>
        <v>0</v>
      </c>
      <c r="GT98">
        <f t="shared" si="215"/>
        <v>0</v>
      </c>
      <c r="GU98">
        <f t="shared" si="215"/>
        <v>8</v>
      </c>
      <c r="GV98">
        <f t="shared" si="215"/>
        <v>0</v>
      </c>
      <c r="GW98">
        <f t="shared" si="215"/>
        <v>0</v>
      </c>
      <c r="GX98">
        <f t="shared" si="215"/>
        <v>0</v>
      </c>
      <c r="GY98">
        <f t="shared" si="215"/>
        <v>0</v>
      </c>
      <c r="GZ98">
        <f t="shared" si="215"/>
        <v>14.05</v>
      </c>
      <c r="HA98">
        <f t="shared" si="215"/>
        <v>0</v>
      </c>
      <c r="HB98">
        <f t="shared" si="215"/>
        <v>0</v>
      </c>
      <c r="HC98">
        <f t="shared" si="215"/>
        <v>0</v>
      </c>
      <c r="HD98">
        <f t="shared" si="215"/>
        <v>0</v>
      </c>
      <c r="HE98">
        <f t="shared" si="215"/>
        <v>0</v>
      </c>
      <c r="HF98">
        <f t="shared" si="215"/>
        <v>10.5</v>
      </c>
      <c r="HG98">
        <f t="shared" si="215"/>
        <v>0</v>
      </c>
      <c r="HH98">
        <f t="shared" si="215"/>
        <v>7</v>
      </c>
      <c r="HI98">
        <f t="shared" si="215"/>
        <v>0</v>
      </c>
      <c r="HJ98">
        <f t="shared" si="215"/>
        <v>0</v>
      </c>
      <c r="HK98">
        <f t="shared" si="215"/>
        <v>0</v>
      </c>
      <c r="HL98">
        <f t="shared" si="215"/>
        <v>0</v>
      </c>
      <c r="HM98">
        <f t="shared" si="215"/>
        <v>0</v>
      </c>
      <c r="HN98">
        <f t="shared" si="215"/>
        <v>0</v>
      </c>
      <c r="HO98">
        <f t="shared" si="215"/>
        <v>0</v>
      </c>
      <c r="HP98">
        <f t="shared" si="215"/>
        <v>0</v>
      </c>
      <c r="HQ98">
        <f t="shared" si="215"/>
        <v>0</v>
      </c>
      <c r="HR98">
        <f t="shared" si="215"/>
        <v>0</v>
      </c>
      <c r="HS98">
        <f t="shared" si="215"/>
        <v>0</v>
      </c>
      <c r="HT98">
        <f t="shared" si="215"/>
        <v>0</v>
      </c>
    </row>
    <row r="100" spans="2:228" x14ac:dyDescent="0.25">
      <c r="B100" s="495" t="s">
        <v>115</v>
      </c>
      <c r="C100" s="8" t="s">
        <v>79</v>
      </c>
      <c r="E100" s="194">
        <f t="shared" ref="E100:N100" si="216">E40+E41+E43+E44+E45</f>
        <v>0</v>
      </c>
      <c r="F100" s="194">
        <f t="shared" si="216"/>
        <v>0</v>
      </c>
      <c r="G100" s="194">
        <f t="shared" si="216"/>
        <v>0</v>
      </c>
      <c r="H100" s="194">
        <f t="shared" si="216"/>
        <v>0</v>
      </c>
      <c r="I100" s="194">
        <f t="shared" si="216"/>
        <v>0</v>
      </c>
      <c r="J100" s="194">
        <f t="shared" si="216"/>
        <v>0</v>
      </c>
      <c r="K100" s="194">
        <f t="shared" si="216"/>
        <v>0</v>
      </c>
      <c r="L100" s="194">
        <f t="shared" si="216"/>
        <v>0</v>
      </c>
      <c r="M100" s="194">
        <f t="shared" si="216"/>
        <v>0</v>
      </c>
      <c r="N100" s="194">
        <f t="shared" si="216"/>
        <v>0</v>
      </c>
      <c r="O100" s="194">
        <f t="shared" ref="O100:AT100" si="217">O49+O50+O52+O53+O54</f>
        <v>0</v>
      </c>
      <c r="P100" s="194">
        <f t="shared" si="217"/>
        <v>0</v>
      </c>
      <c r="Q100" s="194">
        <f t="shared" si="217"/>
        <v>0</v>
      </c>
      <c r="R100" s="194">
        <f t="shared" si="217"/>
        <v>0</v>
      </c>
      <c r="S100" s="194">
        <f t="shared" si="217"/>
        <v>0</v>
      </c>
      <c r="T100" s="194">
        <f t="shared" si="217"/>
        <v>0</v>
      </c>
      <c r="U100" s="194">
        <f t="shared" si="217"/>
        <v>0</v>
      </c>
      <c r="V100" s="194">
        <f t="shared" si="217"/>
        <v>0</v>
      </c>
      <c r="W100" s="194">
        <f t="shared" si="217"/>
        <v>0</v>
      </c>
      <c r="X100" s="194">
        <f t="shared" si="217"/>
        <v>0</v>
      </c>
      <c r="Y100" s="194">
        <f t="shared" si="217"/>
        <v>0</v>
      </c>
      <c r="Z100" s="194">
        <f t="shared" si="217"/>
        <v>0</v>
      </c>
      <c r="AA100" s="194">
        <f t="shared" si="217"/>
        <v>0</v>
      </c>
      <c r="AB100" s="194">
        <f t="shared" si="217"/>
        <v>0</v>
      </c>
      <c r="AC100" s="194">
        <f t="shared" si="217"/>
        <v>0</v>
      </c>
      <c r="AD100" s="194">
        <f t="shared" si="217"/>
        <v>0</v>
      </c>
      <c r="AE100" s="194">
        <f t="shared" si="217"/>
        <v>0</v>
      </c>
      <c r="AF100" s="194">
        <f t="shared" si="217"/>
        <v>0</v>
      </c>
      <c r="AG100" s="194">
        <f t="shared" si="217"/>
        <v>0</v>
      </c>
      <c r="AH100" s="194">
        <f t="shared" si="217"/>
        <v>0</v>
      </c>
      <c r="AI100" s="194">
        <f t="shared" si="217"/>
        <v>0</v>
      </c>
      <c r="AJ100" s="194">
        <f t="shared" si="217"/>
        <v>0</v>
      </c>
      <c r="AK100" s="194">
        <f t="shared" si="217"/>
        <v>0</v>
      </c>
      <c r="AL100" s="194">
        <f t="shared" si="217"/>
        <v>0</v>
      </c>
      <c r="AM100" s="194">
        <f t="shared" si="217"/>
        <v>0</v>
      </c>
      <c r="AN100" s="194">
        <f t="shared" si="217"/>
        <v>0</v>
      </c>
      <c r="AO100" s="194">
        <f t="shared" si="217"/>
        <v>0</v>
      </c>
      <c r="AP100" s="194">
        <f t="shared" si="217"/>
        <v>0</v>
      </c>
      <c r="AQ100" s="194">
        <f t="shared" si="217"/>
        <v>0</v>
      </c>
      <c r="AR100" s="194">
        <f t="shared" si="217"/>
        <v>0</v>
      </c>
      <c r="AS100" s="194">
        <f t="shared" si="217"/>
        <v>0</v>
      </c>
      <c r="AT100" s="194">
        <f t="shared" si="217"/>
        <v>0</v>
      </c>
      <c r="AU100" s="194">
        <f t="shared" ref="AU100:BZ100" si="218">AU49+AU50+AU52+AU53+AU54</f>
        <v>0</v>
      </c>
      <c r="AV100" s="194">
        <f t="shared" si="218"/>
        <v>0</v>
      </c>
      <c r="AW100" s="194">
        <f t="shared" si="218"/>
        <v>0</v>
      </c>
      <c r="AX100" s="194">
        <f t="shared" si="218"/>
        <v>0</v>
      </c>
      <c r="AY100" s="194">
        <f t="shared" si="218"/>
        <v>0</v>
      </c>
      <c r="AZ100" s="194">
        <f t="shared" si="218"/>
        <v>0</v>
      </c>
      <c r="BA100" s="194">
        <f t="shared" si="218"/>
        <v>0</v>
      </c>
      <c r="BB100" s="194">
        <f t="shared" si="218"/>
        <v>0</v>
      </c>
      <c r="BC100" s="194">
        <f t="shared" si="218"/>
        <v>0</v>
      </c>
      <c r="BD100" s="194">
        <f t="shared" si="218"/>
        <v>0</v>
      </c>
      <c r="BE100" s="194">
        <f t="shared" si="218"/>
        <v>0</v>
      </c>
      <c r="BF100" s="194">
        <f t="shared" si="218"/>
        <v>0</v>
      </c>
      <c r="BG100" s="194">
        <f t="shared" si="218"/>
        <v>0</v>
      </c>
      <c r="BH100" s="194">
        <f t="shared" si="218"/>
        <v>0</v>
      </c>
      <c r="BI100" s="194">
        <f t="shared" si="218"/>
        <v>0</v>
      </c>
      <c r="BJ100" s="194">
        <f t="shared" si="218"/>
        <v>0</v>
      </c>
      <c r="BK100" s="194">
        <f t="shared" si="218"/>
        <v>0</v>
      </c>
      <c r="BL100" s="194">
        <f t="shared" si="218"/>
        <v>0</v>
      </c>
      <c r="BM100" s="194">
        <f t="shared" si="218"/>
        <v>0</v>
      </c>
      <c r="BN100" s="194">
        <f t="shared" si="218"/>
        <v>0</v>
      </c>
      <c r="BO100" s="194">
        <f t="shared" si="218"/>
        <v>0</v>
      </c>
      <c r="BP100" s="194">
        <f t="shared" si="218"/>
        <v>0</v>
      </c>
      <c r="BQ100" s="194">
        <f t="shared" si="218"/>
        <v>0</v>
      </c>
      <c r="BR100" s="194">
        <f t="shared" si="218"/>
        <v>0</v>
      </c>
      <c r="BS100" s="194">
        <f t="shared" si="218"/>
        <v>0</v>
      </c>
      <c r="BT100" s="194">
        <f t="shared" si="218"/>
        <v>0</v>
      </c>
      <c r="BU100" s="194">
        <f t="shared" si="218"/>
        <v>0</v>
      </c>
      <c r="BV100" s="194">
        <f t="shared" si="218"/>
        <v>0</v>
      </c>
      <c r="BW100" s="194">
        <f t="shared" si="218"/>
        <v>0</v>
      </c>
      <c r="BX100" s="194">
        <f t="shared" si="218"/>
        <v>0</v>
      </c>
      <c r="BY100" s="194">
        <f t="shared" si="218"/>
        <v>0</v>
      </c>
      <c r="BZ100" s="194">
        <f t="shared" si="218"/>
        <v>0</v>
      </c>
      <c r="CA100" s="194">
        <f t="shared" ref="CA100:DF100" si="219">CA49+CA50+CA52+CA53+CA54</f>
        <v>0</v>
      </c>
      <c r="CB100" s="194">
        <f t="shared" si="219"/>
        <v>0</v>
      </c>
      <c r="CC100" s="194">
        <f t="shared" si="219"/>
        <v>0</v>
      </c>
      <c r="CD100" s="194">
        <f t="shared" si="219"/>
        <v>0</v>
      </c>
      <c r="CE100" s="194">
        <f t="shared" si="219"/>
        <v>0</v>
      </c>
      <c r="CF100" s="194">
        <f t="shared" si="219"/>
        <v>0</v>
      </c>
      <c r="CG100" s="194">
        <f t="shared" si="219"/>
        <v>0</v>
      </c>
      <c r="CH100" s="194">
        <f t="shared" si="219"/>
        <v>0</v>
      </c>
      <c r="CI100" s="194">
        <f t="shared" si="219"/>
        <v>0</v>
      </c>
      <c r="CJ100" s="194">
        <f t="shared" si="219"/>
        <v>0</v>
      </c>
      <c r="CK100" s="194">
        <f t="shared" si="219"/>
        <v>0</v>
      </c>
      <c r="CL100" s="194">
        <f t="shared" si="219"/>
        <v>0</v>
      </c>
      <c r="CM100" s="194">
        <f t="shared" si="219"/>
        <v>0</v>
      </c>
      <c r="CN100" s="194">
        <f t="shared" si="219"/>
        <v>0</v>
      </c>
      <c r="CO100" s="194">
        <f t="shared" si="219"/>
        <v>0</v>
      </c>
      <c r="CP100" s="194">
        <f t="shared" si="219"/>
        <v>0</v>
      </c>
      <c r="CQ100" s="194">
        <f t="shared" si="219"/>
        <v>0</v>
      </c>
      <c r="CR100" s="194">
        <f t="shared" si="219"/>
        <v>0</v>
      </c>
      <c r="CS100" s="194">
        <f t="shared" si="219"/>
        <v>0</v>
      </c>
      <c r="CT100" s="194">
        <f t="shared" si="219"/>
        <v>0</v>
      </c>
      <c r="CU100" s="194">
        <f t="shared" si="219"/>
        <v>0</v>
      </c>
      <c r="CV100" s="194">
        <f t="shared" si="219"/>
        <v>0</v>
      </c>
      <c r="CW100" s="194">
        <f t="shared" si="219"/>
        <v>0</v>
      </c>
      <c r="CX100" s="194">
        <f t="shared" si="219"/>
        <v>0</v>
      </c>
      <c r="CY100" s="194">
        <f t="shared" si="219"/>
        <v>0</v>
      </c>
      <c r="CZ100" s="194">
        <f t="shared" si="219"/>
        <v>0</v>
      </c>
      <c r="DA100" s="194">
        <f t="shared" si="219"/>
        <v>0</v>
      </c>
      <c r="DB100" s="194">
        <f t="shared" si="219"/>
        <v>0</v>
      </c>
      <c r="DC100" s="194">
        <f t="shared" si="219"/>
        <v>0</v>
      </c>
      <c r="DD100" s="194">
        <f t="shared" si="219"/>
        <v>0</v>
      </c>
      <c r="DE100" s="194">
        <f t="shared" si="219"/>
        <v>0</v>
      </c>
      <c r="DF100" s="194">
        <f t="shared" si="219"/>
        <v>0</v>
      </c>
      <c r="DG100" s="194">
        <f t="shared" ref="DG100:EL100" si="220">DG49+DG50+DG52+DG53+DG54</f>
        <v>0</v>
      </c>
      <c r="DH100" s="194">
        <f t="shared" si="220"/>
        <v>0</v>
      </c>
      <c r="DI100" s="194">
        <f t="shared" si="220"/>
        <v>0</v>
      </c>
      <c r="DJ100" s="194">
        <f t="shared" si="220"/>
        <v>0</v>
      </c>
      <c r="DK100" s="194">
        <f t="shared" si="220"/>
        <v>0</v>
      </c>
      <c r="DL100" s="194">
        <f t="shared" si="220"/>
        <v>0</v>
      </c>
      <c r="DM100" s="194">
        <f t="shared" si="220"/>
        <v>0</v>
      </c>
      <c r="DN100" s="194">
        <f t="shared" si="220"/>
        <v>0</v>
      </c>
      <c r="DO100" s="194">
        <f t="shared" si="220"/>
        <v>0</v>
      </c>
      <c r="DP100" s="194">
        <f t="shared" si="220"/>
        <v>0</v>
      </c>
      <c r="DQ100" s="194">
        <f t="shared" si="220"/>
        <v>0</v>
      </c>
      <c r="DR100" s="194">
        <f t="shared" si="220"/>
        <v>0</v>
      </c>
      <c r="DS100" s="194">
        <f t="shared" si="220"/>
        <v>0</v>
      </c>
      <c r="DT100" s="194">
        <f t="shared" si="220"/>
        <v>0</v>
      </c>
      <c r="DU100" s="194">
        <f t="shared" si="220"/>
        <v>0</v>
      </c>
      <c r="DV100" s="194">
        <f t="shared" si="220"/>
        <v>0</v>
      </c>
      <c r="DW100" s="194">
        <f t="shared" si="220"/>
        <v>0</v>
      </c>
      <c r="DX100" s="194">
        <f t="shared" si="220"/>
        <v>16</v>
      </c>
      <c r="DY100" s="194">
        <f t="shared" si="220"/>
        <v>12</v>
      </c>
      <c r="DZ100" s="194">
        <f t="shared" si="220"/>
        <v>0</v>
      </c>
      <c r="EA100" s="194">
        <f t="shared" si="220"/>
        <v>0</v>
      </c>
      <c r="EB100" s="194">
        <f t="shared" si="220"/>
        <v>0</v>
      </c>
      <c r="EC100" s="194">
        <f t="shared" si="220"/>
        <v>0</v>
      </c>
      <c r="ED100" s="194">
        <f t="shared" si="220"/>
        <v>0</v>
      </c>
      <c r="EE100" s="194">
        <f t="shared" si="220"/>
        <v>0</v>
      </c>
      <c r="EF100" s="194">
        <f t="shared" si="220"/>
        <v>8</v>
      </c>
      <c r="EG100" s="194">
        <f t="shared" si="220"/>
        <v>0</v>
      </c>
      <c r="EH100" s="194">
        <f t="shared" si="220"/>
        <v>0</v>
      </c>
      <c r="EI100" s="194">
        <f t="shared" si="220"/>
        <v>0</v>
      </c>
      <c r="EJ100" s="194">
        <f t="shared" si="220"/>
        <v>0</v>
      </c>
      <c r="EK100" s="194">
        <f t="shared" si="220"/>
        <v>0</v>
      </c>
      <c r="EL100" s="194">
        <f t="shared" si="220"/>
        <v>0</v>
      </c>
      <c r="EM100" s="194">
        <f t="shared" ref="EM100:FR100" si="221">EM49+EM50+EM52+EM53+EM54</f>
        <v>0</v>
      </c>
      <c r="EN100" s="194">
        <f t="shared" si="221"/>
        <v>35.299999999999997</v>
      </c>
      <c r="EO100" s="194">
        <f t="shared" si="221"/>
        <v>0</v>
      </c>
      <c r="EP100" s="194">
        <f t="shared" si="221"/>
        <v>0</v>
      </c>
      <c r="EQ100" s="194">
        <f t="shared" si="221"/>
        <v>0</v>
      </c>
      <c r="ER100" s="194">
        <f t="shared" si="221"/>
        <v>0</v>
      </c>
      <c r="ES100" s="194">
        <f t="shared" si="221"/>
        <v>20.100000000000001</v>
      </c>
      <c r="ET100" s="194">
        <f t="shared" si="221"/>
        <v>0</v>
      </c>
      <c r="EU100" s="194">
        <f t="shared" si="221"/>
        <v>0</v>
      </c>
      <c r="EV100" s="194">
        <f t="shared" si="221"/>
        <v>0</v>
      </c>
      <c r="EW100" s="194">
        <f t="shared" si="221"/>
        <v>0</v>
      </c>
      <c r="EX100" s="194">
        <f t="shared" si="221"/>
        <v>9.6</v>
      </c>
      <c r="EY100" s="194">
        <f t="shared" si="221"/>
        <v>0</v>
      </c>
      <c r="EZ100" s="194">
        <f t="shared" si="221"/>
        <v>0</v>
      </c>
      <c r="FA100" s="194">
        <f t="shared" si="221"/>
        <v>18</v>
      </c>
      <c r="FB100" s="194">
        <f t="shared" si="221"/>
        <v>0</v>
      </c>
      <c r="FC100" s="194">
        <f t="shared" si="221"/>
        <v>20</v>
      </c>
      <c r="FD100" s="194">
        <f t="shared" si="221"/>
        <v>19</v>
      </c>
      <c r="FE100" s="194">
        <f t="shared" si="221"/>
        <v>6.9</v>
      </c>
      <c r="FF100" s="194">
        <f t="shared" si="221"/>
        <v>0</v>
      </c>
      <c r="FG100" s="194">
        <f t="shared" si="221"/>
        <v>26</v>
      </c>
      <c r="FH100" s="194">
        <f t="shared" si="221"/>
        <v>0</v>
      </c>
      <c r="FI100" s="194">
        <f t="shared" si="221"/>
        <v>0</v>
      </c>
      <c r="FJ100" s="194">
        <f t="shared" si="221"/>
        <v>0</v>
      </c>
      <c r="FK100" s="194">
        <f t="shared" si="221"/>
        <v>24.4</v>
      </c>
      <c r="FL100" s="194">
        <f t="shared" si="221"/>
        <v>6</v>
      </c>
      <c r="FM100" s="194">
        <f t="shared" si="221"/>
        <v>0</v>
      </c>
      <c r="FN100" s="194">
        <f t="shared" si="221"/>
        <v>0</v>
      </c>
      <c r="FO100" s="194">
        <f t="shared" si="221"/>
        <v>0</v>
      </c>
      <c r="FP100" s="194">
        <f t="shared" si="221"/>
        <v>0</v>
      </c>
      <c r="FQ100" s="194">
        <f t="shared" si="221"/>
        <v>0</v>
      </c>
      <c r="FR100" s="194">
        <f t="shared" si="221"/>
        <v>29</v>
      </c>
      <c r="FS100" s="194">
        <f t="shared" ref="FS100:GN100" si="222">FS49+FS50+FS52+FS53+FS54</f>
        <v>0</v>
      </c>
      <c r="FT100" s="194">
        <f t="shared" si="222"/>
        <v>0</v>
      </c>
      <c r="FU100" s="194">
        <f t="shared" si="222"/>
        <v>23</v>
      </c>
      <c r="FV100" s="194">
        <f t="shared" si="222"/>
        <v>23.5</v>
      </c>
      <c r="FW100" s="194">
        <f t="shared" si="222"/>
        <v>0</v>
      </c>
      <c r="FX100" s="194">
        <f t="shared" si="222"/>
        <v>0</v>
      </c>
      <c r="FY100" s="194">
        <f t="shared" si="222"/>
        <v>0</v>
      </c>
      <c r="FZ100" s="194">
        <f t="shared" si="222"/>
        <v>0</v>
      </c>
      <c r="GA100" s="194">
        <f t="shared" si="222"/>
        <v>0</v>
      </c>
      <c r="GB100" s="194">
        <f t="shared" si="222"/>
        <v>0</v>
      </c>
      <c r="GC100" s="194">
        <f t="shared" si="222"/>
        <v>0</v>
      </c>
      <c r="GD100" s="194">
        <f t="shared" si="222"/>
        <v>0</v>
      </c>
      <c r="GE100" s="194">
        <f t="shared" si="222"/>
        <v>0</v>
      </c>
      <c r="GF100" s="194">
        <f t="shared" si="222"/>
        <v>0</v>
      </c>
      <c r="GG100" s="194">
        <f t="shared" si="222"/>
        <v>0</v>
      </c>
      <c r="GH100" s="194">
        <f t="shared" si="222"/>
        <v>0</v>
      </c>
      <c r="GI100" s="194">
        <f t="shared" si="222"/>
        <v>0</v>
      </c>
      <c r="GJ100" s="194">
        <f t="shared" si="222"/>
        <v>0</v>
      </c>
      <c r="GK100" s="194">
        <f t="shared" si="222"/>
        <v>11</v>
      </c>
      <c r="GL100" s="194">
        <f t="shared" si="222"/>
        <v>30.3</v>
      </c>
      <c r="GM100" s="194">
        <f t="shared" si="222"/>
        <v>11</v>
      </c>
      <c r="GN100" s="194">
        <f t="shared" si="222"/>
        <v>0</v>
      </c>
      <c r="GO100" s="194">
        <f t="shared" ref="GO100:HT100" si="223">GO49+GO50+GO52+GO53+GO54</f>
        <v>0</v>
      </c>
      <c r="GP100" s="194">
        <f t="shared" si="223"/>
        <v>46.1</v>
      </c>
      <c r="GQ100" s="194">
        <f t="shared" si="223"/>
        <v>0</v>
      </c>
      <c r="GR100" s="194">
        <f t="shared" si="223"/>
        <v>0</v>
      </c>
      <c r="GS100" s="194">
        <f t="shared" si="223"/>
        <v>5.5</v>
      </c>
      <c r="GT100" s="194">
        <f t="shared" si="223"/>
        <v>28</v>
      </c>
      <c r="GU100" s="194">
        <f t="shared" si="223"/>
        <v>0</v>
      </c>
      <c r="GV100" s="194">
        <f t="shared" si="223"/>
        <v>0</v>
      </c>
      <c r="GW100" s="194">
        <f t="shared" si="223"/>
        <v>0</v>
      </c>
      <c r="GX100" s="194">
        <f t="shared" si="223"/>
        <v>0</v>
      </c>
      <c r="GY100" s="194">
        <f t="shared" si="223"/>
        <v>0</v>
      </c>
      <c r="GZ100" s="194">
        <f t="shared" si="223"/>
        <v>0</v>
      </c>
      <c r="HA100" s="194">
        <f t="shared" si="223"/>
        <v>26</v>
      </c>
      <c r="HB100" s="194">
        <f t="shared" si="223"/>
        <v>0</v>
      </c>
      <c r="HC100" s="194">
        <f t="shared" si="223"/>
        <v>0</v>
      </c>
      <c r="HD100" s="194">
        <f t="shared" si="223"/>
        <v>73</v>
      </c>
      <c r="HE100" s="194">
        <f t="shared" si="223"/>
        <v>0</v>
      </c>
      <c r="HF100" s="194">
        <f t="shared" si="223"/>
        <v>12</v>
      </c>
      <c r="HG100" s="194">
        <f t="shared" si="223"/>
        <v>0</v>
      </c>
      <c r="HH100" s="194">
        <f t="shared" si="223"/>
        <v>37.6</v>
      </c>
      <c r="HI100" s="194">
        <f t="shared" si="223"/>
        <v>0</v>
      </c>
      <c r="HJ100" s="194">
        <f t="shared" si="223"/>
        <v>0</v>
      </c>
      <c r="HK100" s="194">
        <f t="shared" si="223"/>
        <v>0</v>
      </c>
      <c r="HL100" s="194">
        <f t="shared" si="223"/>
        <v>0</v>
      </c>
      <c r="HM100" s="194">
        <f t="shared" si="223"/>
        <v>0</v>
      </c>
      <c r="HN100" s="194">
        <f t="shared" si="223"/>
        <v>0</v>
      </c>
      <c r="HO100" s="194">
        <f t="shared" si="223"/>
        <v>0</v>
      </c>
      <c r="HP100" s="194">
        <f t="shared" si="223"/>
        <v>0</v>
      </c>
      <c r="HQ100" s="194">
        <f t="shared" si="223"/>
        <v>0</v>
      </c>
      <c r="HR100" s="194">
        <f t="shared" si="223"/>
        <v>0</v>
      </c>
      <c r="HS100" s="194">
        <f t="shared" si="223"/>
        <v>0</v>
      </c>
      <c r="HT100" s="194">
        <f t="shared" si="223"/>
        <v>0</v>
      </c>
    </row>
    <row r="101" spans="2:228" x14ac:dyDescent="0.25">
      <c r="B101" s="495"/>
      <c r="C101" s="8" t="s">
        <v>80</v>
      </c>
      <c r="E101" s="194">
        <f t="shared" ref="E101:AJ101" si="224">E39/2+E42+E47+E48</f>
        <v>0</v>
      </c>
      <c r="F101" s="194">
        <f t="shared" si="224"/>
        <v>0</v>
      </c>
      <c r="G101" s="194">
        <f t="shared" si="224"/>
        <v>0</v>
      </c>
      <c r="H101" s="194">
        <f t="shared" si="224"/>
        <v>0</v>
      </c>
      <c r="I101" s="194">
        <f t="shared" si="224"/>
        <v>0</v>
      </c>
      <c r="J101" s="194">
        <f t="shared" si="224"/>
        <v>0</v>
      </c>
      <c r="K101" s="194">
        <f t="shared" si="224"/>
        <v>0</v>
      </c>
      <c r="L101" s="194">
        <f t="shared" si="224"/>
        <v>0</v>
      </c>
      <c r="M101" s="194">
        <f t="shared" si="224"/>
        <v>0</v>
      </c>
      <c r="N101" s="194">
        <f t="shared" si="224"/>
        <v>0</v>
      </c>
      <c r="O101" s="194">
        <f t="shared" si="224"/>
        <v>0</v>
      </c>
      <c r="P101" s="194">
        <f t="shared" si="224"/>
        <v>0</v>
      </c>
      <c r="Q101" s="194">
        <f t="shared" si="224"/>
        <v>0</v>
      </c>
      <c r="R101" s="194">
        <f t="shared" si="224"/>
        <v>0</v>
      </c>
      <c r="S101" s="194">
        <f t="shared" si="224"/>
        <v>0</v>
      </c>
      <c r="T101" s="194">
        <f t="shared" si="224"/>
        <v>0</v>
      </c>
      <c r="U101" s="194">
        <f t="shared" si="224"/>
        <v>0</v>
      </c>
      <c r="V101" s="194">
        <f t="shared" si="224"/>
        <v>0</v>
      </c>
      <c r="W101" s="194">
        <f t="shared" si="224"/>
        <v>0</v>
      </c>
      <c r="X101" s="194">
        <f t="shared" si="224"/>
        <v>0</v>
      </c>
      <c r="Y101" s="194">
        <f t="shared" si="224"/>
        <v>0</v>
      </c>
      <c r="Z101" s="194">
        <f t="shared" si="224"/>
        <v>0</v>
      </c>
      <c r="AA101" s="194">
        <f t="shared" si="224"/>
        <v>0</v>
      </c>
      <c r="AB101" s="194">
        <f t="shared" si="224"/>
        <v>0</v>
      </c>
      <c r="AC101" s="194">
        <f t="shared" si="224"/>
        <v>0</v>
      </c>
      <c r="AD101" s="194">
        <f t="shared" si="224"/>
        <v>0</v>
      </c>
      <c r="AE101" s="194">
        <f t="shared" si="224"/>
        <v>0</v>
      </c>
      <c r="AF101" s="194">
        <f t="shared" si="224"/>
        <v>0</v>
      </c>
      <c r="AG101" s="194">
        <f t="shared" si="224"/>
        <v>0</v>
      </c>
      <c r="AH101" s="194">
        <f t="shared" si="224"/>
        <v>0</v>
      </c>
      <c r="AI101" s="194">
        <f t="shared" si="224"/>
        <v>0</v>
      </c>
      <c r="AJ101" s="194">
        <f t="shared" si="224"/>
        <v>0</v>
      </c>
      <c r="AK101" s="194">
        <f t="shared" ref="AK101:BP101" si="225">AK39/2+AK42+AK47+AK48</f>
        <v>0</v>
      </c>
      <c r="AL101" s="194">
        <f t="shared" si="225"/>
        <v>0</v>
      </c>
      <c r="AM101" s="194">
        <f t="shared" si="225"/>
        <v>0</v>
      </c>
      <c r="AN101" s="194">
        <f t="shared" si="225"/>
        <v>0</v>
      </c>
      <c r="AO101" s="194">
        <f t="shared" si="225"/>
        <v>0</v>
      </c>
      <c r="AP101" s="194">
        <f t="shared" si="225"/>
        <v>0</v>
      </c>
      <c r="AQ101" s="194">
        <f t="shared" si="225"/>
        <v>0</v>
      </c>
      <c r="AR101" s="194">
        <f t="shared" si="225"/>
        <v>0</v>
      </c>
      <c r="AS101" s="194">
        <f t="shared" si="225"/>
        <v>0</v>
      </c>
      <c r="AT101" s="194">
        <f t="shared" si="225"/>
        <v>0</v>
      </c>
      <c r="AU101" s="194">
        <f t="shared" si="225"/>
        <v>0</v>
      </c>
      <c r="AV101" s="194">
        <f t="shared" si="225"/>
        <v>0</v>
      </c>
      <c r="AW101" s="194">
        <f t="shared" si="225"/>
        <v>0</v>
      </c>
      <c r="AX101" s="194">
        <f t="shared" si="225"/>
        <v>0</v>
      </c>
      <c r="AY101" s="194">
        <f t="shared" si="225"/>
        <v>0</v>
      </c>
      <c r="AZ101" s="194">
        <f t="shared" si="225"/>
        <v>0</v>
      </c>
      <c r="BA101" s="194">
        <f t="shared" si="225"/>
        <v>0</v>
      </c>
      <c r="BB101" s="194">
        <f t="shared" si="225"/>
        <v>0</v>
      </c>
      <c r="BC101" s="194">
        <f t="shared" si="225"/>
        <v>0</v>
      </c>
      <c r="BD101" s="194">
        <f t="shared" si="225"/>
        <v>0</v>
      </c>
      <c r="BE101" s="194">
        <f t="shared" si="225"/>
        <v>0</v>
      </c>
      <c r="BF101" s="194">
        <f t="shared" si="225"/>
        <v>0</v>
      </c>
      <c r="BG101" s="194">
        <f t="shared" si="225"/>
        <v>0</v>
      </c>
      <c r="BH101" s="194">
        <f t="shared" si="225"/>
        <v>0</v>
      </c>
      <c r="BI101" s="194">
        <f t="shared" si="225"/>
        <v>0</v>
      </c>
      <c r="BJ101" s="194">
        <f t="shared" si="225"/>
        <v>0</v>
      </c>
      <c r="BK101" s="194">
        <f t="shared" si="225"/>
        <v>0</v>
      </c>
      <c r="BL101" s="194">
        <f t="shared" si="225"/>
        <v>0</v>
      </c>
      <c r="BM101" s="194">
        <f t="shared" si="225"/>
        <v>0</v>
      </c>
      <c r="BN101" s="194">
        <f t="shared" si="225"/>
        <v>0</v>
      </c>
      <c r="BO101" s="194">
        <f t="shared" si="225"/>
        <v>0</v>
      </c>
      <c r="BP101" s="194">
        <f t="shared" si="225"/>
        <v>0</v>
      </c>
      <c r="BQ101" s="194">
        <f t="shared" ref="BQ101:CN101" si="226">BQ39/2+BQ42+BQ47+BQ48</f>
        <v>0</v>
      </c>
      <c r="BR101" s="194">
        <f t="shared" si="226"/>
        <v>0</v>
      </c>
      <c r="BS101" s="194">
        <f t="shared" si="226"/>
        <v>0</v>
      </c>
      <c r="BT101" s="194">
        <f t="shared" si="226"/>
        <v>0</v>
      </c>
      <c r="BU101" s="194">
        <f t="shared" si="226"/>
        <v>0</v>
      </c>
      <c r="BV101" s="194">
        <f t="shared" si="226"/>
        <v>0</v>
      </c>
      <c r="BW101" s="194">
        <f t="shared" si="226"/>
        <v>0</v>
      </c>
      <c r="BX101" s="194">
        <f t="shared" si="226"/>
        <v>0</v>
      </c>
      <c r="BY101" s="194">
        <f t="shared" si="226"/>
        <v>0</v>
      </c>
      <c r="BZ101" s="194">
        <f t="shared" si="226"/>
        <v>0</v>
      </c>
      <c r="CA101" s="194">
        <f t="shared" si="226"/>
        <v>0</v>
      </c>
      <c r="CB101" s="194">
        <f t="shared" si="226"/>
        <v>0</v>
      </c>
      <c r="CC101" s="194">
        <f t="shared" si="226"/>
        <v>0</v>
      </c>
      <c r="CD101" s="194">
        <f t="shared" si="226"/>
        <v>0</v>
      </c>
      <c r="CE101" s="194">
        <f t="shared" si="226"/>
        <v>0</v>
      </c>
      <c r="CF101" s="194">
        <f t="shared" si="226"/>
        <v>0</v>
      </c>
      <c r="CG101" s="194">
        <f t="shared" si="226"/>
        <v>0</v>
      </c>
      <c r="CH101" s="194">
        <f t="shared" si="226"/>
        <v>0</v>
      </c>
      <c r="CI101" s="194">
        <f t="shared" si="226"/>
        <v>0</v>
      </c>
      <c r="CJ101" s="194">
        <f t="shared" si="226"/>
        <v>0</v>
      </c>
      <c r="CK101" s="194">
        <f t="shared" si="226"/>
        <v>0</v>
      </c>
      <c r="CL101" s="194">
        <f t="shared" si="226"/>
        <v>0</v>
      </c>
      <c r="CM101" s="194">
        <f t="shared" si="226"/>
        <v>0</v>
      </c>
      <c r="CN101" s="194">
        <f t="shared" si="226"/>
        <v>0</v>
      </c>
      <c r="CO101" s="194">
        <f t="shared" ref="CO101:DT101" si="227">CO48/2+CO57+CO51+CO56</f>
        <v>0</v>
      </c>
      <c r="CP101" s="194">
        <f t="shared" si="227"/>
        <v>0</v>
      </c>
      <c r="CQ101" s="194">
        <f t="shared" si="227"/>
        <v>0</v>
      </c>
      <c r="CR101" s="194">
        <f t="shared" si="227"/>
        <v>0</v>
      </c>
      <c r="CS101" s="194">
        <f t="shared" si="227"/>
        <v>0</v>
      </c>
      <c r="CT101" s="194">
        <f t="shared" si="227"/>
        <v>0</v>
      </c>
      <c r="CU101" s="194">
        <f t="shared" si="227"/>
        <v>0</v>
      </c>
      <c r="CV101" s="194">
        <f t="shared" si="227"/>
        <v>0</v>
      </c>
      <c r="CW101" s="194">
        <f t="shared" si="227"/>
        <v>0</v>
      </c>
      <c r="CX101" s="194">
        <f t="shared" si="227"/>
        <v>0</v>
      </c>
      <c r="CY101" s="194">
        <f t="shared" si="227"/>
        <v>0</v>
      </c>
      <c r="CZ101" s="194">
        <f t="shared" si="227"/>
        <v>0</v>
      </c>
      <c r="DA101" s="194">
        <f t="shared" si="227"/>
        <v>0</v>
      </c>
      <c r="DB101" s="194">
        <f t="shared" si="227"/>
        <v>0</v>
      </c>
      <c r="DC101" s="194">
        <f t="shared" si="227"/>
        <v>0</v>
      </c>
      <c r="DD101" s="194">
        <f t="shared" si="227"/>
        <v>0</v>
      </c>
      <c r="DE101" s="194">
        <f t="shared" si="227"/>
        <v>0</v>
      </c>
      <c r="DF101" s="194">
        <f t="shared" si="227"/>
        <v>0</v>
      </c>
      <c r="DG101" s="194">
        <f t="shared" si="227"/>
        <v>0</v>
      </c>
      <c r="DH101" s="194">
        <f t="shared" si="227"/>
        <v>0</v>
      </c>
      <c r="DI101" s="194">
        <f t="shared" si="227"/>
        <v>0</v>
      </c>
      <c r="DJ101" s="194">
        <f t="shared" si="227"/>
        <v>0</v>
      </c>
      <c r="DK101" s="194">
        <f t="shared" si="227"/>
        <v>0</v>
      </c>
      <c r="DL101" s="194">
        <f t="shared" si="227"/>
        <v>0</v>
      </c>
      <c r="DM101" s="194">
        <f t="shared" si="227"/>
        <v>0</v>
      </c>
      <c r="DN101" s="194">
        <f t="shared" si="227"/>
        <v>0</v>
      </c>
      <c r="DO101" s="194">
        <f t="shared" si="227"/>
        <v>0</v>
      </c>
      <c r="DP101" s="194">
        <f t="shared" si="227"/>
        <v>0</v>
      </c>
      <c r="DQ101" s="194">
        <f t="shared" si="227"/>
        <v>0</v>
      </c>
      <c r="DR101" s="194">
        <f t="shared" si="227"/>
        <v>0</v>
      </c>
      <c r="DS101" s="194">
        <f t="shared" si="227"/>
        <v>0</v>
      </c>
      <c r="DT101" s="194">
        <f t="shared" si="227"/>
        <v>0</v>
      </c>
      <c r="DU101" s="194">
        <f t="shared" ref="DU101:EZ101" si="228">DU48/2+DU57+DU51+DU56</f>
        <v>0</v>
      </c>
      <c r="DV101" s="194">
        <f t="shared" si="228"/>
        <v>0</v>
      </c>
      <c r="DW101" s="194">
        <f t="shared" si="228"/>
        <v>0</v>
      </c>
      <c r="DX101" s="194">
        <f t="shared" si="228"/>
        <v>0</v>
      </c>
      <c r="DY101" s="194">
        <f t="shared" si="228"/>
        <v>0</v>
      </c>
      <c r="DZ101" s="194">
        <f t="shared" si="228"/>
        <v>0</v>
      </c>
      <c r="EA101" s="194">
        <f t="shared" si="228"/>
        <v>0</v>
      </c>
      <c r="EB101" s="194">
        <f t="shared" si="228"/>
        <v>0</v>
      </c>
      <c r="EC101" s="194">
        <f t="shared" si="228"/>
        <v>0</v>
      </c>
      <c r="ED101" s="194">
        <f t="shared" si="228"/>
        <v>0</v>
      </c>
      <c r="EE101" s="194">
        <f t="shared" si="228"/>
        <v>0</v>
      </c>
      <c r="EF101" s="194">
        <f t="shared" si="228"/>
        <v>0</v>
      </c>
      <c r="EG101" s="194">
        <f t="shared" si="228"/>
        <v>0</v>
      </c>
      <c r="EH101" s="194">
        <f t="shared" si="228"/>
        <v>0</v>
      </c>
      <c r="EI101" s="194">
        <f t="shared" si="228"/>
        <v>0</v>
      </c>
      <c r="EJ101" s="194">
        <f t="shared" si="228"/>
        <v>0</v>
      </c>
      <c r="EK101" s="194">
        <f t="shared" si="228"/>
        <v>0</v>
      </c>
      <c r="EL101" s="194">
        <f t="shared" si="228"/>
        <v>0</v>
      </c>
      <c r="EM101" s="194">
        <f t="shared" si="228"/>
        <v>0</v>
      </c>
      <c r="EN101" s="194">
        <f t="shared" si="228"/>
        <v>0</v>
      </c>
      <c r="EO101" s="194">
        <f t="shared" si="228"/>
        <v>0</v>
      </c>
      <c r="EP101" s="194">
        <f t="shared" si="228"/>
        <v>0</v>
      </c>
      <c r="EQ101" s="194">
        <f t="shared" si="228"/>
        <v>0</v>
      </c>
      <c r="ER101" s="194">
        <f t="shared" si="228"/>
        <v>0</v>
      </c>
      <c r="ES101" s="194">
        <f t="shared" si="228"/>
        <v>0</v>
      </c>
      <c r="ET101" s="194">
        <f t="shared" si="228"/>
        <v>0</v>
      </c>
      <c r="EU101" s="194">
        <f t="shared" si="228"/>
        <v>0</v>
      </c>
      <c r="EV101" s="194">
        <f t="shared" si="228"/>
        <v>0</v>
      </c>
      <c r="EW101" s="194">
        <f t="shared" si="228"/>
        <v>0</v>
      </c>
      <c r="EX101" s="194">
        <f t="shared" si="228"/>
        <v>0</v>
      </c>
      <c r="EY101" s="194">
        <f t="shared" si="228"/>
        <v>0</v>
      </c>
      <c r="EZ101" s="194">
        <f t="shared" si="228"/>
        <v>0</v>
      </c>
      <c r="FA101" s="194">
        <f t="shared" ref="FA101:GF101" si="229">FA48/2+FA57+FA51+FA56</f>
        <v>0</v>
      </c>
      <c r="FB101" s="194">
        <f t="shared" si="229"/>
        <v>0</v>
      </c>
      <c r="FC101" s="194">
        <f t="shared" si="229"/>
        <v>0</v>
      </c>
      <c r="FD101" s="194">
        <f t="shared" si="229"/>
        <v>0</v>
      </c>
      <c r="FE101" s="194">
        <f t="shared" si="229"/>
        <v>0</v>
      </c>
      <c r="FF101" s="194">
        <f t="shared" si="229"/>
        <v>0</v>
      </c>
      <c r="FG101" s="194">
        <f t="shared" si="229"/>
        <v>0</v>
      </c>
      <c r="FH101" s="194">
        <f t="shared" si="229"/>
        <v>0</v>
      </c>
      <c r="FI101" s="194">
        <f t="shared" si="229"/>
        <v>0</v>
      </c>
      <c r="FJ101" s="194">
        <f t="shared" si="229"/>
        <v>0</v>
      </c>
      <c r="FK101" s="194">
        <f t="shared" si="229"/>
        <v>0</v>
      </c>
      <c r="FL101" s="194">
        <f t="shared" si="229"/>
        <v>6.5</v>
      </c>
      <c r="FM101" s="194">
        <f t="shared" si="229"/>
        <v>0</v>
      </c>
      <c r="FN101" s="194">
        <f t="shared" si="229"/>
        <v>0</v>
      </c>
      <c r="FO101" s="194">
        <f t="shared" si="229"/>
        <v>0</v>
      </c>
      <c r="FP101" s="194">
        <f t="shared" si="229"/>
        <v>0</v>
      </c>
      <c r="FQ101" s="194">
        <f t="shared" si="229"/>
        <v>0</v>
      </c>
      <c r="FR101" s="194">
        <f t="shared" si="229"/>
        <v>0</v>
      </c>
      <c r="FS101" s="194">
        <f t="shared" si="229"/>
        <v>5.75</v>
      </c>
      <c r="FT101" s="194">
        <f t="shared" si="229"/>
        <v>0</v>
      </c>
      <c r="FU101" s="194">
        <f t="shared" si="229"/>
        <v>0</v>
      </c>
      <c r="FV101" s="194">
        <f t="shared" si="229"/>
        <v>0</v>
      </c>
      <c r="FW101" s="194">
        <f t="shared" si="229"/>
        <v>0</v>
      </c>
      <c r="FX101" s="194">
        <f t="shared" si="229"/>
        <v>37</v>
      </c>
      <c r="FY101" s="194">
        <f t="shared" si="229"/>
        <v>0</v>
      </c>
      <c r="FZ101" s="194">
        <f t="shared" si="229"/>
        <v>0</v>
      </c>
      <c r="GA101" s="194">
        <f t="shared" si="229"/>
        <v>0</v>
      </c>
      <c r="GB101" s="194">
        <f t="shared" si="229"/>
        <v>15</v>
      </c>
      <c r="GC101" s="194">
        <f t="shared" si="229"/>
        <v>0</v>
      </c>
      <c r="GD101" s="194">
        <f t="shared" si="229"/>
        <v>0</v>
      </c>
      <c r="GE101" s="194">
        <f t="shared" si="229"/>
        <v>0</v>
      </c>
      <c r="GF101" s="194">
        <f t="shared" si="229"/>
        <v>15</v>
      </c>
      <c r="GG101" s="194">
        <f t="shared" ref="GG101:GN101" si="230">GG48/2+GG57+GG51+GG56</f>
        <v>0</v>
      </c>
      <c r="GH101" s="194">
        <f t="shared" si="230"/>
        <v>0</v>
      </c>
      <c r="GI101" s="194">
        <f t="shared" si="230"/>
        <v>0</v>
      </c>
      <c r="GJ101" s="194">
        <f t="shared" si="230"/>
        <v>3.25</v>
      </c>
      <c r="GK101" s="194">
        <f t="shared" si="230"/>
        <v>18</v>
      </c>
      <c r="GL101" s="194">
        <f t="shared" si="230"/>
        <v>0</v>
      </c>
      <c r="GM101" s="194">
        <f t="shared" si="230"/>
        <v>0</v>
      </c>
      <c r="GN101" s="194">
        <f t="shared" si="230"/>
        <v>0</v>
      </c>
      <c r="GO101" s="194">
        <f t="shared" ref="GO101:HT101" si="231">GO48/2+GO57+GO51+GO56</f>
        <v>0</v>
      </c>
      <c r="GP101" s="194">
        <f t="shared" si="231"/>
        <v>0</v>
      </c>
      <c r="GQ101" s="194">
        <f t="shared" si="231"/>
        <v>0</v>
      </c>
      <c r="GR101" s="194">
        <f t="shared" si="231"/>
        <v>0</v>
      </c>
      <c r="GS101" s="194">
        <f t="shared" si="231"/>
        <v>0</v>
      </c>
      <c r="GT101" s="194">
        <f t="shared" si="231"/>
        <v>0</v>
      </c>
      <c r="GU101" s="194">
        <f t="shared" si="231"/>
        <v>13</v>
      </c>
      <c r="GV101" s="194">
        <f t="shared" si="231"/>
        <v>0</v>
      </c>
      <c r="GW101" s="194">
        <f t="shared" si="231"/>
        <v>0</v>
      </c>
      <c r="GX101" s="194">
        <f t="shared" si="231"/>
        <v>0</v>
      </c>
      <c r="GY101" s="194">
        <f t="shared" si="231"/>
        <v>0</v>
      </c>
      <c r="GZ101" s="194">
        <f t="shared" si="231"/>
        <v>0</v>
      </c>
      <c r="HA101" s="194">
        <f t="shared" si="231"/>
        <v>0</v>
      </c>
      <c r="HB101" s="194">
        <f t="shared" si="231"/>
        <v>0</v>
      </c>
      <c r="HC101" s="194">
        <f t="shared" si="231"/>
        <v>0</v>
      </c>
      <c r="HD101" s="194">
        <f t="shared" si="231"/>
        <v>5</v>
      </c>
      <c r="HE101" s="194">
        <f t="shared" si="231"/>
        <v>0</v>
      </c>
      <c r="HF101" s="194">
        <f t="shared" si="231"/>
        <v>23</v>
      </c>
      <c r="HG101" s="194">
        <f t="shared" si="231"/>
        <v>0</v>
      </c>
      <c r="HH101" s="194">
        <f t="shared" si="231"/>
        <v>0</v>
      </c>
      <c r="HI101" s="194">
        <f t="shared" si="231"/>
        <v>0</v>
      </c>
      <c r="HJ101" s="194">
        <f t="shared" si="231"/>
        <v>0</v>
      </c>
      <c r="HK101" s="194">
        <f t="shared" si="231"/>
        <v>0</v>
      </c>
      <c r="HL101" s="194">
        <f t="shared" si="231"/>
        <v>0</v>
      </c>
      <c r="HM101" s="194">
        <f t="shared" si="231"/>
        <v>0</v>
      </c>
      <c r="HN101" s="194">
        <f t="shared" si="231"/>
        <v>0</v>
      </c>
      <c r="HO101" s="194">
        <f t="shared" si="231"/>
        <v>0</v>
      </c>
      <c r="HP101" s="194">
        <f t="shared" si="231"/>
        <v>0</v>
      </c>
      <c r="HQ101" s="194">
        <f t="shared" si="231"/>
        <v>0</v>
      </c>
      <c r="HR101" s="194">
        <f t="shared" si="231"/>
        <v>0</v>
      </c>
      <c r="HS101" s="194">
        <f t="shared" si="231"/>
        <v>0</v>
      </c>
      <c r="HT101" s="194">
        <f t="shared" si="231"/>
        <v>0</v>
      </c>
    </row>
    <row r="102" spans="2:228" x14ac:dyDescent="0.25">
      <c r="B102" s="495"/>
      <c r="C102" s="8" t="s">
        <v>89</v>
      </c>
      <c r="E102">
        <f t="shared" ref="E102:N102" si="232">E39/2+E46+E49</f>
        <v>0</v>
      </c>
      <c r="F102">
        <f t="shared" si="232"/>
        <v>0</v>
      </c>
      <c r="G102">
        <f t="shared" si="232"/>
        <v>0</v>
      </c>
      <c r="H102">
        <f t="shared" si="232"/>
        <v>0</v>
      </c>
      <c r="I102">
        <f t="shared" si="232"/>
        <v>0</v>
      </c>
      <c r="J102">
        <f t="shared" si="232"/>
        <v>0</v>
      </c>
      <c r="K102">
        <f t="shared" si="232"/>
        <v>0</v>
      </c>
      <c r="L102">
        <f t="shared" si="232"/>
        <v>0</v>
      </c>
      <c r="M102">
        <f t="shared" si="232"/>
        <v>0</v>
      </c>
      <c r="N102">
        <f t="shared" si="232"/>
        <v>0</v>
      </c>
      <c r="O102">
        <f t="shared" ref="O102:AT102" si="233">O48/2+O55+O58</f>
        <v>0</v>
      </c>
      <c r="P102">
        <f t="shared" si="233"/>
        <v>0</v>
      </c>
      <c r="Q102">
        <f t="shared" si="233"/>
        <v>0</v>
      </c>
      <c r="R102">
        <f t="shared" si="233"/>
        <v>0</v>
      </c>
      <c r="S102">
        <f t="shared" si="233"/>
        <v>0</v>
      </c>
      <c r="T102">
        <f t="shared" si="233"/>
        <v>0</v>
      </c>
      <c r="U102">
        <f t="shared" si="233"/>
        <v>0</v>
      </c>
      <c r="V102">
        <f t="shared" si="233"/>
        <v>0</v>
      </c>
      <c r="W102">
        <f t="shared" si="233"/>
        <v>0</v>
      </c>
      <c r="X102">
        <f t="shared" si="233"/>
        <v>0</v>
      </c>
      <c r="Y102">
        <f t="shared" si="233"/>
        <v>0</v>
      </c>
      <c r="Z102">
        <f t="shared" si="233"/>
        <v>0</v>
      </c>
      <c r="AA102">
        <f t="shared" si="233"/>
        <v>0</v>
      </c>
      <c r="AB102">
        <f t="shared" si="233"/>
        <v>0</v>
      </c>
      <c r="AC102">
        <f t="shared" si="233"/>
        <v>0</v>
      </c>
      <c r="AD102">
        <f t="shared" si="233"/>
        <v>0</v>
      </c>
      <c r="AE102">
        <f t="shared" si="233"/>
        <v>0</v>
      </c>
      <c r="AF102">
        <f t="shared" si="233"/>
        <v>0</v>
      </c>
      <c r="AG102">
        <f t="shared" si="233"/>
        <v>0</v>
      </c>
      <c r="AH102">
        <f t="shared" si="233"/>
        <v>0</v>
      </c>
      <c r="AI102">
        <f t="shared" si="233"/>
        <v>0</v>
      </c>
      <c r="AJ102">
        <f t="shared" si="233"/>
        <v>0</v>
      </c>
      <c r="AK102">
        <f t="shared" si="233"/>
        <v>0</v>
      </c>
      <c r="AL102">
        <f t="shared" si="233"/>
        <v>0</v>
      </c>
      <c r="AM102">
        <f t="shared" si="233"/>
        <v>0</v>
      </c>
      <c r="AN102">
        <f t="shared" si="233"/>
        <v>0</v>
      </c>
      <c r="AO102">
        <f t="shared" si="233"/>
        <v>0</v>
      </c>
      <c r="AP102">
        <f t="shared" si="233"/>
        <v>0</v>
      </c>
      <c r="AQ102">
        <f t="shared" si="233"/>
        <v>0</v>
      </c>
      <c r="AR102">
        <f t="shared" si="233"/>
        <v>0</v>
      </c>
      <c r="AS102">
        <f t="shared" si="233"/>
        <v>0</v>
      </c>
      <c r="AT102">
        <f t="shared" si="233"/>
        <v>0</v>
      </c>
      <c r="AU102">
        <f t="shared" ref="AU102:BZ102" si="234">AU48/2+AU55+AU58</f>
        <v>0</v>
      </c>
      <c r="AV102">
        <f t="shared" si="234"/>
        <v>0</v>
      </c>
      <c r="AW102">
        <f t="shared" si="234"/>
        <v>0</v>
      </c>
      <c r="AX102">
        <f t="shared" si="234"/>
        <v>0</v>
      </c>
      <c r="AY102">
        <f t="shared" si="234"/>
        <v>0</v>
      </c>
      <c r="AZ102">
        <f t="shared" si="234"/>
        <v>0</v>
      </c>
      <c r="BA102">
        <f t="shared" si="234"/>
        <v>0</v>
      </c>
      <c r="BB102">
        <f t="shared" si="234"/>
        <v>0</v>
      </c>
      <c r="BC102">
        <f t="shared" si="234"/>
        <v>0</v>
      </c>
      <c r="BD102">
        <f t="shared" si="234"/>
        <v>0</v>
      </c>
      <c r="BE102">
        <f t="shared" si="234"/>
        <v>0</v>
      </c>
      <c r="BF102">
        <f t="shared" si="234"/>
        <v>0</v>
      </c>
      <c r="BG102">
        <f t="shared" si="234"/>
        <v>0</v>
      </c>
      <c r="BH102">
        <f t="shared" si="234"/>
        <v>0</v>
      </c>
      <c r="BI102">
        <f t="shared" si="234"/>
        <v>0</v>
      </c>
      <c r="BJ102">
        <f t="shared" si="234"/>
        <v>0</v>
      </c>
      <c r="BK102">
        <f t="shared" si="234"/>
        <v>0</v>
      </c>
      <c r="BL102">
        <f t="shared" si="234"/>
        <v>0</v>
      </c>
      <c r="BM102">
        <f t="shared" si="234"/>
        <v>0</v>
      </c>
      <c r="BN102">
        <f t="shared" si="234"/>
        <v>0</v>
      </c>
      <c r="BO102">
        <f t="shared" si="234"/>
        <v>0</v>
      </c>
      <c r="BP102">
        <f t="shared" si="234"/>
        <v>0</v>
      </c>
      <c r="BQ102">
        <f t="shared" si="234"/>
        <v>0</v>
      </c>
      <c r="BR102">
        <f t="shared" si="234"/>
        <v>0</v>
      </c>
      <c r="BS102">
        <f t="shared" si="234"/>
        <v>0</v>
      </c>
      <c r="BT102">
        <f t="shared" si="234"/>
        <v>0</v>
      </c>
      <c r="BU102">
        <f t="shared" si="234"/>
        <v>0</v>
      </c>
      <c r="BV102">
        <f t="shared" si="234"/>
        <v>0</v>
      </c>
      <c r="BW102">
        <f t="shared" si="234"/>
        <v>0</v>
      </c>
      <c r="BX102">
        <f t="shared" si="234"/>
        <v>0</v>
      </c>
      <c r="BY102">
        <f t="shared" si="234"/>
        <v>0</v>
      </c>
      <c r="BZ102">
        <f t="shared" si="234"/>
        <v>0</v>
      </c>
      <c r="CA102">
        <f t="shared" ref="CA102:DF102" si="235">CA48/2+CA55+CA58</f>
        <v>0</v>
      </c>
      <c r="CB102">
        <f t="shared" si="235"/>
        <v>0</v>
      </c>
      <c r="CC102">
        <f t="shared" si="235"/>
        <v>0</v>
      </c>
      <c r="CD102">
        <f t="shared" si="235"/>
        <v>0</v>
      </c>
      <c r="CE102">
        <f t="shared" si="235"/>
        <v>0</v>
      </c>
      <c r="CF102">
        <f t="shared" si="235"/>
        <v>0</v>
      </c>
      <c r="CG102">
        <f t="shared" si="235"/>
        <v>0</v>
      </c>
      <c r="CH102">
        <f t="shared" si="235"/>
        <v>0</v>
      </c>
      <c r="CI102">
        <f t="shared" si="235"/>
        <v>0</v>
      </c>
      <c r="CJ102">
        <f t="shared" si="235"/>
        <v>0</v>
      </c>
      <c r="CK102">
        <f t="shared" si="235"/>
        <v>0</v>
      </c>
      <c r="CL102">
        <f t="shared" si="235"/>
        <v>0</v>
      </c>
      <c r="CM102">
        <f t="shared" si="235"/>
        <v>0</v>
      </c>
      <c r="CN102">
        <f t="shared" si="235"/>
        <v>0</v>
      </c>
      <c r="CO102">
        <f t="shared" si="235"/>
        <v>0</v>
      </c>
      <c r="CP102">
        <f t="shared" si="235"/>
        <v>0</v>
      </c>
      <c r="CQ102">
        <f t="shared" si="235"/>
        <v>0</v>
      </c>
      <c r="CR102">
        <f t="shared" si="235"/>
        <v>0</v>
      </c>
      <c r="CS102">
        <f t="shared" si="235"/>
        <v>0</v>
      </c>
      <c r="CT102">
        <f t="shared" si="235"/>
        <v>0</v>
      </c>
      <c r="CU102">
        <f t="shared" si="235"/>
        <v>0</v>
      </c>
      <c r="CV102">
        <f t="shared" si="235"/>
        <v>0</v>
      </c>
      <c r="CW102">
        <f t="shared" si="235"/>
        <v>0</v>
      </c>
      <c r="CX102">
        <f t="shared" si="235"/>
        <v>0</v>
      </c>
      <c r="CY102">
        <f t="shared" si="235"/>
        <v>0</v>
      </c>
      <c r="CZ102">
        <f t="shared" si="235"/>
        <v>0</v>
      </c>
      <c r="DA102">
        <f t="shared" si="235"/>
        <v>0</v>
      </c>
      <c r="DB102">
        <f t="shared" si="235"/>
        <v>0</v>
      </c>
      <c r="DC102">
        <f t="shared" si="235"/>
        <v>0</v>
      </c>
      <c r="DD102">
        <f t="shared" si="235"/>
        <v>0</v>
      </c>
      <c r="DE102">
        <f t="shared" si="235"/>
        <v>0</v>
      </c>
      <c r="DF102">
        <f t="shared" si="235"/>
        <v>0</v>
      </c>
      <c r="DG102">
        <f t="shared" ref="DG102:EL102" si="236">DG48/2+DG55+DG58</f>
        <v>0</v>
      </c>
      <c r="DH102">
        <f t="shared" si="236"/>
        <v>0</v>
      </c>
      <c r="DI102">
        <f t="shared" si="236"/>
        <v>0</v>
      </c>
      <c r="DJ102">
        <f t="shared" si="236"/>
        <v>0</v>
      </c>
      <c r="DK102">
        <f t="shared" si="236"/>
        <v>0</v>
      </c>
      <c r="DL102">
        <f t="shared" si="236"/>
        <v>0</v>
      </c>
      <c r="DM102">
        <f t="shared" si="236"/>
        <v>0</v>
      </c>
      <c r="DN102">
        <f t="shared" si="236"/>
        <v>0</v>
      </c>
      <c r="DO102">
        <f t="shared" si="236"/>
        <v>0</v>
      </c>
      <c r="DP102">
        <f t="shared" si="236"/>
        <v>0</v>
      </c>
      <c r="DQ102">
        <f t="shared" si="236"/>
        <v>0</v>
      </c>
      <c r="DR102">
        <f t="shared" si="236"/>
        <v>0</v>
      </c>
      <c r="DS102">
        <f t="shared" si="236"/>
        <v>0</v>
      </c>
      <c r="DT102">
        <f t="shared" si="236"/>
        <v>0</v>
      </c>
      <c r="DU102">
        <f t="shared" si="236"/>
        <v>0</v>
      </c>
      <c r="DV102">
        <f t="shared" si="236"/>
        <v>0</v>
      </c>
      <c r="DW102">
        <f t="shared" si="236"/>
        <v>0</v>
      </c>
      <c r="DX102">
        <f t="shared" si="236"/>
        <v>0</v>
      </c>
      <c r="DY102">
        <f t="shared" si="236"/>
        <v>0</v>
      </c>
      <c r="DZ102">
        <f t="shared" si="236"/>
        <v>0</v>
      </c>
      <c r="EA102">
        <f t="shared" si="236"/>
        <v>0</v>
      </c>
      <c r="EB102">
        <f t="shared" si="236"/>
        <v>0</v>
      </c>
      <c r="EC102">
        <f t="shared" si="236"/>
        <v>0</v>
      </c>
      <c r="ED102">
        <f t="shared" si="236"/>
        <v>0</v>
      </c>
      <c r="EE102">
        <f t="shared" si="236"/>
        <v>0</v>
      </c>
      <c r="EF102">
        <f t="shared" si="236"/>
        <v>0</v>
      </c>
      <c r="EG102">
        <f t="shared" si="236"/>
        <v>0</v>
      </c>
      <c r="EH102">
        <f t="shared" si="236"/>
        <v>0</v>
      </c>
      <c r="EI102">
        <f t="shared" si="236"/>
        <v>0</v>
      </c>
      <c r="EJ102">
        <f t="shared" si="236"/>
        <v>0</v>
      </c>
      <c r="EK102">
        <f t="shared" si="236"/>
        <v>0</v>
      </c>
      <c r="EL102">
        <f t="shared" si="236"/>
        <v>0</v>
      </c>
      <c r="EM102">
        <f t="shared" ref="EM102:FR102" si="237">EM48/2+EM55+EM58</f>
        <v>0</v>
      </c>
      <c r="EN102">
        <f t="shared" si="237"/>
        <v>0</v>
      </c>
      <c r="EO102">
        <f t="shared" si="237"/>
        <v>0</v>
      </c>
      <c r="EP102">
        <f t="shared" si="237"/>
        <v>0</v>
      </c>
      <c r="EQ102">
        <f t="shared" si="237"/>
        <v>0</v>
      </c>
      <c r="ER102">
        <f t="shared" si="237"/>
        <v>0</v>
      </c>
      <c r="ES102">
        <f t="shared" si="237"/>
        <v>0</v>
      </c>
      <c r="ET102">
        <f t="shared" si="237"/>
        <v>0</v>
      </c>
      <c r="EU102">
        <f t="shared" si="237"/>
        <v>0</v>
      </c>
      <c r="EV102">
        <f t="shared" si="237"/>
        <v>0</v>
      </c>
      <c r="EW102">
        <f t="shared" si="237"/>
        <v>0</v>
      </c>
      <c r="EX102">
        <f t="shared" si="237"/>
        <v>0</v>
      </c>
      <c r="EY102">
        <f t="shared" si="237"/>
        <v>0</v>
      </c>
      <c r="EZ102">
        <f t="shared" si="237"/>
        <v>0</v>
      </c>
      <c r="FA102">
        <f t="shared" si="237"/>
        <v>0</v>
      </c>
      <c r="FB102">
        <f t="shared" si="237"/>
        <v>0</v>
      </c>
      <c r="FC102">
        <f t="shared" si="237"/>
        <v>0</v>
      </c>
      <c r="FD102">
        <f t="shared" si="237"/>
        <v>0</v>
      </c>
      <c r="FE102">
        <f t="shared" si="237"/>
        <v>0</v>
      </c>
      <c r="FF102">
        <f t="shared" si="237"/>
        <v>0</v>
      </c>
      <c r="FG102">
        <f t="shared" si="237"/>
        <v>0</v>
      </c>
      <c r="FH102">
        <f t="shared" si="237"/>
        <v>0</v>
      </c>
      <c r="FI102">
        <f t="shared" si="237"/>
        <v>0</v>
      </c>
      <c r="FJ102">
        <f t="shared" si="237"/>
        <v>0</v>
      </c>
      <c r="FK102">
        <f t="shared" si="237"/>
        <v>0</v>
      </c>
      <c r="FL102">
        <f t="shared" si="237"/>
        <v>6.5</v>
      </c>
      <c r="FM102">
        <f t="shared" si="237"/>
        <v>0</v>
      </c>
      <c r="FN102">
        <f t="shared" si="237"/>
        <v>0</v>
      </c>
      <c r="FO102">
        <f t="shared" si="237"/>
        <v>0</v>
      </c>
      <c r="FP102">
        <f t="shared" si="237"/>
        <v>0</v>
      </c>
      <c r="FQ102">
        <f t="shared" si="237"/>
        <v>0</v>
      </c>
      <c r="FR102">
        <f t="shared" si="237"/>
        <v>0</v>
      </c>
      <c r="FS102">
        <f t="shared" ref="FS102:GN102" si="238">FS48/2+FS55+FS58</f>
        <v>5.75</v>
      </c>
      <c r="FT102">
        <f t="shared" si="238"/>
        <v>0</v>
      </c>
      <c r="FU102">
        <f t="shared" si="238"/>
        <v>0</v>
      </c>
      <c r="FV102">
        <f t="shared" si="238"/>
        <v>0</v>
      </c>
      <c r="FW102">
        <f t="shared" si="238"/>
        <v>0</v>
      </c>
      <c r="FX102">
        <f t="shared" si="238"/>
        <v>0</v>
      </c>
      <c r="FY102">
        <f t="shared" si="238"/>
        <v>0</v>
      </c>
      <c r="FZ102">
        <f t="shared" si="238"/>
        <v>0</v>
      </c>
      <c r="GA102">
        <f t="shared" si="238"/>
        <v>0</v>
      </c>
      <c r="GB102">
        <f t="shared" si="238"/>
        <v>0</v>
      </c>
      <c r="GC102">
        <f t="shared" si="238"/>
        <v>0</v>
      </c>
      <c r="GD102">
        <f t="shared" si="238"/>
        <v>0</v>
      </c>
      <c r="GE102">
        <f t="shared" si="238"/>
        <v>0</v>
      </c>
      <c r="GF102">
        <f t="shared" si="238"/>
        <v>0</v>
      </c>
      <c r="GG102">
        <f t="shared" si="238"/>
        <v>0</v>
      </c>
      <c r="GH102">
        <f t="shared" si="238"/>
        <v>0</v>
      </c>
      <c r="GI102">
        <f t="shared" si="238"/>
        <v>0</v>
      </c>
      <c r="GJ102">
        <f t="shared" si="238"/>
        <v>3.25</v>
      </c>
      <c r="GK102">
        <f t="shared" si="238"/>
        <v>0</v>
      </c>
      <c r="GL102">
        <f t="shared" si="238"/>
        <v>0</v>
      </c>
      <c r="GM102">
        <f t="shared" si="238"/>
        <v>0</v>
      </c>
      <c r="GN102">
        <f t="shared" si="238"/>
        <v>0</v>
      </c>
      <c r="GO102">
        <f t="shared" ref="GO102:HT102" si="239">GO48/2+GO55+GO58</f>
        <v>0</v>
      </c>
      <c r="GP102">
        <f t="shared" si="239"/>
        <v>0</v>
      </c>
      <c r="GQ102">
        <f t="shared" si="239"/>
        <v>0</v>
      </c>
      <c r="GR102">
        <f t="shared" si="239"/>
        <v>0</v>
      </c>
      <c r="GS102">
        <f t="shared" si="239"/>
        <v>0</v>
      </c>
      <c r="GT102">
        <f t="shared" si="239"/>
        <v>0</v>
      </c>
      <c r="GU102">
        <f t="shared" si="239"/>
        <v>0</v>
      </c>
      <c r="GV102">
        <f t="shared" si="239"/>
        <v>0</v>
      </c>
      <c r="GW102">
        <f t="shared" si="239"/>
        <v>0</v>
      </c>
      <c r="GX102">
        <f t="shared" si="239"/>
        <v>0</v>
      </c>
      <c r="GY102">
        <f t="shared" si="239"/>
        <v>0</v>
      </c>
      <c r="GZ102">
        <f t="shared" si="239"/>
        <v>0</v>
      </c>
      <c r="HA102">
        <f t="shared" si="239"/>
        <v>0</v>
      </c>
      <c r="HB102">
        <f t="shared" si="239"/>
        <v>0</v>
      </c>
      <c r="HC102">
        <f t="shared" si="239"/>
        <v>0</v>
      </c>
      <c r="HD102">
        <f t="shared" si="239"/>
        <v>5</v>
      </c>
      <c r="HE102">
        <f t="shared" si="239"/>
        <v>0</v>
      </c>
      <c r="HF102">
        <f t="shared" si="239"/>
        <v>5</v>
      </c>
      <c r="HG102">
        <f t="shared" si="239"/>
        <v>0</v>
      </c>
      <c r="HH102">
        <f t="shared" si="239"/>
        <v>0</v>
      </c>
      <c r="HI102">
        <f t="shared" si="239"/>
        <v>0</v>
      </c>
      <c r="HJ102">
        <f t="shared" si="239"/>
        <v>0</v>
      </c>
      <c r="HK102">
        <f t="shared" si="239"/>
        <v>0</v>
      </c>
      <c r="HL102">
        <f t="shared" si="239"/>
        <v>0</v>
      </c>
      <c r="HM102">
        <f t="shared" si="239"/>
        <v>0</v>
      </c>
      <c r="HN102">
        <f t="shared" si="239"/>
        <v>0</v>
      </c>
      <c r="HO102">
        <f t="shared" si="239"/>
        <v>0</v>
      </c>
      <c r="HP102">
        <f t="shared" si="239"/>
        <v>0</v>
      </c>
      <c r="HQ102">
        <f t="shared" si="239"/>
        <v>0</v>
      </c>
      <c r="HR102">
        <f t="shared" si="239"/>
        <v>0</v>
      </c>
      <c r="HS102">
        <f t="shared" si="239"/>
        <v>0</v>
      </c>
      <c r="HT102">
        <f t="shared" si="239"/>
        <v>0</v>
      </c>
    </row>
    <row r="104" spans="2:228" x14ac:dyDescent="0.25">
      <c r="B104" s="495" t="s">
        <v>139</v>
      </c>
      <c r="C104" s="8" t="s">
        <v>79</v>
      </c>
      <c r="E104" s="194">
        <f t="shared" ref="E104:N104" si="240">E44+E45+E47+E48+E49</f>
        <v>0</v>
      </c>
      <c r="F104" s="194">
        <f t="shared" si="240"/>
        <v>0</v>
      </c>
      <c r="G104" s="194">
        <f t="shared" si="240"/>
        <v>0</v>
      </c>
      <c r="H104" s="194">
        <f t="shared" si="240"/>
        <v>0</v>
      </c>
      <c r="I104" s="194">
        <f t="shared" si="240"/>
        <v>0</v>
      </c>
      <c r="J104" s="194">
        <f t="shared" si="240"/>
        <v>0</v>
      </c>
      <c r="K104" s="194">
        <f t="shared" si="240"/>
        <v>0</v>
      </c>
      <c r="L104" s="194">
        <f t="shared" si="240"/>
        <v>0</v>
      </c>
      <c r="M104" s="194">
        <f t="shared" si="240"/>
        <v>0</v>
      </c>
      <c r="N104" s="194">
        <f t="shared" si="240"/>
        <v>0</v>
      </c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K104" s="194"/>
      <c r="BL104" s="194"/>
      <c r="BM104" s="194"/>
      <c r="BN104" s="194"/>
      <c r="BO104" s="194"/>
      <c r="BP104" s="194"/>
      <c r="BQ104" s="194"/>
      <c r="BR104" s="194"/>
      <c r="BS104" s="194"/>
      <c r="BT104" s="194"/>
      <c r="BU104" s="194"/>
      <c r="BV104" s="194"/>
      <c r="BW104" s="194"/>
      <c r="BX104" s="194"/>
      <c r="BY104" s="194"/>
      <c r="BZ104" s="194"/>
      <c r="CA104" s="194"/>
      <c r="CB104" s="194"/>
      <c r="CC104" s="194"/>
      <c r="CD104" s="194"/>
      <c r="CE104" s="194"/>
      <c r="CF104" s="194"/>
      <c r="CG104" s="194"/>
      <c r="CH104" s="194"/>
      <c r="CI104" s="194"/>
      <c r="CJ104" s="194"/>
      <c r="CK104" s="194"/>
      <c r="CL104" s="194"/>
      <c r="CM104" s="194"/>
      <c r="CN104" s="194"/>
      <c r="CO104" s="194"/>
      <c r="CP104" s="194"/>
      <c r="CQ104" s="194"/>
      <c r="CR104" s="194"/>
      <c r="CS104" s="194"/>
      <c r="CT104" s="194"/>
      <c r="CU104" s="194"/>
      <c r="CV104" s="194"/>
      <c r="CW104" s="194"/>
      <c r="CX104" s="194"/>
      <c r="CY104" s="194"/>
      <c r="CZ104" s="194"/>
      <c r="DA104" s="194"/>
      <c r="DB104" s="194"/>
      <c r="DC104" s="194"/>
      <c r="DD104" s="194"/>
      <c r="DE104" s="194"/>
      <c r="DF104" s="194"/>
      <c r="DG104" s="194"/>
      <c r="DH104" s="194"/>
      <c r="DI104" s="194"/>
      <c r="DJ104" s="194"/>
      <c r="DK104" s="194"/>
      <c r="DL104" s="194"/>
      <c r="DM104" s="194"/>
      <c r="DN104" s="194"/>
      <c r="DO104" s="194"/>
      <c r="DP104" s="194"/>
      <c r="DQ104" s="194"/>
      <c r="DR104" s="194"/>
      <c r="DS104" s="194"/>
      <c r="DT104" s="194"/>
      <c r="DU104" s="194"/>
      <c r="DV104" s="194"/>
      <c r="DW104" s="194"/>
      <c r="DX104" s="194"/>
      <c r="DY104" s="194"/>
      <c r="DZ104" s="194"/>
      <c r="EA104" s="194"/>
      <c r="EB104" s="194"/>
      <c r="EC104" s="194"/>
      <c r="ED104" s="194"/>
      <c r="EE104" s="194"/>
      <c r="EF104" s="194"/>
      <c r="EG104" s="194"/>
      <c r="EH104" s="194"/>
      <c r="EI104" s="194"/>
      <c r="EJ104" s="194"/>
      <c r="EK104" s="194"/>
      <c r="EL104" s="194"/>
      <c r="EM104" s="194"/>
      <c r="EN104" s="194"/>
      <c r="EO104" s="194"/>
      <c r="EP104" s="194"/>
      <c r="EQ104" s="194"/>
      <c r="ER104" s="194"/>
      <c r="ES104" s="194"/>
      <c r="ET104" s="194"/>
      <c r="EU104" s="194"/>
      <c r="EV104" s="194"/>
      <c r="EW104" s="194"/>
      <c r="EX104" s="194"/>
      <c r="EY104" s="194"/>
      <c r="EZ104" s="194"/>
      <c r="FA104" s="194"/>
      <c r="FB104" s="194"/>
      <c r="FC104" s="194"/>
      <c r="FD104" s="194"/>
      <c r="FE104" s="194"/>
      <c r="FF104" s="194"/>
      <c r="FG104" s="194"/>
      <c r="FH104" s="194"/>
      <c r="FI104" s="194"/>
      <c r="FJ104" s="194"/>
      <c r="FK104" s="194"/>
      <c r="FL104" s="194"/>
      <c r="FM104" s="194"/>
      <c r="FN104" s="194"/>
      <c r="FO104" s="194"/>
      <c r="FP104" s="194"/>
      <c r="FQ104" s="194"/>
      <c r="FR104" s="194"/>
      <c r="FS104" s="194"/>
      <c r="FT104" s="194"/>
      <c r="FU104" s="194"/>
      <c r="FV104" s="194"/>
      <c r="FW104" s="194"/>
      <c r="FX104" s="194"/>
      <c r="FY104" s="194"/>
      <c r="FZ104" s="194"/>
      <c r="GA104" s="194"/>
      <c r="GB104" s="194"/>
      <c r="GC104" s="194"/>
      <c r="GD104" s="194"/>
      <c r="GE104" s="194"/>
      <c r="GF104" s="194">
        <f>GF62+GF63+GF65+GF66+GF67</f>
        <v>12</v>
      </c>
      <c r="GG104" s="194">
        <f t="shared" ref="GG104:GN104" si="241">GG66+GG67+GG68+GG70+GG71</f>
        <v>0</v>
      </c>
      <c r="GH104" s="194">
        <f t="shared" si="241"/>
        <v>0</v>
      </c>
      <c r="GI104" s="194">
        <f t="shared" si="241"/>
        <v>0</v>
      </c>
      <c r="GJ104" s="194">
        <f t="shared" si="241"/>
        <v>0</v>
      </c>
      <c r="GK104" s="194">
        <f t="shared" si="241"/>
        <v>0</v>
      </c>
      <c r="GL104" s="194">
        <f t="shared" si="241"/>
        <v>0</v>
      </c>
      <c r="GM104" s="194">
        <f t="shared" si="241"/>
        <v>0</v>
      </c>
      <c r="GN104" s="194">
        <f t="shared" si="241"/>
        <v>0</v>
      </c>
      <c r="GO104" s="194">
        <f t="shared" ref="GO104:HT104" si="242">GO66+GO67+GO68+GO70+GO71</f>
        <v>0</v>
      </c>
      <c r="GP104" s="194">
        <f t="shared" si="242"/>
        <v>0</v>
      </c>
      <c r="GQ104" s="194">
        <f t="shared" si="242"/>
        <v>0</v>
      </c>
      <c r="GR104" s="194">
        <f t="shared" si="242"/>
        <v>0</v>
      </c>
      <c r="GS104" s="194">
        <f t="shared" si="242"/>
        <v>0</v>
      </c>
      <c r="GT104" s="194">
        <f t="shared" si="242"/>
        <v>0</v>
      </c>
      <c r="GU104" s="194">
        <f t="shared" si="242"/>
        <v>0</v>
      </c>
      <c r="GV104" s="194">
        <f t="shared" si="242"/>
        <v>0</v>
      </c>
      <c r="GW104" s="194">
        <f t="shared" si="242"/>
        <v>0</v>
      </c>
      <c r="GX104" s="194">
        <f t="shared" si="242"/>
        <v>0</v>
      </c>
      <c r="GY104" s="194">
        <f t="shared" si="242"/>
        <v>0</v>
      </c>
      <c r="GZ104" s="194">
        <f t="shared" si="242"/>
        <v>0</v>
      </c>
      <c r="HA104" s="194">
        <f t="shared" si="242"/>
        <v>0</v>
      </c>
      <c r="HB104" s="194">
        <f t="shared" si="242"/>
        <v>0</v>
      </c>
      <c r="HC104" s="194">
        <f t="shared" si="242"/>
        <v>0</v>
      </c>
      <c r="HD104" s="194">
        <f t="shared" si="242"/>
        <v>0</v>
      </c>
      <c r="HE104" s="194">
        <f t="shared" si="242"/>
        <v>0</v>
      </c>
      <c r="HF104" s="194">
        <f t="shared" si="242"/>
        <v>0</v>
      </c>
      <c r="HG104" s="194">
        <f t="shared" si="242"/>
        <v>0</v>
      </c>
      <c r="HH104" s="194">
        <f t="shared" si="242"/>
        <v>0</v>
      </c>
      <c r="HI104" s="194">
        <f t="shared" si="242"/>
        <v>0</v>
      </c>
      <c r="HJ104" s="194">
        <f t="shared" si="242"/>
        <v>0</v>
      </c>
      <c r="HK104" s="194">
        <f t="shared" si="242"/>
        <v>0</v>
      </c>
      <c r="HL104" s="194">
        <f t="shared" si="242"/>
        <v>0</v>
      </c>
      <c r="HM104" s="194">
        <f t="shared" si="242"/>
        <v>0</v>
      </c>
      <c r="HN104" s="194">
        <f t="shared" si="242"/>
        <v>0</v>
      </c>
      <c r="HO104" s="194">
        <f t="shared" si="242"/>
        <v>0</v>
      </c>
      <c r="HP104" s="194">
        <f t="shared" si="242"/>
        <v>0</v>
      </c>
      <c r="HQ104" s="194">
        <f t="shared" si="242"/>
        <v>0</v>
      </c>
      <c r="HR104" s="194">
        <f t="shared" si="242"/>
        <v>0</v>
      </c>
      <c r="HS104" s="194">
        <f t="shared" si="242"/>
        <v>0</v>
      </c>
      <c r="HT104" s="194">
        <f t="shared" si="242"/>
        <v>0</v>
      </c>
    </row>
    <row r="105" spans="2:228" x14ac:dyDescent="0.25">
      <c r="B105" s="495"/>
      <c r="C105" s="8" t="s">
        <v>80</v>
      </c>
      <c r="E105" s="194">
        <f t="shared" ref="E105:N105" si="243">E43/2+E46+E51+E52</f>
        <v>0</v>
      </c>
      <c r="F105" s="194">
        <f t="shared" si="243"/>
        <v>0</v>
      </c>
      <c r="G105" s="194">
        <f t="shared" si="243"/>
        <v>0</v>
      </c>
      <c r="H105" s="194">
        <f t="shared" si="243"/>
        <v>0</v>
      </c>
      <c r="I105" s="194">
        <f t="shared" si="243"/>
        <v>0</v>
      </c>
      <c r="J105" s="194">
        <f t="shared" si="243"/>
        <v>0</v>
      </c>
      <c r="K105" s="194">
        <f t="shared" si="243"/>
        <v>0</v>
      </c>
      <c r="L105" s="194">
        <f t="shared" si="243"/>
        <v>0</v>
      </c>
      <c r="M105" s="194">
        <f t="shared" si="243"/>
        <v>0</v>
      </c>
      <c r="N105" s="194">
        <f t="shared" si="243"/>
        <v>0</v>
      </c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  <c r="BO105" s="194"/>
      <c r="BP105" s="194"/>
      <c r="BQ105" s="194"/>
      <c r="BR105" s="194"/>
      <c r="BS105" s="194"/>
      <c r="BT105" s="194"/>
      <c r="BU105" s="194"/>
      <c r="BV105" s="194"/>
      <c r="BW105" s="194"/>
      <c r="BX105" s="194"/>
      <c r="BY105" s="194"/>
      <c r="BZ105" s="194"/>
      <c r="CA105" s="194"/>
      <c r="CB105" s="194"/>
      <c r="CC105" s="194"/>
      <c r="CD105" s="194"/>
      <c r="CE105" s="194"/>
      <c r="CF105" s="194"/>
      <c r="CG105" s="194"/>
      <c r="CH105" s="194"/>
      <c r="CI105" s="194"/>
      <c r="CJ105" s="194"/>
      <c r="CK105" s="194"/>
      <c r="CL105" s="194"/>
      <c r="CM105" s="194"/>
      <c r="CN105" s="194"/>
      <c r="CO105" s="194"/>
      <c r="CP105" s="194"/>
      <c r="CQ105" s="194"/>
      <c r="CR105" s="194"/>
      <c r="CS105" s="194"/>
      <c r="CT105" s="194"/>
      <c r="CU105" s="194"/>
      <c r="CV105" s="194"/>
      <c r="CW105" s="194"/>
      <c r="CX105" s="194"/>
      <c r="CY105" s="194"/>
      <c r="CZ105" s="194"/>
      <c r="DA105" s="194"/>
      <c r="DB105" s="194"/>
      <c r="DC105" s="194"/>
      <c r="DD105" s="194"/>
      <c r="DE105" s="194"/>
      <c r="DF105" s="194"/>
      <c r="DG105" s="194"/>
      <c r="DH105" s="194"/>
      <c r="DI105" s="194"/>
      <c r="DJ105" s="194"/>
      <c r="DK105" s="194"/>
      <c r="DL105" s="194"/>
      <c r="DM105" s="194"/>
      <c r="DN105" s="194"/>
      <c r="DO105" s="194"/>
      <c r="DP105" s="194"/>
      <c r="DQ105" s="194"/>
      <c r="DR105" s="194"/>
      <c r="DS105" s="194"/>
      <c r="DT105" s="194"/>
      <c r="DU105" s="194"/>
      <c r="DV105" s="194"/>
      <c r="DW105" s="194"/>
      <c r="DX105" s="194"/>
      <c r="DY105" s="194"/>
      <c r="DZ105" s="194"/>
      <c r="EA105" s="194"/>
      <c r="EB105" s="194"/>
      <c r="EC105" s="194"/>
      <c r="ED105" s="194"/>
      <c r="EE105" s="194"/>
      <c r="EF105" s="194"/>
      <c r="EG105" s="194"/>
      <c r="EH105" s="194"/>
      <c r="EI105" s="194"/>
      <c r="EJ105" s="194"/>
      <c r="EK105" s="194"/>
      <c r="EL105" s="194"/>
      <c r="EM105" s="194"/>
      <c r="EN105" s="194"/>
      <c r="EO105" s="194"/>
      <c r="EP105" s="194"/>
      <c r="EQ105" s="194"/>
      <c r="ER105" s="194"/>
      <c r="ES105" s="194"/>
      <c r="ET105" s="194"/>
      <c r="EU105" s="194"/>
      <c r="EV105" s="194"/>
      <c r="EW105" s="194"/>
      <c r="EX105" s="194"/>
      <c r="EY105" s="194"/>
      <c r="EZ105" s="194"/>
      <c r="FA105" s="194"/>
      <c r="FB105" s="194"/>
      <c r="FC105" s="194"/>
      <c r="FD105" s="194"/>
      <c r="FE105" s="194"/>
      <c r="FF105" s="194"/>
      <c r="FG105" s="194"/>
      <c r="FH105" s="194"/>
      <c r="FI105" s="194"/>
      <c r="FJ105" s="194"/>
      <c r="FK105" s="194"/>
      <c r="FL105" s="194"/>
      <c r="FM105" s="194"/>
      <c r="FN105" s="194"/>
      <c r="FO105" s="194"/>
      <c r="FP105" s="194"/>
      <c r="FQ105" s="194"/>
      <c r="FR105" s="194"/>
      <c r="FS105" s="194"/>
      <c r="FT105" s="194"/>
      <c r="FU105" s="194"/>
      <c r="FV105" s="194"/>
      <c r="FW105" s="194"/>
      <c r="FX105" s="194"/>
      <c r="FY105" s="194"/>
      <c r="FZ105" s="194"/>
      <c r="GA105" s="194"/>
      <c r="GB105" s="194"/>
      <c r="GC105" s="194"/>
      <c r="GD105" s="194"/>
      <c r="GE105" s="194"/>
      <c r="GF105" s="194">
        <f>GF61/2+GF70+GF64+GF69</f>
        <v>0</v>
      </c>
      <c r="GG105" s="194">
        <f t="shared" ref="GG105:GN105" si="244">GG61/2+GG70+GG64+GG69</f>
        <v>0</v>
      </c>
      <c r="GH105" s="194">
        <f t="shared" si="244"/>
        <v>0</v>
      </c>
      <c r="GI105" s="194">
        <f t="shared" si="244"/>
        <v>0</v>
      </c>
      <c r="GJ105" s="194">
        <f t="shared" si="244"/>
        <v>0</v>
      </c>
      <c r="GK105" s="194">
        <f t="shared" si="244"/>
        <v>0</v>
      </c>
      <c r="GL105" s="194">
        <f t="shared" si="244"/>
        <v>0</v>
      </c>
      <c r="GM105" s="194">
        <f t="shared" si="244"/>
        <v>0</v>
      </c>
      <c r="GN105" s="194">
        <f t="shared" si="244"/>
        <v>0</v>
      </c>
      <c r="GO105" s="194">
        <f t="shared" ref="GO105:HT105" si="245">GO61/2+GO70+GO64+GO69</f>
        <v>0</v>
      </c>
      <c r="GP105" s="194">
        <f t="shared" si="245"/>
        <v>0</v>
      </c>
      <c r="GQ105" s="194">
        <f t="shared" si="245"/>
        <v>0</v>
      </c>
      <c r="GR105" s="194">
        <f t="shared" si="245"/>
        <v>6</v>
      </c>
      <c r="GS105" s="194">
        <f t="shared" si="245"/>
        <v>0</v>
      </c>
      <c r="GT105" s="194">
        <f t="shared" si="245"/>
        <v>4.25</v>
      </c>
      <c r="GU105" s="194">
        <f t="shared" si="245"/>
        <v>0</v>
      </c>
      <c r="GV105" s="194">
        <f t="shared" si="245"/>
        <v>0</v>
      </c>
      <c r="GW105" s="194">
        <f t="shared" si="245"/>
        <v>0</v>
      </c>
      <c r="GX105" s="194">
        <f t="shared" si="245"/>
        <v>0</v>
      </c>
      <c r="GY105" s="194">
        <f t="shared" si="245"/>
        <v>5</v>
      </c>
      <c r="GZ105" s="194">
        <f t="shared" si="245"/>
        <v>0</v>
      </c>
      <c r="HA105" s="194">
        <f t="shared" si="245"/>
        <v>0</v>
      </c>
      <c r="HB105" s="194">
        <f t="shared" si="245"/>
        <v>0</v>
      </c>
      <c r="HC105" s="194">
        <f t="shared" si="245"/>
        <v>0</v>
      </c>
      <c r="HD105" s="194">
        <f t="shared" si="245"/>
        <v>0</v>
      </c>
      <c r="HE105" s="194">
        <f t="shared" si="245"/>
        <v>0</v>
      </c>
      <c r="HF105" s="194">
        <f t="shared" si="245"/>
        <v>0</v>
      </c>
      <c r="HG105" s="194">
        <f t="shared" si="245"/>
        <v>0</v>
      </c>
      <c r="HH105" s="194">
        <f t="shared" si="245"/>
        <v>0</v>
      </c>
      <c r="HI105" s="194">
        <f t="shared" si="245"/>
        <v>0</v>
      </c>
      <c r="HJ105" s="194">
        <f t="shared" si="245"/>
        <v>0</v>
      </c>
      <c r="HK105" s="194">
        <f t="shared" si="245"/>
        <v>0</v>
      </c>
      <c r="HL105" s="194">
        <f t="shared" si="245"/>
        <v>0</v>
      </c>
      <c r="HM105" s="194">
        <f t="shared" si="245"/>
        <v>0</v>
      </c>
      <c r="HN105" s="194">
        <f t="shared" si="245"/>
        <v>0</v>
      </c>
      <c r="HO105" s="194">
        <f t="shared" si="245"/>
        <v>0</v>
      </c>
      <c r="HP105" s="194">
        <f t="shared" si="245"/>
        <v>0</v>
      </c>
      <c r="HQ105" s="194">
        <f t="shared" si="245"/>
        <v>0</v>
      </c>
      <c r="HR105" s="194">
        <f t="shared" si="245"/>
        <v>0</v>
      </c>
      <c r="HS105" s="194">
        <f t="shared" si="245"/>
        <v>0</v>
      </c>
      <c r="HT105" s="194">
        <f t="shared" si="245"/>
        <v>0</v>
      </c>
    </row>
    <row r="106" spans="2:228" x14ac:dyDescent="0.25">
      <c r="B106" s="495"/>
      <c r="C106" s="8" t="s">
        <v>89</v>
      </c>
      <c r="E106">
        <f t="shared" ref="E106:N106" si="246">E43/2+E50+E53</f>
        <v>0</v>
      </c>
      <c r="F106">
        <f t="shared" si="246"/>
        <v>0</v>
      </c>
      <c r="G106">
        <f t="shared" si="246"/>
        <v>0</v>
      </c>
      <c r="H106">
        <f t="shared" si="246"/>
        <v>0</v>
      </c>
      <c r="I106">
        <f t="shared" si="246"/>
        <v>0</v>
      </c>
      <c r="J106">
        <f t="shared" si="246"/>
        <v>0</v>
      </c>
      <c r="K106">
        <f t="shared" si="246"/>
        <v>0</v>
      </c>
      <c r="L106">
        <f t="shared" si="246"/>
        <v>0</v>
      </c>
      <c r="M106">
        <f t="shared" si="246"/>
        <v>0</v>
      </c>
      <c r="N106">
        <f t="shared" si="246"/>
        <v>0</v>
      </c>
      <c r="GF106">
        <f>GF61/2+GF68+GF71</f>
        <v>0</v>
      </c>
      <c r="GG106">
        <f t="shared" ref="GG106:GN106" si="247">GG61/2+GG68+GG71</f>
        <v>0</v>
      </c>
      <c r="GH106">
        <f t="shared" si="247"/>
        <v>0</v>
      </c>
      <c r="GI106">
        <f t="shared" si="247"/>
        <v>0</v>
      </c>
      <c r="GJ106">
        <f t="shared" si="247"/>
        <v>0</v>
      </c>
      <c r="GK106">
        <f t="shared" si="247"/>
        <v>0</v>
      </c>
      <c r="GL106">
        <f t="shared" si="247"/>
        <v>0</v>
      </c>
      <c r="GM106">
        <f t="shared" si="247"/>
        <v>0</v>
      </c>
      <c r="GN106">
        <f t="shared" si="247"/>
        <v>0</v>
      </c>
      <c r="GO106">
        <f t="shared" ref="GO106:HT106" si="248">GO61/2+GO68+GO71</f>
        <v>0</v>
      </c>
      <c r="GP106">
        <f t="shared" si="248"/>
        <v>0</v>
      </c>
      <c r="GQ106">
        <f t="shared" si="248"/>
        <v>0</v>
      </c>
      <c r="GR106">
        <f t="shared" si="248"/>
        <v>6</v>
      </c>
      <c r="GS106">
        <f t="shared" si="248"/>
        <v>0</v>
      </c>
      <c r="GT106">
        <f t="shared" si="248"/>
        <v>4.25</v>
      </c>
      <c r="GU106">
        <f t="shared" si="248"/>
        <v>0</v>
      </c>
      <c r="GV106">
        <f t="shared" si="248"/>
        <v>0</v>
      </c>
      <c r="GW106">
        <f t="shared" si="248"/>
        <v>0</v>
      </c>
      <c r="GX106">
        <f t="shared" si="248"/>
        <v>0</v>
      </c>
      <c r="GY106">
        <f t="shared" si="248"/>
        <v>5</v>
      </c>
      <c r="GZ106">
        <f t="shared" si="248"/>
        <v>0</v>
      </c>
      <c r="HA106">
        <f t="shared" si="248"/>
        <v>0</v>
      </c>
      <c r="HB106">
        <f t="shared" si="248"/>
        <v>0</v>
      </c>
      <c r="HC106">
        <f t="shared" si="248"/>
        <v>0</v>
      </c>
      <c r="HD106">
        <f t="shared" si="248"/>
        <v>0</v>
      </c>
      <c r="HE106">
        <f t="shared" si="248"/>
        <v>0</v>
      </c>
      <c r="HF106">
        <f t="shared" si="248"/>
        <v>0</v>
      </c>
      <c r="HG106">
        <f t="shared" si="248"/>
        <v>0</v>
      </c>
      <c r="HH106">
        <f t="shared" si="248"/>
        <v>0</v>
      </c>
      <c r="HI106">
        <f t="shared" si="248"/>
        <v>0</v>
      </c>
      <c r="HJ106">
        <f t="shared" si="248"/>
        <v>0</v>
      </c>
      <c r="HK106">
        <f t="shared" si="248"/>
        <v>0</v>
      </c>
      <c r="HL106">
        <f t="shared" si="248"/>
        <v>0</v>
      </c>
      <c r="HM106">
        <f t="shared" si="248"/>
        <v>0</v>
      </c>
      <c r="HN106">
        <f t="shared" si="248"/>
        <v>0</v>
      </c>
      <c r="HO106">
        <f t="shared" si="248"/>
        <v>0</v>
      </c>
      <c r="HP106">
        <f t="shared" si="248"/>
        <v>0</v>
      </c>
      <c r="HQ106">
        <f t="shared" si="248"/>
        <v>0</v>
      </c>
      <c r="HR106">
        <f t="shared" si="248"/>
        <v>0</v>
      </c>
      <c r="HS106">
        <f t="shared" si="248"/>
        <v>0</v>
      </c>
      <c r="HT106">
        <f t="shared" si="248"/>
        <v>0</v>
      </c>
    </row>
  </sheetData>
  <mergeCells count="26">
    <mergeCell ref="B35:B45"/>
    <mergeCell ref="A86:C86"/>
    <mergeCell ref="B48:B58"/>
    <mergeCell ref="B61:B71"/>
    <mergeCell ref="B104:B106"/>
    <mergeCell ref="B100:B102"/>
    <mergeCell ref="B88:B90"/>
    <mergeCell ref="B92:B94"/>
    <mergeCell ref="B96:B98"/>
    <mergeCell ref="B74:B84"/>
    <mergeCell ref="FK7:GO7"/>
    <mergeCell ref="A1:C5"/>
    <mergeCell ref="D1:HU5"/>
    <mergeCell ref="B9:B19"/>
    <mergeCell ref="B22:B32"/>
    <mergeCell ref="A7:A8"/>
    <mergeCell ref="B7:B8"/>
    <mergeCell ref="C7:C8"/>
    <mergeCell ref="D7:D8"/>
    <mergeCell ref="E7:M7"/>
    <mergeCell ref="O7:AP7"/>
    <mergeCell ref="AR7:BV7"/>
    <mergeCell ref="BX7:DA7"/>
    <mergeCell ref="DB7:EF7"/>
    <mergeCell ref="EG7:FJ7"/>
    <mergeCell ref="GP7:HT7"/>
  </mergeCells>
  <pageMargins left="0.7" right="0.7" top="0.75" bottom="0.75" header="0.3" footer="0.3"/>
  <pageSetup scale="3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C1AF-51DC-47AB-917E-C459A89587C5}">
  <sheetPr>
    <pageSetUpPr fitToPage="1"/>
  </sheetPr>
  <dimension ref="A1:HU92"/>
  <sheetViews>
    <sheetView zoomScale="70" zoomScaleNormal="70" zoomScaleSheetLayoutView="82" workbookViewId="0">
      <pane xSplit="4" ySplit="8" topLeftCell="GJ9" activePane="bottomRight" state="frozen"/>
      <selection pane="topRight" activeCell="F1" sqref="F1"/>
      <selection pane="bottomLeft" activeCell="A2" sqref="A2"/>
      <selection pane="bottomRight" activeCell="HI13" sqref="HI13"/>
    </sheetView>
  </sheetViews>
  <sheetFormatPr defaultRowHeight="15" x14ac:dyDescent="0.25"/>
  <cols>
    <col min="1" max="1" width="11.5703125" customWidth="1"/>
    <col min="2" max="2" width="21.5703125" customWidth="1"/>
    <col min="3" max="3" width="16.28515625" style="8" customWidth="1"/>
    <col min="4" max="4" width="8" customWidth="1"/>
    <col min="5" max="5" width="7.5703125" hidden="1" customWidth="1"/>
    <col min="6" max="6" width="6.5703125" hidden="1" customWidth="1"/>
    <col min="7" max="7" width="7.5703125" hidden="1" customWidth="1"/>
    <col min="8" max="8" width="7.42578125" hidden="1" customWidth="1"/>
    <col min="9" max="12" width="6.5703125" hidden="1" customWidth="1"/>
    <col min="13" max="13" width="9.28515625" style="45" hidden="1" customWidth="1"/>
    <col min="14" max="14" width="1" style="45" customWidth="1"/>
    <col min="15" max="15" width="8.28515625" bestFit="1" customWidth="1"/>
    <col min="16" max="17" width="6.5703125" customWidth="1"/>
    <col min="18" max="18" width="8" customWidth="1"/>
    <col min="19" max="27" width="6.5703125" customWidth="1"/>
    <col min="28" max="28" width="7.7109375" customWidth="1"/>
    <col min="29" max="36" width="6.5703125" customWidth="1"/>
    <col min="37" max="37" width="7" customWidth="1"/>
    <col min="38" max="42" width="6.5703125" customWidth="1"/>
    <col min="43" max="43" width="1.28515625" customWidth="1"/>
    <col min="44" max="44" width="6.5703125" customWidth="1"/>
    <col min="45" max="58" width="8.42578125" customWidth="1"/>
    <col min="59" max="59" width="8.7109375" customWidth="1"/>
    <col min="60" max="74" width="8.42578125" customWidth="1"/>
    <col min="75" max="75" width="1.28515625" customWidth="1"/>
    <col min="76" max="76" width="6.5703125" customWidth="1"/>
    <col min="77" max="86" width="8.42578125" customWidth="1"/>
    <col min="87" max="87" width="10" bestFit="1" customWidth="1"/>
    <col min="88" max="90" width="8.42578125" customWidth="1"/>
    <col min="91" max="91" width="8.7109375" customWidth="1"/>
    <col min="92" max="95" width="8.42578125" customWidth="1"/>
    <col min="96" max="96" width="10" bestFit="1" customWidth="1"/>
    <col min="97" max="97" width="8.42578125" customWidth="1"/>
    <col min="98" max="98" width="10" bestFit="1" customWidth="1"/>
    <col min="99" max="101" width="8.42578125" customWidth="1"/>
    <col min="102" max="102" width="8.140625" bestFit="1" customWidth="1"/>
    <col min="103" max="228" width="8.42578125" customWidth="1"/>
    <col min="229" max="229" width="11.140625" style="45" bestFit="1" customWidth="1"/>
    <col min="230" max="230" width="19.42578125" customWidth="1"/>
  </cols>
  <sheetData>
    <row r="1" spans="1:229" ht="15.75" customHeight="1" x14ac:dyDescent="0.25">
      <c r="A1" s="454" t="e" vm="1">
        <v>#VALUE!</v>
      </c>
      <c r="B1" s="454"/>
      <c r="C1" s="454"/>
      <c r="D1" s="489" t="s">
        <v>34</v>
      </c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  <c r="AO1" s="499"/>
      <c r="AP1" s="499"/>
      <c r="AQ1" s="499"/>
      <c r="AR1" s="499"/>
      <c r="AS1" s="499"/>
      <c r="AT1" s="499"/>
      <c r="AU1" s="499"/>
      <c r="AV1" s="499"/>
      <c r="AW1" s="499"/>
      <c r="AX1" s="499"/>
      <c r="AY1" s="499"/>
      <c r="AZ1" s="499"/>
      <c r="BA1" s="499"/>
      <c r="BB1" s="499"/>
      <c r="BC1" s="499"/>
      <c r="BD1" s="499"/>
      <c r="BE1" s="499"/>
      <c r="BF1" s="499"/>
      <c r="BG1" s="499"/>
      <c r="BH1" s="499"/>
      <c r="BI1" s="499"/>
      <c r="BJ1" s="499"/>
      <c r="BK1" s="499"/>
      <c r="BL1" s="499"/>
      <c r="BM1" s="499"/>
      <c r="BN1" s="499"/>
      <c r="BO1" s="499"/>
      <c r="BP1" s="499"/>
      <c r="BQ1" s="499"/>
      <c r="BR1" s="499"/>
      <c r="BS1" s="499"/>
      <c r="BT1" s="499"/>
      <c r="BU1" s="499"/>
      <c r="BV1" s="499"/>
      <c r="BW1" s="499"/>
      <c r="BX1" s="499"/>
      <c r="BY1" s="499"/>
      <c r="BZ1" s="499"/>
      <c r="CA1" s="499"/>
      <c r="CB1" s="499"/>
      <c r="CC1" s="499"/>
      <c r="CD1" s="499"/>
      <c r="CE1" s="499"/>
      <c r="CF1" s="499"/>
      <c r="CG1" s="499"/>
      <c r="CH1" s="499"/>
      <c r="CI1" s="499"/>
      <c r="CJ1" s="499"/>
      <c r="CK1" s="499"/>
      <c r="CL1" s="499"/>
      <c r="CM1" s="499"/>
      <c r="CN1" s="499"/>
      <c r="CO1" s="499"/>
      <c r="CP1" s="499"/>
      <c r="CQ1" s="499"/>
      <c r="CR1" s="499"/>
      <c r="CS1" s="499"/>
      <c r="CT1" s="499"/>
      <c r="CU1" s="499"/>
      <c r="CV1" s="499"/>
      <c r="CW1" s="499"/>
      <c r="CX1" s="499"/>
      <c r="CY1" s="499"/>
      <c r="CZ1" s="499"/>
      <c r="DA1" s="499"/>
      <c r="DB1" s="499"/>
      <c r="DC1" s="499"/>
      <c r="DD1" s="499"/>
      <c r="DE1" s="499"/>
      <c r="DF1" s="499"/>
      <c r="DG1" s="499"/>
      <c r="DH1" s="499"/>
      <c r="DI1" s="499"/>
      <c r="DJ1" s="499"/>
      <c r="DK1" s="499"/>
      <c r="DL1" s="499"/>
      <c r="DM1" s="499"/>
      <c r="DN1" s="499"/>
      <c r="DO1" s="499"/>
      <c r="DP1" s="499"/>
      <c r="DQ1" s="499"/>
      <c r="DR1" s="499"/>
      <c r="DS1" s="499"/>
      <c r="DT1" s="499"/>
      <c r="DU1" s="499"/>
      <c r="DV1" s="499"/>
      <c r="DW1" s="499"/>
      <c r="DX1" s="499"/>
      <c r="DY1" s="499"/>
      <c r="DZ1" s="499"/>
      <c r="EA1" s="499"/>
      <c r="EB1" s="499"/>
      <c r="EC1" s="499"/>
      <c r="ED1" s="499"/>
      <c r="EE1" s="499"/>
      <c r="EF1" s="499"/>
      <c r="EG1" s="499"/>
      <c r="EH1" s="499"/>
      <c r="EI1" s="499"/>
      <c r="EJ1" s="499"/>
      <c r="EK1" s="499"/>
      <c r="EL1" s="499"/>
      <c r="EM1" s="499"/>
      <c r="EN1" s="499"/>
      <c r="EO1" s="499"/>
      <c r="EP1" s="499"/>
      <c r="EQ1" s="499"/>
      <c r="ER1" s="499"/>
      <c r="ES1" s="499"/>
      <c r="ET1" s="499"/>
      <c r="EU1" s="499"/>
      <c r="EV1" s="499"/>
      <c r="EW1" s="499"/>
      <c r="EX1" s="499"/>
      <c r="EY1" s="499"/>
      <c r="EZ1" s="499"/>
      <c r="FA1" s="499"/>
      <c r="FB1" s="499"/>
      <c r="FC1" s="499"/>
      <c r="FD1" s="499"/>
      <c r="FE1" s="499"/>
      <c r="FF1" s="499"/>
      <c r="FG1" s="499"/>
      <c r="FH1" s="499"/>
      <c r="FI1" s="499"/>
      <c r="FJ1" s="499"/>
      <c r="FK1" s="499"/>
      <c r="FL1" s="499"/>
      <c r="FM1" s="499"/>
      <c r="FN1" s="499"/>
      <c r="FO1" s="499"/>
      <c r="FP1" s="499"/>
      <c r="FQ1" s="499"/>
      <c r="FR1" s="499"/>
      <c r="FS1" s="499"/>
      <c r="FT1" s="499"/>
      <c r="FU1" s="499"/>
      <c r="FV1" s="499"/>
      <c r="FW1" s="499"/>
      <c r="FX1" s="499"/>
      <c r="FY1" s="499"/>
      <c r="FZ1" s="499"/>
      <c r="GA1" s="499"/>
      <c r="GB1" s="499"/>
      <c r="GC1" s="499"/>
      <c r="GD1" s="499"/>
      <c r="GE1" s="499"/>
      <c r="GF1" s="499"/>
      <c r="GG1" s="499"/>
      <c r="GH1" s="499"/>
      <c r="GI1" s="499"/>
      <c r="GJ1" s="499"/>
      <c r="GK1" s="499"/>
      <c r="GL1" s="499"/>
      <c r="GM1" s="499"/>
      <c r="GN1" s="499"/>
      <c r="GO1" s="499"/>
      <c r="GP1" s="499"/>
      <c r="GQ1" s="499"/>
      <c r="GR1" s="499"/>
      <c r="GS1" s="499"/>
      <c r="GT1" s="499"/>
      <c r="GU1" s="499"/>
      <c r="GV1" s="499"/>
      <c r="GW1" s="499"/>
      <c r="GX1" s="499"/>
      <c r="GY1" s="499"/>
      <c r="GZ1" s="499"/>
      <c r="HA1" s="499"/>
      <c r="HB1" s="499"/>
      <c r="HC1" s="499"/>
      <c r="HD1" s="499"/>
      <c r="HE1" s="499"/>
      <c r="HF1" s="499"/>
      <c r="HG1" s="499"/>
      <c r="HH1" s="499"/>
      <c r="HI1" s="499"/>
      <c r="HJ1" s="499"/>
      <c r="HK1" s="499"/>
      <c r="HL1" s="499"/>
      <c r="HM1" s="499"/>
      <c r="HN1" s="499"/>
      <c r="HO1" s="499"/>
      <c r="HP1" s="499"/>
      <c r="HQ1" s="499"/>
      <c r="HR1" s="499"/>
      <c r="HS1" s="499"/>
      <c r="HT1" s="499"/>
      <c r="HU1" s="499"/>
    </row>
    <row r="2" spans="1:229" ht="15.75" customHeight="1" x14ac:dyDescent="0.25">
      <c r="A2" s="454"/>
      <c r="B2" s="454"/>
      <c r="C2" s="454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  <c r="BV2" s="499"/>
      <c r="BW2" s="499"/>
      <c r="BX2" s="499"/>
      <c r="BY2" s="499"/>
      <c r="BZ2" s="499"/>
      <c r="CA2" s="499"/>
      <c r="CB2" s="499"/>
      <c r="CC2" s="499"/>
      <c r="CD2" s="499"/>
      <c r="CE2" s="499"/>
      <c r="CF2" s="499"/>
      <c r="CG2" s="499"/>
      <c r="CH2" s="499"/>
      <c r="CI2" s="499"/>
      <c r="CJ2" s="499"/>
      <c r="CK2" s="499"/>
      <c r="CL2" s="499"/>
      <c r="CM2" s="499"/>
      <c r="CN2" s="499"/>
      <c r="CO2" s="499"/>
      <c r="CP2" s="499"/>
      <c r="CQ2" s="499"/>
      <c r="CR2" s="499"/>
      <c r="CS2" s="499"/>
      <c r="CT2" s="499"/>
      <c r="CU2" s="499"/>
      <c r="CV2" s="499"/>
      <c r="CW2" s="499"/>
      <c r="CX2" s="499"/>
      <c r="CY2" s="499"/>
      <c r="CZ2" s="499"/>
      <c r="DA2" s="499"/>
      <c r="DB2" s="499"/>
      <c r="DC2" s="499"/>
      <c r="DD2" s="499"/>
      <c r="DE2" s="499"/>
      <c r="DF2" s="499"/>
      <c r="DG2" s="499"/>
      <c r="DH2" s="499"/>
      <c r="DI2" s="499"/>
      <c r="DJ2" s="499"/>
      <c r="DK2" s="499"/>
      <c r="DL2" s="499"/>
      <c r="DM2" s="499"/>
      <c r="DN2" s="499"/>
      <c r="DO2" s="499"/>
      <c r="DP2" s="499"/>
      <c r="DQ2" s="499"/>
      <c r="DR2" s="499"/>
      <c r="DS2" s="499"/>
      <c r="DT2" s="499"/>
      <c r="DU2" s="499"/>
      <c r="DV2" s="499"/>
      <c r="DW2" s="499"/>
      <c r="DX2" s="499"/>
      <c r="DY2" s="499"/>
      <c r="DZ2" s="499"/>
      <c r="EA2" s="499"/>
      <c r="EB2" s="499"/>
      <c r="EC2" s="499"/>
      <c r="ED2" s="499"/>
      <c r="EE2" s="499"/>
      <c r="EF2" s="499"/>
      <c r="EG2" s="499"/>
      <c r="EH2" s="499"/>
      <c r="EI2" s="499"/>
      <c r="EJ2" s="499"/>
      <c r="EK2" s="499"/>
      <c r="EL2" s="499"/>
      <c r="EM2" s="499"/>
      <c r="EN2" s="499"/>
      <c r="EO2" s="499"/>
      <c r="EP2" s="499"/>
      <c r="EQ2" s="499"/>
      <c r="ER2" s="499"/>
      <c r="ES2" s="499"/>
      <c r="ET2" s="499"/>
      <c r="EU2" s="499"/>
      <c r="EV2" s="499"/>
      <c r="EW2" s="499"/>
      <c r="EX2" s="499"/>
      <c r="EY2" s="499"/>
      <c r="EZ2" s="499"/>
      <c r="FA2" s="499"/>
      <c r="FB2" s="499"/>
      <c r="FC2" s="499"/>
      <c r="FD2" s="499"/>
      <c r="FE2" s="499"/>
      <c r="FF2" s="499"/>
      <c r="FG2" s="499"/>
      <c r="FH2" s="499"/>
      <c r="FI2" s="499"/>
      <c r="FJ2" s="499"/>
      <c r="FK2" s="499"/>
      <c r="FL2" s="499"/>
      <c r="FM2" s="499"/>
      <c r="FN2" s="499"/>
      <c r="FO2" s="499"/>
      <c r="FP2" s="499"/>
      <c r="FQ2" s="499"/>
      <c r="FR2" s="499"/>
      <c r="FS2" s="499"/>
      <c r="FT2" s="499"/>
      <c r="FU2" s="499"/>
      <c r="FV2" s="499"/>
      <c r="FW2" s="499"/>
      <c r="FX2" s="499"/>
      <c r="FY2" s="499"/>
      <c r="FZ2" s="499"/>
      <c r="GA2" s="499"/>
      <c r="GB2" s="499"/>
      <c r="GC2" s="499"/>
      <c r="GD2" s="499"/>
      <c r="GE2" s="499"/>
      <c r="GF2" s="499"/>
      <c r="GG2" s="499"/>
      <c r="GH2" s="499"/>
      <c r="GI2" s="499"/>
      <c r="GJ2" s="499"/>
      <c r="GK2" s="499"/>
      <c r="GL2" s="499"/>
      <c r="GM2" s="499"/>
      <c r="GN2" s="499"/>
      <c r="GO2" s="499"/>
      <c r="GP2" s="499"/>
      <c r="GQ2" s="499"/>
      <c r="GR2" s="499"/>
      <c r="GS2" s="499"/>
      <c r="GT2" s="499"/>
      <c r="GU2" s="499"/>
      <c r="GV2" s="499"/>
      <c r="GW2" s="499"/>
      <c r="GX2" s="499"/>
      <c r="GY2" s="499"/>
      <c r="GZ2" s="499"/>
      <c r="HA2" s="499"/>
      <c r="HB2" s="499"/>
      <c r="HC2" s="499"/>
      <c r="HD2" s="499"/>
      <c r="HE2" s="499"/>
      <c r="HF2" s="499"/>
      <c r="HG2" s="499"/>
      <c r="HH2" s="499"/>
      <c r="HI2" s="499"/>
      <c r="HJ2" s="499"/>
      <c r="HK2" s="499"/>
      <c r="HL2" s="499"/>
      <c r="HM2" s="499"/>
      <c r="HN2" s="499"/>
      <c r="HO2" s="499"/>
      <c r="HP2" s="499"/>
      <c r="HQ2" s="499"/>
      <c r="HR2" s="499"/>
      <c r="HS2" s="499"/>
      <c r="HT2" s="499"/>
      <c r="HU2" s="499"/>
    </row>
    <row r="3" spans="1:229" ht="15.75" customHeight="1" x14ac:dyDescent="0.25">
      <c r="A3" s="454"/>
      <c r="B3" s="454"/>
      <c r="C3" s="454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  <c r="AO3" s="499"/>
      <c r="AP3" s="499"/>
      <c r="AQ3" s="499"/>
      <c r="AR3" s="499"/>
      <c r="AS3" s="499"/>
      <c r="AT3" s="499"/>
      <c r="AU3" s="499"/>
      <c r="AV3" s="499"/>
      <c r="AW3" s="499"/>
      <c r="AX3" s="499"/>
      <c r="AY3" s="499"/>
      <c r="AZ3" s="499"/>
      <c r="BA3" s="499"/>
      <c r="BB3" s="499"/>
      <c r="BC3" s="499"/>
      <c r="BD3" s="499"/>
      <c r="BE3" s="499"/>
      <c r="BF3" s="499"/>
      <c r="BG3" s="499"/>
      <c r="BH3" s="499"/>
      <c r="BI3" s="499"/>
      <c r="BJ3" s="499"/>
      <c r="BK3" s="499"/>
      <c r="BL3" s="499"/>
      <c r="BM3" s="499"/>
      <c r="BN3" s="499"/>
      <c r="BO3" s="499"/>
      <c r="BP3" s="499"/>
      <c r="BQ3" s="499"/>
      <c r="BR3" s="499"/>
      <c r="BS3" s="499"/>
      <c r="BT3" s="499"/>
      <c r="BU3" s="499"/>
      <c r="BV3" s="499"/>
      <c r="BW3" s="499"/>
      <c r="BX3" s="499"/>
      <c r="BY3" s="499"/>
      <c r="BZ3" s="499"/>
      <c r="CA3" s="499"/>
      <c r="CB3" s="499"/>
      <c r="CC3" s="499"/>
      <c r="CD3" s="499"/>
      <c r="CE3" s="499"/>
      <c r="CF3" s="499"/>
      <c r="CG3" s="499"/>
      <c r="CH3" s="499"/>
      <c r="CI3" s="499"/>
      <c r="CJ3" s="499"/>
      <c r="CK3" s="499"/>
      <c r="CL3" s="499"/>
      <c r="CM3" s="499"/>
      <c r="CN3" s="499"/>
      <c r="CO3" s="499"/>
      <c r="CP3" s="499"/>
      <c r="CQ3" s="499"/>
      <c r="CR3" s="499"/>
      <c r="CS3" s="499"/>
      <c r="CT3" s="499"/>
      <c r="CU3" s="499"/>
      <c r="CV3" s="499"/>
      <c r="CW3" s="499"/>
      <c r="CX3" s="499"/>
      <c r="CY3" s="499"/>
      <c r="CZ3" s="499"/>
      <c r="DA3" s="499"/>
      <c r="DB3" s="499"/>
      <c r="DC3" s="499"/>
      <c r="DD3" s="499"/>
      <c r="DE3" s="499"/>
      <c r="DF3" s="499"/>
      <c r="DG3" s="499"/>
      <c r="DH3" s="499"/>
      <c r="DI3" s="499"/>
      <c r="DJ3" s="499"/>
      <c r="DK3" s="499"/>
      <c r="DL3" s="499"/>
      <c r="DM3" s="499"/>
      <c r="DN3" s="499"/>
      <c r="DO3" s="499"/>
      <c r="DP3" s="499"/>
      <c r="DQ3" s="499"/>
      <c r="DR3" s="499"/>
      <c r="DS3" s="499"/>
      <c r="DT3" s="499"/>
      <c r="DU3" s="499"/>
      <c r="DV3" s="499"/>
      <c r="DW3" s="499"/>
      <c r="DX3" s="499"/>
      <c r="DY3" s="499"/>
      <c r="DZ3" s="499"/>
      <c r="EA3" s="499"/>
      <c r="EB3" s="499"/>
      <c r="EC3" s="499"/>
      <c r="ED3" s="499"/>
      <c r="EE3" s="499"/>
      <c r="EF3" s="499"/>
      <c r="EG3" s="499"/>
      <c r="EH3" s="499"/>
      <c r="EI3" s="499"/>
      <c r="EJ3" s="499"/>
      <c r="EK3" s="499"/>
      <c r="EL3" s="499"/>
      <c r="EM3" s="499"/>
      <c r="EN3" s="499"/>
      <c r="EO3" s="499"/>
      <c r="EP3" s="499"/>
      <c r="EQ3" s="499"/>
      <c r="ER3" s="499"/>
      <c r="ES3" s="499"/>
      <c r="ET3" s="499"/>
      <c r="EU3" s="499"/>
      <c r="EV3" s="499"/>
      <c r="EW3" s="499"/>
      <c r="EX3" s="499"/>
      <c r="EY3" s="499"/>
      <c r="EZ3" s="499"/>
      <c r="FA3" s="499"/>
      <c r="FB3" s="499"/>
      <c r="FC3" s="499"/>
      <c r="FD3" s="499"/>
      <c r="FE3" s="499"/>
      <c r="FF3" s="499"/>
      <c r="FG3" s="499"/>
      <c r="FH3" s="499"/>
      <c r="FI3" s="499"/>
      <c r="FJ3" s="499"/>
      <c r="FK3" s="499"/>
      <c r="FL3" s="499"/>
      <c r="FM3" s="499"/>
      <c r="FN3" s="499"/>
      <c r="FO3" s="499"/>
      <c r="FP3" s="499"/>
      <c r="FQ3" s="499"/>
      <c r="FR3" s="499"/>
      <c r="FS3" s="499"/>
      <c r="FT3" s="499"/>
      <c r="FU3" s="499"/>
      <c r="FV3" s="499"/>
      <c r="FW3" s="499"/>
      <c r="FX3" s="499"/>
      <c r="FY3" s="499"/>
      <c r="FZ3" s="499"/>
      <c r="GA3" s="499"/>
      <c r="GB3" s="499"/>
      <c r="GC3" s="499"/>
      <c r="GD3" s="499"/>
      <c r="GE3" s="499"/>
      <c r="GF3" s="499"/>
      <c r="GG3" s="499"/>
      <c r="GH3" s="499"/>
      <c r="GI3" s="499"/>
      <c r="GJ3" s="499"/>
      <c r="GK3" s="499"/>
      <c r="GL3" s="499"/>
      <c r="GM3" s="499"/>
      <c r="GN3" s="499"/>
      <c r="GO3" s="499"/>
      <c r="GP3" s="499"/>
      <c r="GQ3" s="499"/>
      <c r="GR3" s="499"/>
      <c r="GS3" s="499"/>
      <c r="GT3" s="499"/>
      <c r="GU3" s="499"/>
      <c r="GV3" s="499"/>
      <c r="GW3" s="499"/>
      <c r="GX3" s="499"/>
      <c r="GY3" s="499"/>
      <c r="GZ3" s="499"/>
      <c r="HA3" s="499"/>
      <c r="HB3" s="499"/>
      <c r="HC3" s="499"/>
      <c r="HD3" s="499"/>
      <c r="HE3" s="499"/>
      <c r="HF3" s="499"/>
      <c r="HG3" s="499"/>
      <c r="HH3" s="499"/>
      <c r="HI3" s="499"/>
      <c r="HJ3" s="499"/>
      <c r="HK3" s="499"/>
      <c r="HL3" s="499"/>
      <c r="HM3" s="499"/>
      <c r="HN3" s="499"/>
      <c r="HO3" s="499"/>
      <c r="HP3" s="499"/>
      <c r="HQ3" s="499"/>
      <c r="HR3" s="499"/>
      <c r="HS3" s="499"/>
      <c r="HT3" s="499"/>
      <c r="HU3" s="499"/>
    </row>
    <row r="4" spans="1:229" ht="15.75" customHeight="1" x14ac:dyDescent="0.25">
      <c r="A4" s="454"/>
      <c r="B4" s="454"/>
      <c r="C4" s="454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AS4" s="499"/>
      <c r="AT4" s="499"/>
      <c r="AU4" s="499"/>
      <c r="AV4" s="499"/>
      <c r="AW4" s="499"/>
      <c r="AX4" s="499"/>
      <c r="AY4" s="499"/>
      <c r="AZ4" s="499"/>
      <c r="BA4" s="499"/>
      <c r="BB4" s="499"/>
      <c r="BC4" s="499"/>
      <c r="BD4" s="499"/>
      <c r="BE4" s="499"/>
      <c r="BF4" s="499"/>
      <c r="BG4" s="499"/>
      <c r="BH4" s="499"/>
      <c r="BI4" s="499"/>
      <c r="BJ4" s="499"/>
      <c r="BK4" s="499"/>
      <c r="BL4" s="499"/>
      <c r="BM4" s="499"/>
      <c r="BN4" s="499"/>
      <c r="BO4" s="499"/>
      <c r="BP4" s="499"/>
      <c r="BQ4" s="499"/>
      <c r="BR4" s="499"/>
      <c r="BS4" s="499"/>
      <c r="BT4" s="499"/>
      <c r="BU4" s="499"/>
      <c r="BV4" s="499"/>
      <c r="BW4" s="499"/>
      <c r="BX4" s="499"/>
      <c r="BY4" s="499"/>
      <c r="BZ4" s="499"/>
      <c r="CA4" s="499"/>
      <c r="CB4" s="499"/>
      <c r="CC4" s="499"/>
      <c r="CD4" s="499"/>
      <c r="CE4" s="499"/>
      <c r="CF4" s="499"/>
      <c r="CG4" s="499"/>
      <c r="CH4" s="499"/>
      <c r="CI4" s="499"/>
      <c r="CJ4" s="499"/>
      <c r="CK4" s="499"/>
      <c r="CL4" s="499"/>
      <c r="CM4" s="499"/>
      <c r="CN4" s="499"/>
      <c r="CO4" s="499"/>
      <c r="CP4" s="499"/>
      <c r="CQ4" s="499"/>
      <c r="CR4" s="499"/>
      <c r="CS4" s="499"/>
      <c r="CT4" s="499"/>
      <c r="CU4" s="499"/>
      <c r="CV4" s="499"/>
      <c r="CW4" s="499"/>
      <c r="CX4" s="499"/>
      <c r="CY4" s="499"/>
      <c r="CZ4" s="499"/>
      <c r="DA4" s="499"/>
      <c r="DB4" s="499"/>
      <c r="DC4" s="499"/>
      <c r="DD4" s="499"/>
      <c r="DE4" s="499"/>
      <c r="DF4" s="499"/>
      <c r="DG4" s="499"/>
      <c r="DH4" s="499"/>
      <c r="DI4" s="499"/>
      <c r="DJ4" s="499"/>
      <c r="DK4" s="499"/>
      <c r="DL4" s="499"/>
      <c r="DM4" s="499"/>
      <c r="DN4" s="499"/>
      <c r="DO4" s="499"/>
      <c r="DP4" s="499"/>
      <c r="DQ4" s="499"/>
      <c r="DR4" s="499"/>
      <c r="DS4" s="499"/>
      <c r="DT4" s="499"/>
      <c r="DU4" s="499"/>
      <c r="DV4" s="499"/>
      <c r="DW4" s="499"/>
      <c r="DX4" s="499"/>
      <c r="DY4" s="499"/>
      <c r="DZ4" s="499"/>
      <c r="EA4" s="499"/>
      <c r="EB4" s="499"/>
      <c r="EC4" s="499"/>
      <c r="ED4" s="499"/>
      <c r="EE4" s="499"/>
      <c r="EF4" s="499"/>
      <c r="EG4" s="499"/>
      <c r="EH4" s="499"/>
      <c r="EI4" s="499"/>
      <c r="EJ4" s="499"/>
      <c r="EK4" s="499"/>
      <c r="EL4" s="499"/>
      <c r="EM4" s="499"/>
      <c r="EN4" s="499"/>
      <c r="EO4" s="499"/>
      <c r="EP4" s="499"/>
      <c r="EQ4" s="499"/>
      <c r="ER4" s="499"/>
      <c r="ES4" s="499"/>
      <c r="ET4" s="499"/>
      <c r="EU4" s="499"/>
      <c r="EV4" s="499"/>
      <c r="EW4" s="499"/>
      <c r="EX4" s="499"/>
      <c r="EY4" s="499"/>
      <c r="EZ4" s="499"/>
      <c r="FA4" s="499"/>
      <c r="FB4" s="499"/>
      <c r="FC4" s="499"/>
      <c r="FD4" s="499"/>
      <c r="FE4" s="499"/>
      <c r="FF4" s="499"/>
      <c r="FG4" s="499"/>
      <c r="FH4" s="499"/>
      <c r="FI4" s="499"/>
      <c r="FJ4" s="499"/>
      <c r="FK4" s="499"/>
      <c r="FL4" s="499"/>
      <c r="FM4" s="499"/>
      <c r="FN4" s="499"/>
      <c r="FO4" s="499"/>
      <c r="FP4" s="499"/>
      <c r="FQ4" s="499"/>
      <c r="FR4" s="499"/>
      <c r="FS4" s="499"/>
      <c r="FT4" s="499"/>
      <c r="FU4" s="499"/>
      <c r="FV4" s="499"/>
      <c r="FW4" s="499"/>
      <c r="FX4" s="499"/>
      <c r="FY4" s="499"/>
      <c r="FZ4" s="499"/>
      <c r="GA4" s="499"/>
      <c r="GB4" s="499"/>
      <c r="GC4" s="499"/>
      <c r="GD4" s="499"/>
      <c r="GE4" s="499"/>
      <c r="GF4" s="499"/>
      <c r="GG4" s="499"/>
      <c r="GH4" s="499"/>
      <c r="GI4" s="499"/>
      <c r="GJ4" s="499"/>
      <c r="GK4" s="499"/>
      <c r="GL4" s="499"/>
      <c r="GM4" s="499"/>
      <c r="GN4" s="499"/>
      <c r="GO4" s="499"/>
      <c r="GP4" s="499"/>
      <c r="GQ4" s="499"/>
      <c r="GR4" s="499"/>
      <c r="GS4" s="499"/>
      <c r="GT4" s="499"/>
      <c r="GU4" s="499"/>
      <c r="GV4" s="499"/>
      <c r="GW4" s="499"/>
      <c r="GX4" s="499"/>
      <c r="GY4" s="499"/>
      <c r="GZ4" s="499"/>
      <c r="HA4" s="499"/>
      <c r="HB4" s="499"/>
      <c r="HC4" s="499"/>
      <c r="HD4" s="499"/>
      <c r="HE4" s="499"/>
      <c r="HF4" s="499"/>
      <c r="HG4" s="499"/>
      <c r="HH4" s="499"/>
      <c r="HI4" s="499"/>
      <c r="HJ4" s="499"/>
      <c r="HK4" s="499"/>
      <c r="HL4" s="499"/>
      <c r="HM4" s="499"/>
      <c r="HN4" s="499"/>
      <c r="HO4" s="499"/>
      <c r="HP4" s="499"/>
      <c r="HQ4" s="499"/>
      <c r="HR4" s="499"/>
      <c r="HS4" s="499"/>
      <c r="HT4" s="499"/>
      <c r="HU4" s="499"/>
    </row>
    <row r="5" spans="1:229" ht="15.75" customHeight="1" x14ac:dyDescent="0.25">
      <c r="A5" s="454"/>
      <c r="B5" s="454"/>
      <c r="C5" s="454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  <c r="AO5" s="499"/>
      <c r="AP5" s="499"/>
      <c r="AQ5" s="499"/>
      <c r="AR5" s="499"/>
      <c r="AS5" s="499"/>
      <c r="AT5" s="499"/>
      <c r="AU5" s="499"/>
      <c r="AV5" s="499"/>
      <c r="AW5" s="499"/>
      <c r="AX5" s="499"/>
      <c r="AY5" s="499"/>
      <c r="AZ5" s="499"/>
      <c r="BA5" s="499"/>
      <c r="BB5" s="499"/>
      <c r="BC5" s="499"/>
      <c r="BD5" s="499"/>
      <c r="BE5" s="499"/>
      <c r="BF5" s="499"/>
      <c r="BG5" s="499"/>
      <c r="BH5" s="499"/>
      <c r="BI5" s="499"/>
      <c r="BJ5" s="499"/>
      <c r="BK5" s="499"/>
      <c r="BL5" s="499"/>
      <c r="BM5" s="499"/>
      <c r="BN5" s="499"/>
      <c r="BO5" s="499"/>
      <c r="BP5" s="499"/>
      <c r="BQ5" s="499"/>
      <c r="BR5" s="499"/>
      <c r="BS5" s="499"/>
      <c r="BT5" s="499"/>
      <c r="BU5" s="499"/>
      <c r="BV5" s="499"/>
      <c r="BW5" s="499"/>
      <c r="BX5" s="499"/>
      <c r="BY5" s="499"/>
      <c r="BZ5" s="499"/>
      <c r="CA5" s="499"/>
      <c r="CB5" s="499"/>
      <c r="CC5" s="499"/>
      <c r="CD5" s="499"/>
      <c r="CE5" s="499"/>
      <c r="CF5" s="499"/>
      <c r="CG5" s="499"/>
      <c r="CH5" s="499"/>
      <c r="CI5" s="499"/>
      <c r="CJ5" s="499"/>
      <c r="CK5" s="499"/>
      <c r="CL5" s="499"/>
      <c r="CM5" s="499"/>
      <c r="CN5" s="499"/>
      <c r="CO5" s="499"/>
      <c r="CP5" s="499"/>
      <c r="CQ5" s="499"/>
      <c r="CR5" s="499"/>
      <c r="CS5" s="499"/>
      <c r="CT5" s="499"/>
      <c r="CU5" s="499"/>
      <c r="CV5" s="499"/>
      <c r="CW5" s="499"/>
      <c r="CX5" s="499"/>
      <c r="CY5" s="499"/>
      <c r="CZ5" s="499"/>
      <c r="DA5" s="499"/>
      <c r="DB5" s="499"/>
      <c r="DC5" s="499"/>
      <c r="DD5" s="499"/>
      <c r="DE5" s="499"/>
      <c r="DF5" s="499"/>
      <c r="DG5" s="499"/>
      <c r="DH5" s="499"/>
      <c r="DI5" s="499"/>
      <c r="DJ5" s="499"/>
      <c r="DK5" s="499"/>
      <c r="DL5" s="499"/>
      <c r="DM5" s="499"/>
      <c r="DN5" s="499"/>
      <c r="DO5" s="499"/>
      <c r="DP5" s="499"/>
      <c r="DQ5" s="499"/>
      <c r="DR5" s="499"/>
      <c r="DS5" s="499"/>
      <c r="DT5" s="499"/>
      <c r="DU5" s="499"/>
      <c r="DV5" s="499"/>
      <c r="DW5" s="499"/>
      <c r="DX5" s="499"/>
      <c r="DY5" s="499"/>
      <c r="DZ5" s="499"/>
      <c r="EA5" s="499"/>
      <c r="EB5" s="499"/>
      <c r="EC5" s="499"/>
      <c r="ED5" s="499"/>
      <c r="EE5" s="499"/>
      <c r="EF5" s="499"/>
      <c r="EG5" s="499"/>
      <c r="EH5" s="499"/>
      <c r="EI5" s="499"/>
      <c r="EJ5" s="499"/>
      <c r="EK5" s="499"/>
      <c r="EL5" s="499"/>
      <c r="EM5" s="499"/>
      <c r="EN5" s="499"/>
      <c r="EO5" s="499"/>
      <c r="EP5" s="499"/>
      <c r="EQ5" s="499"/>
      <c r="ER5" s="499"/>
      <c r="ES5" s="499"/>
      <c r="ET5" s="499"/>
      <c r="EU5" s="499"/>
      <c r="EV5" s="499"/>
      <c r="EW5" s="499"/>
      <c r="EX5" s="499"/>
      <c r="EY5" s="499"/>
      <c r="EZ5" s="499"/>
      <c r="FA5" s="499"/>
      <c r="FB5" s="499"/>
      <c r="FC5" s="499"/>
      <c r="FD5" s="499"/>
      <c r="FE5" s="499"/>
      <c r="FF5" s="499"/>
      <c r="FG5" s="499"/>
      <c r="FH5" s="499"/>
      <c r="FI5" s="499"/>
      <c r="FJ5" s="499"/>
      <c r="FK5" s="499"/>
      <c r="FL5" s="499"/>
      <c r="FM5" s="499"/>
      <c r="FN5" s="499"/>
      <c r="FO5" s="499"/>
      <c r="FP5" s="499"/>
      <c r="FQ5" s="499"/>
      <c r="FR5" s="499"/>
      <c r="FS5" s="499"/>
      <c r="FT5" s="499"/>
      <c r="FU5" s="499"/>
      <c r="FV5" s="499"/>
      <c r="FW5" s="499"/>
      <c r="FX5" s="499"/>
      <c r="FY5" s="499"/>
      <c r="FZ5" s="499"/>
      <c r="GA5" s="499"/>
      <c r="GB5" s="499"/>
      <c r="GC5" s="499"/>
      <c r="GD5" s="499"/>
      <c r="GE5" s="499"/>
      <c r="GF5" s="499"/>
      <c r="GG5" s="499"/>
      <c r="GH5" s="499"/>
      <c r="GI5" s="499"/>
      <c r="GJ5" s="499"/>
      <c r="GK5" s="499"/>
      <c r="GL5" s="499"/>
      <c r="GM5" s="499"/>
      <c r="GN5" s="499"/>
      <c r="GO5" s="499"/>
      <c r="GP5" s="499"/>
      <c r="GQ5" s="499"/>
      <c r="GR5" s="499"/>
      <c r="GS5" s="499"/>
      <c r="GT5" s="499"/>
      <c r="GU5" s="499"/>
      <c r="GV5" s="499"/>
      <c r="GW5" s="499"/>
      <c r="GX5" s="499"/>
      <c r="GY5" s="499"/>
      <c r="GZ5" s="499"/>
      <c r="HA5" s="499"/>
      <c r="HB5" s="499"/>
      <c r="HC5" s="499"/>
      <c r="HD5" s="499"/>
      <c r="HE5" s="499"/>
      <c r="HF5" s="499"/>
      <c r="HG5" s="499"/>
      <c r="HH5" s="499"/>
      <c r="HI5" s="499"/>
      <c r="HJ5" s="499"/>
      <c r="HK5" s="499"/>
      <c r="HL5" s="499"/>
      <c r="HM5" s="499"/>
      <c r="HN5" s="499"/>
      <c r="HO5" s="499"/>
      <c r="HP5" s="499"/>
      <c r="HQ5" s="499"/>
      <c r="HR5" s="499"/>
      <c r="HS5" s="499"/>
      <c r="HT5" s="499"/>
      <c r="HU5" s="499"/>
    </row>
    <row r="6" spans="1:229" ht="15.75" thickBot="1" x14ac:dyDescent="0.3"/>
    <row r="7" spans="1:229" ht="17.100000000000001" customHeight="1" thickBot="1" x14ac:dyDescent="0.3">
      <c r="A7" s="456" t="s">
        <v>18</v>
      </c>
      <c r="B7" s="458" t="s">
        <v>14</v>
      </c>
      <c r="C7" s="458" t="s">
        <v>27</v>
      </c>
      <c r="D7" s="503" t="s">
        <v>0</v>
      </c>
      <c r="E7" s="490" t="s">
        <v>25</v>
      </c>
      <c r="F7" s="463"/>
      <c r="G7" s="463"/>
      <c r="H7" s="463"/>
      <c r="I7" s="463"/>
      <c r="J7" s="463"/>
      <c r="K7" s="463"/>
      <c r="L7" s="463"/>
      <c r="M7" s="491"/>
      <c r="N7" s="127"/>
      <c r="O7" s="490" t="s">
        <v>73</v>
      </c>
      <c r="P7" s="463"/>
      <c r="Q7" s="463"/>
      <c r="R7" s="463"/>
      <c r="S7" s="463"/>
      <c r="T7" s="463"/>
      <c r="U7" s="463"/>
      <c r="V7" s="463"/>
      <c r="W7" s="463"/>
      <c r="X7" s="463"/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3"/>
      <c r="AO7" s="463"/>
      <c r="AP7" s="463"/>
      <c r="AQ7" s="127"/>
      <c r="AR7" s="490" t="s">
        <v>76</v>
      </c>
      <c r="AS7" s="463"/>
      <c r="AT7" s="463"/>
      <c r="AU7" s="463"/>
      <c r="AV7" s="463"/>
      <c r="AW7" s="463"/>
      <c r="AX7" s="463"/>
      <c r="AY7" s="463"/>
      <c r="AZ7" s="463"/>
      <c r="BA7" s="463"/>
      <c r="BB7" s="463"/>
      <c r="BC7" s="463"/>
      <c r="BD7" s="463"/>
      <c r="BE7" s="463"/>
      <c r="BF7" s="463"/>
      <c r="BG7" s="463"/>
      <c r="BH7" s="463"/>
      <c r="BI7" s="463"/>
      <c r="BJ7" s="463"/>
      <c r="BK7" s="463"/>
      <c r="BL7" s="463"/>
      <c r="BM7" s="463"/>
      <c r="BN7" s="463"/>
      <c r="BO7" s="463"/>
      <c r="BP7" s="463"/>
      <c r="BQ7" s="463"/>
      <c r="BR7" s="463"/>
      <c r="BS7" s="463"/>
      <c r="BT7" s="463"/>
      <c r="BU7" s="463"/>
      <c r="BV7" s="463"/>
      <c r="BW7" s="127"/>
      <c r="BX7" s="490" t="s">
        <v>105</v>
      </c>
      <c r="BY7" s="463"/>
      <c r="BZ7" s="463"/>
      <c r="CA7" s="463"/>
      <c r="CB7" s="463"/>
      <c r="CC7" s="463"/>
      <c r="CD7" s="463"/>
      <c r="CE7" s="463"/>
      <c r="CF7" s="463"/>
      <c r="CG7" s="463"/>
      <c r="CH7" s="463"/>
      <c r="CI7" s="463"/>
      <c r="CJ7" s="463"/>
      <c r="CK7" s="463"/>
      <c r="CL7" s="463"/>
      <c r="CM7" s="463"/>
      <c r="CN7" s="463"/>
      <c r="CO7" s="463"/>
      <c r="CP7" s="463"/>
      <c r="CQ7" s="463"/>
      <c r="CR7" s="463"/>
      <c r="CS7" s="463"/>
      <c r="CT7" s="463"/>
      <c r="CU7" s="463"/>
      <c r="CV7" s="463"/>
      <c r="CW7" s="463"/>
      <c r="CX7" s="463"/>
      <c r="CY7" s="463"/>
      <c r="CZ7" s="463"/>
      <c r="DA7" s="463"/>
      <c r="DB7" s="490" t="s">
        <v>111</v>
      </c>
      <c r="DC7" s="463"/>
      <c r="DD7" s="463"/>
      <c r="DE7" s="463"/>
      <c r="DF7" s="463"/>
      <c r="DG7" s="463"/>
      <c r="DH7" s="463"/>
      <c r="DI7" s="463"/>
      <c r="DJ7" s="463"/>
      <c r="DK7" s="463"/>
      <c r="DL7" s="463"/>
      <c r="DM7" s="463"/>
      <c r="DN7" s="463"/>
      <c r="DO7" s="463"/>
      <c r="DP7" s="463"/>
      <c r="DQ7" s="463"/>
      <c r="DR7" s="463"/>
      <c r="DS7" s="463"/>
      <c r="DT7" s="463"/>
      <c r="DU7" s="463"/>
      <c r="DV7" s="463"/>
      <c r="DW7" s="463"/>
      <c r="DX7" s="463"/>
      <c r="DY7" s="463"/>
      <c r="DZ7" s="463"/>
      <c r="EA7" s="463"/>
      <c r="EB7" s="463"/>
      <c r="EC7" s="463"/>
      <c r="ED7" s="463"/>
      <c r="EE7" s="463"/>
      <c r="EF7" s="463"/>
      <c r="EG7" s="490" t="s">
        <v>117</v>
      </c>
      <c r="EH7" s="463"/>
      <c r="EI7" s="463"/>
      <c r="EJ7" s="463"/>
      <c r="EK7" s="463"/>
      <c r="EL7" s="463"/>
      <c r="EM7" s="463"/>
      <c r="EN7" s="463"/>
      <c r="EO7" s="463"/>
      <c r="EP7" s="463"/>
      <c r="EQ7" s="463"/>
      <c r="ER7" s="463"/>
      <c r="ES7" s="463"/>
      <c r="ET7" s="463"/>
      <c r="EU7" s="463"/>
      <c r="EV7" s="463"/>
      <c r="EW7" s="463"/>
      <c r="EX7" s="463"/>
      <c r="EY7" s="463"/>
      <c r="EZ7" s="463"/>
      <c r="FA7" s="463"/>
      <c r="FB7" s="463"/>
      <c r="FC7" s="463"/>
      <c r="FD7" s="463"/>
      <c r="FE7" s="463"/>
      <c r="FF7" s="463"/>
      <c r="FG7" s="463"/>
      <c r="FH7" s="463"/>
      <c r="FI7" s="463"/>
      <c r="FJ7" s="463"/>
      <c r="FK7" s="490" t="s">
        <v>134</v>
      </c>
      <c r="FL7" s="463"/>
      <c r="FM7" s="463"/>
      <c r="FN7" s="463"/>
      <c r="FO7" s="463"/>
      <c r="FP7" s="463"/>
      <c r="FQ7" s="463"/>
      <c r="FR7" s="463"/>
      <c r="FS7" s="463"/>
      <c r="FT7" s="463"/>
      <c r="FU7" s="463"/>
      <c r="FV7" s="463"/>
      <c r="FW7" s="463"/>
      <c r="FX7" s="463"/>
      <c r="FY7" s="463"/>
      <c r="FZ7" s="463"/>
      <c r="GA7" s="463"/>
      <c r="GB7" s="463"/>
      <c r="GC7" s="463"/>
      <c r="GD7" s="463"/>
      <c r="GE7" s="463"/>
      <c r="GF7" s="463"/>
      <c r="GG7" s="463"/>
      <c r="GH7" s="463"/>
      <c r="GI7" s="463"/>
      <c r="GJ7" s="463"/>
      <c r="GK7" s="463"/>
      <c r="GL7" s="463"/>
      <c r="GM7" s="463"/>
      <c r="GN7" s="463"/>
      <c r="GO7" s="463"/>
      <c r="GP7" s="490" t="s">
        <v>143</v>
      </c>
      <c r="GQ7" s="463"/>
      <c r="GR7" s="463"/>
      <c r="GS7" s="463"/>
      <c r="GT7" s="463"/>
      <c r="GU7" s="463"/>
      <c r="GV7" s="463"/>
      <c r="GW7" s="463"/>
      <c r="GX7" s="463"/>
      <c r="GY7" s="463"/>
      <c r="GZ7" s="463"/>
      <c r="HA7" s="463"/>
      <c r="HB7" s="463"/>
      <c r="HC7" s="463"/>
      <c r="HD7" s="463"/>
      <c r="HE7" s="463"/>
      <c r="HF7" s="463"/>
      <c r="HG7" s="463"/>
      <c r="HH7" s="463"/>
      <c r="HI7" s="463"/>
      <c r="HJ7" s="463"/>
      <c r="HK7" s="463"/>
      <c r="HL7" s="463"/>
      <c r="HM7" s="463"/>
      <c r="HN7" s="463"/>
      <c r="HO7" s="463"/>
      <c r="HP7" s="463"/>
      <c r="HQ7" s="463"/>
      <c r="HR7" s="463"/>
      <c r="HS7" s="463"/>
      <c r="HT7" s="491"/>
      <c r="HU7" s="277"/>
    </row>
    <row r="8" spans="1:229" s="1" customFormat="1" ht="18.600000000000001" customHeight="1" thickBot="1" x14ac:dyDescent="0.3">
      <c r="A8" s="457"/>
      <c r="B8" s="459"/>
      <c r="C8" s="459"/>
      <c r="D8" s="504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51" t="s">
        <v>26</v>
      </c>
      <c r="N8" s="145"/>
      <c r="O8" s="70">
        <v>46054</v>
      </c>
      <c r="P8" s="12">
        <v>46055</v>
      </c>
      <c r="Q8" s="12">
        <v>46056</v>
      </c>
      <c r="R8" s="12">
        <v>46057</v>
      </c>
      <c r="S8" s="12">
        <v>46058</v>
      </c>
      <c r="T8" s="12">
        <v>46059</v>
      </c>
      <c r="U8" s="12">
        <v>46060</v>
      </c>
      <c r="V8" s="12">
        <v>46061</v>
      </c>
      <c r="W8" s="12">
        <v>46062</v>
      </c>
      <c r="X8" s="12">
        <v>46063</v>
      </c>
      <c r="Y8" s="12">
        <v>46064</v>
      </c>
      <c r="Z8" s="12">
        <v>46065</v>
      </c>
      <c r="AA8" s="12">
        <v>46066</v>
      </c>
      <c r="AB8" s="12">
        <v>46067</v>
      </c>
      <c r="AC8" s="12">
        <v>46068</v>
      </c>
      <c r="AD8" s="12">
        <v>46069</v>
      </c>
      <c r="AE8" s="12">
        <v>46070</v>
      </c>
      <c r="AF8" s="12">
        <v>46071</v>
      </c>
      <c r="AG8" s="12">
        <v>46072</v>
      </c>
      <c r="AH8" s="12">
        <v>46073</v>
      </c>
      <c r="AI8" s="12">
        <v>46074</v>
      </c>
      <c r="AJ8" s="12">
        <v>46075</v>
      </c>
      <c r="AK8" s="12">
        <v>46076</v>
      </c>
      <c r="AL8" s="12">
        <v>46077</v>
      </c>
      <c r="AM8" s="12">
        <v>46078</v>
      </c>
      <c r="AN8" s="12">
        <v>46079</v>
      </c>
      <c r="AO8" s="12">
        <v>46080</v>
      </c>
      <c r="AP8" s="51">
        <v>46081</v>
      </c>
      <c r="AQ8" s="145"/>
      <c r="AR8" s="87">
        <v>46082</v>
      </c>
      <c r="AS8" s="14">
        <v>46083</v>
      </c>
      <c r="AT8" s="87">
        <v>46084</v>
      </c>
      <c r="AU8" s="14">
        <v>46085</v>
      </c>
      <c r="AV8" s="87">
        <v>46086</v>
      </c>
      <c r="AW8" s="14">
        <v>46087</v>
      </c>
      <c r="AX8" s="87">
        <v>46088</v>
      </c>
      <c r="AY8" s="14">
        <v>46089</v>
      </c>
      <c r="AZ8" s="87">
        <v>46090</v>
      </c>
      <c r="BA8" s="14">
        <v>46091</v>
      </c>
      <c r="BB8" s="87">
        <v>46092</v>
      </c>
      <c r="BC8" s="14">
        <v>46093</v>
      </c>
      <c r="BD8" s="87">
        <v>46094</v>
      </c>
      <c r="BE8" s="14">
        <v>46095</v>
      </c>
      <c r="BF8" s="87">
        <v>46096</v>
      </c>
      <c r="BG8" s="14">
        <v>46097</v>
      </c>
      <c r="BH8" s="87">
        <v>46098</v>
      </c>
      <c r="BI8" s="14">
        <v>46099</v>
      </c>
      <c r="BJ8" s="87">
        <v>46100</v>
      </c>
      <c r="BK8" s="14">
        <v>46101</v>
      </c>
      <c r="BL8" s="87">
        <v>46102</v>
      </c>
      <c r="BM8" s="14">
        <v>46103</v>
      </c>
      <c r="BN8" s="87">
        <v>46104</v>
      </c>
      <c r="BO8" s="14">
        <v>46105</v>
      </c>
      <c r="BP8" s="87">
        <v>46106</v>
      </c>
      <c r="BQ8" s="14">
        <v>46107</v>
      </c>
      <c r="BR8" s="87">
        <v>46108</v>
      </c>
      <c r="BS8" s="14">
        <v>46109</v>
      </c>
      <c r="BT8" s="87">
        <v>46110</v>
      </c>
      <c r="BU8" s="14">
        <v>46111</v>
      </c>
      <c r="BV8" s="87">
        <v>46112</v>
      </c>
      <c r="BW8" s="145"/>
      <c r="BX8" s="87">
        <v>46113</v>
      </c>
      <c r="BY8" s="14">
        <v>46114</v>
      </c>
      <c r="BZ8" s="87">
        <v>46115</v>
      </c>
      <c r="CA8" s="14">
        <v>46116</v>
      </c>
      <c r="CB8" s="87">
        <v>46117</v>
      </c>
      <c r="CC8" s="14">
        <v>46118</v>
      </c>
      <c r="CD8" s="87">
        <v>46119</v>
      </c>
      <c r="CE8" s="14">
        <v>46120</v>
      </c>
      <c r="CF8" s="87">
        <v>46121</v>
      </c>
      <c r="CG8" s="14">
        <v>46122</v>
      </c>
      <c r="CH8" s="87">
        <v>46123</v>
      </c>
      <c r="CI8" s="14">
        <v>46124</v>
      </c>
      <c r="CJ8" s="87">
        <v>46125</v>
      </c>
      <c r="CK8" s="14">
        <v>46126</v>
      </c>
      <c r="CL8" s="87">
        <v>46127</v>
      </c>
      <c r="CM8" s="14">
        <v>46128</v>
      </c>
      <c r="CN8" s="87">
        <v>46129</v>
      </c>
      <c r="CO8" s="14">
        <v>46130</v>
      </c>
      <c r="CP8" s="87">
        <v>46131</v>
      </c>
      <c r="CQ8" s="14">
        <v>46132</v>
      </c>
      <c r="CR8" s="87">
        <v>46133</v>
      </c>
      <c r="CS8" s="14">
        <v>46134</v>
      </c>
      <c r="CT8" s="87">
        <v>46135</v>
      </c>
      <c r="CU8" s="14">
        <v>46136</v>
      </c>
      <c r="CV8" s="87">
        <v>46137</v>
      </c>
      <c r="CW8" s="14">
        <v>46138</v>
      </c>
      <c r="CX8" s="87">
        <v>46139</v>
      </c>
      <c r="CY8" s="14">
        <v>46140</v>
      </c>
      <c r="CZ8" s="87">
        <v>46141</v>
      </c>
      <c r="DA8" s="51">
        <v>46142</v>
      </c>
      <c r="DB8" s="181">
        <v>46143</v>
      </c>
      <c r="DC8" s="327">
        <v>46144</v>
      </c>
      <c r="DD8" s="327">
        <v>46145</v>
      </c>
      <c r="DE8" s="327">
        <v>46146</v>
      </c>
      <c r="DF8" s="327">
        <v>46147</v>
      </c>
      <c r="DG8" s="327">
        <v>46148</v>
      </c>
      <c r="DH8" s="327">
        <v>46149</v>
      </c>
      <c r="DI8" s="327">
        <v>46150</v>
      </c>
      <c r="DJ8" s="327">
        <v>46151</v>
      </c>
      <c r="DK8" s="327">
        <v>46152</v>
      </c>
      <c r="DL8" s="327">
        <v>46153</v>
      </c>
      <c r="DM8" s="327">
        <v>46154</v>
      </c>
      <c r="DN8" s="327">
        <v>46155</v>
      </c>
      <c r="DO8" s="327">
        <v>46156</v>
      </c>
      <c r="DP8" s="327">
        <v>46157</v>
      </c>
      <c r="DQ8" s="327">
        <v>46158</v>
      </c>
      <c r="DR8" s="327">
        <v>46159</v>
      </c>
      <c r="DS8" s="327">
        <v>46160</v>
      </c>
      <c r="DT8" s="327">
        <v>46161</v>
      </c>
      <c r="DU8" s="327">
        <v>46162</v>
      </c>
      <c r="DV8" s="327">
        <v>46163</v>
      </c>
      <c r="DW8" s="327">
        <v>46164</v>
      </c>
      <c r="DX8" s="327">
        <v>46165</v>
      </c>
      <c r="DY8" s="327">
        <v>46166</v>
      </c>
      <c r="DZ8" s="327">
        <v>46167</v>
      </c>
      <c r="EA8" s="327">
        <v>46168</v>
      </c>
      <c r="EB8" s="327">
        <v>46169</v>
      </c>
      <c r="EC8" s="327">
        <v>46170</v>
      </c>
      <c r="ED8" s="327">
        <v>46171</v>
      </c>
      <c r="EE8" s="327">
        <v>46172</v>
      </c>
      <c r="EF8" s="86">
        <v>46173</v>
      </c>
      <c r="EG8" s="181">
        <v>46174</v>
      </c>
      <c r="EH8" s="327">
        <v>46175</v>
      </c>
      <c r="EI8" s="327">
        <v>46176</v>
      </c>
      <c r="EJ8" s="327">
        <v>46177</v>
      </c>
      <c r="EK8" s="327">
        <v>46178</v>
      </c>
      <c r="EL8" s="327">
        <v>46179</v>
      </c>
      <c r="EM8" s="327">
        <v>46180</v>
      </c>
      <c r="EN8" s="327">
        <v>46181</v>
      </c>
      <c r="EO8" s="327">
        <v>46182</v>
      </c>
      <c r="EP8" s="327">
        <v>46183</v>
      </c>
      <c r="EQ8" s="327">
        <v>46184</v>
      </c>
      <c r="ER8" s="327">
        <v>46185</v>
      </c>
      <c r="ES8" s="327">
        <v>46186</v>
      </c>
      <c r="ET8" s="327">
        <v>46187</v>
      </c>
      <c r="EU8" s="327">
        <v>46188</v>
      </c>
      <c r="EV8" s="327">
        <v>46189</v>
      </c>
      <c r="EW8" s="327">
        <v>46190</v>
      </c>
      <c r="EX8" s="327">
        <v>46191</v>
      </c>
      <c r="EY8" s="327">
        <v>46192</v>
      </c>
      <c r="EZ8" s="327">
        <v>46193</v>
      </c>
      <c r="FA8" s="327">
        <v>46194</v>
      </c>
      <c r="FB8" s="327">
        <v>46195</v>
      </c>
      <c r="FC8" s="327">
        <v>46196</v>
      </c>
      <c r="FD8" s="327">
        <v>46197</v>
      </c>
      <c r="FE8" s="327">
        <v>46198</v>
      </c>
      <c r="FF8" s="327">
        <v>46199</v>
      </c>
      <c r="FG8" s="327">
        <v>46200</v>
      </c>
      <c r="FH8" s="327">
        <v>46201</v>
      </c>
      <c r="FI8" s="327">
        <v>46202</v>
      </c>
      <c r="FJ8" s="86">
        <v>46203</v>
      </c>
      <c r="FK8" s="181">
        <v>46204</v>
      </c>
      <c r="FL8" s="327">
        <v>46205</v>
      </c>
      <c r="FM8" s="327">
        <v>46206</v>
      </c>
      <c r="FN8" s="327">
        <v>46207</v>
      </c>
      <c r="FO8" s="327">
        <v>46208</v>
      </c>
      <c r="FP8" s="327">
        <v>46209</v>
      </c>
      <c r="FQ8" s="327">
        <v>46210</v>
      </c>
      <c r="FR8" s="327">
        <v>46211</v>
      </c>
      <c r="FS8" s="327">
        <v>46212</v>
      </c>
      <c r="FT8" s="327">
        <v>46213</v>
      </c>
      <c r="FU8" s="327">
        <v>46214</v>
      </c>
      <c r="FV8" s="327">
        <v>46215</v>
      </c>
      <c r="FW8" s="327">
        <v>46216</v>
      </c>
      <c r="FX8" s="327">
        <v>46217</v>
      </c>
      <c r="FY8" s="327">
        <v>46218</v>
      </c>
      <c r="FZ8" s="327">
        <v>46219</v>
      </c>
      <c r="GA8" s="327">
        <v>46220</v>
      </c>
      <c r="GB8" s="327">
        <v>46221</v>
      </c>
      <c r="GC8" s="327">
        <v>46222</v>
      </c>
      <c r="GD8" s="327">
        <v>46223</v>
      </c>
      <c r="GE8" s="327">
        <v>46224</v>
      </c>
      <c r="GF8" s="327">
        <v>46225</v>
      </c>
      <c r="GG8" s="327">
        <v>46226</v>
      </c>
      <c r="GH8" s="327">
        <v>46227</v>
      </c>
      <c r="GI8" s="327">
        <v>46228</v>
      </c>
      <c r="GJ8" s="327">
        <v>46229</v>
      </c>
      <c r="GK8" s="327">
        <v>46230</v>
      </c>
      <c r="GL8" s="327">
        <v>46231</v>
      </c>
      <c r="GM8" s="327">
        <v>46232</v>
      </c>
      <c r="GN8" s="327">
        <v>46233</v>
      </c>
      <c r="GO8" s="86">
        <v>46234</v>
      </c>
      <c r="GP8" s="181">
        <v>46235</v>
      </c>
      <c r="GQ8" s="327">
        <v>46236</v>
      </c>
      <c r="GR8" s="327">
        <v>46237</v>
      </c>
      <c r="GS8" s="327">
        <v>46238</v>
      </c>
      <c r="GT8" s="327">
        <v>46239</v>
      </c>
      <c r="GU8" s="327">
        <v>46240</v>
      </c>
      <c r="GV8" s="327">
        <v>46241</v>
      </c>
      <c r="GW8" s="327">
        <v>46242</v>
      </c>
      <c r="GX8" s="327">
        <v>46243</v>
      </c>
      <c r="GY8" s="327">
        <v>46244</v>
      </c>
      <c r="GZ8" s="327">
        <v>46245</v>
      </c>
      <c r="HA8" s="327">
        <v>46246</v>
      </c>
      <c r="HB8" s="327">
        <v>46247</v>
      </c>
      <c r="HC8" s="327">
        <v>46248</v>
      </c>
      <c r="HD8" s="327">
        <v>46249</v>
      </c>
      <c r="HE8" s="327">
        <v>46250</v>
      </c>
      <c r="HF8" s="327">
        <v>46251</v>
      </c>
      <c r="HG8" s="327">
        <v>46252</v>
      </c>
      <c r="HH8" s="327">
        <v>46253</v>
      </c>
      <c r="HI8" s="327">
        <v>46254</v>
      </c>
      <c r="HJ8" s="327">
        <v>46255</v>
      </c>
      <c r="HK8" s="327">
        <v>46256</v>
      </c>
      <c r="HL8" s="327">
        <v>46257</v>
      </c>
      <c r="HM8" s="327">
        <v>46258</v>
      </c>
      <c r="HN8" s="327">
        <v>46259</v>
      </c>
      <c r="HO8" s="327">
        <v>46260</v>
      </c>
      <c r="HP8" s="327">
        <v>46261</v>
      </c>
      <c r="HQ8" s="327">
        <v>46262</v>
      </c>
      <c r="HR8" s="327">
        <v>46263</v>
      </c>
      <c r="HS8" s="327">
        <v>46264</v>
      </c>
      <c r="HT8" s="327">
        <v>46265</v>
      </c>
      <c r="HU8" s="348" t="s">
        <v>26</v>
      </c>
    </row>
    <row r="9" spans="1:229" x14ac:dyDescent="0.25">
      <c r="A9" s="9">
        <v>1</v>
      </c>
      <c r="B9" s="502" t="s">
        <v>21</v>
      </c>
      <c r="C9" s="10" t="s">
        <v>1</v>
      </c>
      <c r="D9" s="11" t="s">
        <v>20</v>
      </c>
      <c r="E9" s="6"/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09">
        <f>SUM(E9:L9)</f>
        <v>0</v>
      </c>
      <c r="N9" s="138"/>
      <c r="O9" s="8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0</v>
      </c>
      <c r="AM9" s="68">
        <v>0</v>
      </c>
      <c r="AN9" s="68">
        <v>0</v>
      </c>
      <c r="AO9" s="68">
        <v>0</v>
      </c>
      <c r="AP9" s="100">
        <v>0</v>
      </c>
      <c r="AQ9" s="182"/>
      <c r="AR9" s="68">
        <v>0</v>
      </c>
      <c r="AS9" s="68">
        <v>0</v>
      </c>
      <c r="AT9" s="68">
        <v>0</v>
      </c>
      <c r="AU9" s="68">
        <v>0</v>
      </c>
      <c r="AV9" s="68">
        <v>0</v>
      </c>
      <c r="AW9" s="68">
        <v>0</v>
      </c>
      <c r="AX9" s="68">
        <v>0</v>
      </c>
      <c r="AY9" s="68">
        <v>0</v>
      </c>
      <c r="AZ9" s="68">
        <v>0</v>
      </c>
      <c r="BA9" s="68">
        <v>0</v>
      </c>
      <c r="BB9" s="68">
        <v>0</v>
      </c>
      <c r="BC9" s="68">
        <v>0</v>
      </c>
      <c r="BD9" s="68">
        <v>0</v>
      </c>
      <c r="BE9" s="68">
        <v>0</v>
      </c>
      <c r="BF9" s="68">
        <v>0</v>
      </c>
      <c r="BG9" s="68">
        <v>0</v>
      </c>
      <c r="BH9" s="68">
        <v>0</v>
      </c>
      <c r="BI9" s="68">
        <v>0</v>
      </c>
      <c r="BJ9" s="68">
        <v>0</v>
      </c>
      <c r="BK9" s="68">
        <v>0</v>
      </c>
      <c r="BL9" s="68">
        <v>0</v>
      </c>
      <c r="BM9" s="68">
        <v>0</v>
      </c>
      <c r="BN9" s="68">
        <v>0</v>
      </c>
      <c r="BO9" s="68">
        <v>0</v>
      </c>
      <c r="BP9" s="68">
        <v>0</v>
      </c>
      <c r="BQ9" s="68">
        <v>0</v>
      </c>
      <c r="BR9" s="68">
        <v>0</v>
      </c>
      <c r="BS9" s="68">
        <v>0</v>
      </c>
      <c r="BT9" s="68">
        <v>0</v>
      </c>
      <c r="BU9" s="68">
        <v>0</v>
      </c>
      <c r="BV9" s="68">
        <v>0</v>
      </c>
      <c r="BW9" s="182"/>
      <c r="BX9" s="68">
        <v>0</v>
      </c>
      <c r="BY9" s="68">
        <v>0</v>
      </c>
      <c r="BZ9" s="68">
        <v>0</v>
      </c>
      <c r="CA9" s="68">
        <v>0</v>
      </c>
      <c r="CB9" s="68">
        <v>0</v>
      </c>
      <c r="CC9" s="68">
        <v>0</v>
      </c>
      <c r="CD9" s="68">
        <v>0</v>
      </c>
      <c r="CE9" s="68">
        <v>700</v>
      </c>
      <c r="CF9" s="68">
        <v>125</v>
      </c>
      <c r="CG9" s="68">
        <v>0</v>
      </c>
      <c r="CH9" s="68">
        <v>0</v>
      </c>
      <c r="CI9" s="68">
        <v>0</v>
      </c>
      <c r="CJ9" s="68">
        <v>0</v>
      </c>
      <c r="CK9" s="68">
        <v>0</v>
      </c>
      <c r="CL9" s="68">
        <v>0</v>
      </c>
      <c r="CM9" s="68">
        <v>0</v>
      </c>
      <c r="CN9" s="68">
        <v>0</v>
      </c>
      <c r="CO9" s="266">
        <v>0</v>
      </c>
      <c r="CP9" s="266">
        <v>160</v>
      </c>
      <c r="CQ9" s="266">
        <v>0</v>
      </c>
      <c r="CR9" s="266">
        <v>0</v>
      </c>
      <c r="CS9" s="266">
        <v>0</v>
      </c>
      <c r="CT9" s="266">
        <v>0</v>
      </c>
      <c r="CU9" s="266">
        <v>0</v>
      </c>
      <c r="CV9" s="266">
        <v>0</v>
      </c>
      <c r="CW9" s="266">
        <v>0</v>
      </c>
      <c r="CX9" s="266">
        <v>330</v>
      </c>
      <c r="CY9" s="266">
        <v>0</v>
      </c>
      <c r="CZ9" s="266">
        <v>0</v>
      </c>
      <c r="DA9" s="270">
        <v>0</v>
      </c>
      <c r="DB9" s="279">
        <v>0</v>
      </c>
      <c r="DC9" s="267">
        <v>0</v>
      </c>
      <c r="DD9" s="267">
        <v>180</v>
      </c>
      <c r="DE9" s="267">
        <v>0</v>
      </c>
      <c r="DF9" s="267">
        <v>0</v>
      </c>
      <c r="DG9" s="267">
        <v>0</v>
      </c>
      <c r="DH9" s="267">
        <v>180</v>
      </c>
      <c r="DI9" s="267">
        <v>0</v>
      </c>
      <c r="DJ9" s="267">
        <v>0</v>
      </c>
      <c r="DK9" s="267">
        <v>0</v>
      </c>
      <c r="DL9" s="267">
        <v>0</v>
      </c>
      <c r="DM9" s="267">
        <v>0</v>
      </c>
      <c r="DN9" s="267">
        <v>320</v>
      </c>
      <c r="DO9" s="267">
        <v>0</v>
      </c>
      <c r="DP9" s="267">
        <v>0</v>
      </c>
      <c r="DQ9" s="267">
        <v>0</v>
      </c>
      <c r="DR9" s="267">
        <v>0</v>
      </c>
      <c r="DS9" s="267">
        <v>0</v>
      </c>
      <c r="DT9" s="267">
        <v>0</v>
      </c>
      <c r="DU9" s="267">
        <v>0</v>
      </c>
      <c r="DV9" s="267">
        <v>10</v>
      </c>
      <c r="DW9" s="267">
        <v>0</v>
      </c>
      <c r="DX9" s="267">
        <v>0</v>
      </c>
      <c r="DY9" s="267">
        <v>0</v>
      </c>
      <c r="DZ9" s="267">
        <v>0</v>
      </c>
      <c r="EA9" s="267">
        <v>0</v>
      </c>
      <c r="EB9" s="267">
        <v>0</v>
      </c>
      <c r="EC9" s="267">
        <v>0</v>
      </c>
      <c r="ED9" s="267">
        <v>0</v>
      </c>
      <c r="EE9" s="267">
        <v>0</v>
      </c>
      <c r="EF9" s="268">
        <v>0</v>
      </c>
      <c r="EG9" s="279">
        <v>0</v>
      </c>
      <c r="EH9" s="268">
        <v>0</v>
      </c>
      <c r="EI9" s="267">
        <v>0</v>
      </c>
      <c r="EJ9" s="267">
        <v>100</v>
      </c>
      <c r="EK9" s="267">
        <v>0</v>
      </c>
      <c r="EL9" s="378">
        <v>215</v>
      </c>
      <c r="EM9" s="267">
        <v>0</v>
      </c>
      <c r="EN9" s="267">
        <v>0</v>
      </c>
      <c r="EO9" s="267">
        <v>0</v>
      </c>
      <c r="EP9" s="267">
        <v>0</v>
      </c>
      <c r="EQ9" s="267">
        <v>0</v>
      </c>
      <c r="ER9" s="267">
        <v>0</v>
      </c>
      <c r="ES9" s="267">
        <v>0</v>
      </c>
      <c r="ET9" s="267">
        <v>0</v>
      </c>
      <c r="EU9" s="267">
        <v>0</v>
      </c>
      <c r="EV9" s="267">
        <v>0</v>
      </c>
      <c r="EW9" s="267">
        <v>0</v>
      </c>
      <c r="EX9" s="267">
        <v>0</v>
      </c>
      <c r="EY9" s="267">
        <v>0</v>
      </c>
      <c r="EZ9" s="267">
        <v>0</v>
      </c>
      <c r="FA9" s="267">
        <v>0</v>
      </c>
      <c r="FB9" s="267">
        <v>0</v>
      </c>
      <c r="FC9" s="267">
        <v>0</v>
      </c>
      <c r="FD9" s="267">
        <v>0</v>
      </c>
      <c r="FE9" s="267">
        <v>0</v>
      </c>
      <c r="FF9" s="267">
        <v>0</v>
      </c>
      <c r="FG9" s="267">
        <v>0</v>
      </c>
      <c r="FH9" s="267">
        <v>0</v>
      </c>
      <c r="FI9" s="267">
        <v>0</v>
      </c>
      <c r="FJ9" s="268">
        <v>29</v>
      </c>
      <c r="FK9" s="279">
        <v>25</v>
      </c>
      <c r="FL9" s="267">
        <v>0</v>
      </c>
      <c r="FM9" s="267">
        <v>0</v>
      </c>
      <c r="FN9" s="267">
        <v>0</v>
      </c>
      <c r="FO9" s="267">
        <v>0</v>
      </c>
      <c r="FP9" s="267">
        <v>0</v>
      </c>
      <c r="FQ9" s="267">
        <v>0</v>
      </c>
      <c r="FR9" s="267">
        <v>0</v>
      </c>
      <c r="FS9" s="267">
        <v>0</v>
      </c>
      <c r="FT9" s="267">
        <v>0</v>
      </c>
      <c r="FU9" s="267">
        <v>0</v>
      </c>
      <c r="FV9" s="267">
        <v>0</v>
      </c>
      <c r="FW9" s="267">
        <v>0</v>
      </c>
      <c r="FX9" s="267">
        <v>0</v>
      </c>
      <c r="FY9" s="267">
        <v>0</v>
      </c>
      <c r="FZ9" s="267">
        <v>0</v>
      </c>
      <c r="GA9" s="267">
        <v>0</v>
      </c>
      <c r="GB9" s="267">
        <v>0</v>
      </c>
      <c r="GC9" s="267">
        <v>0</v>
      </c>
      <c r="GD9" s="267">
        <v>0</v>
      </c>
      <c r="GE9" s="267">
        <v>0</v>
      </c>
      <c r="GF9" s="267">
        <v>0</v>
      </c>
      <c r="GG9" s="267">
        <v>0</v>
      </c>
      <c r="GH9" s="267">
        <v>0</v>
      </c>
      <c r="GI9" s="267">
        <v>0</v>
      </c>
      <c r="GJ9" s="267">
        <v>0</v>
      </c>
      <c r="GK9" s="267">
        <v>0</v>
      </c>
      <c r="GL9" s="267">
        <v>0</v>
      </c>
      <c r="GM9" s="267">
        <v>0</v>
      </c>
      <c r="GN9" s="267">
        <v>0</v>
      </c>
      <c r="GO9" s="268">
        <v>0</v>
      </c>
      <c r="GP9" s="279">
        <v>0</v>
      </c>
      <c r="GQ9" s="267">
        <v>0</v>
      </c>
      <c r="GR9" s="267">
        <v>0</v>
      </c>
      <c r="GS9" s="267">
        <v>0</v>
      </c>
      <c r="GT9" s="267">
        <v>0</v>
      </c>
      <c r="GU9" s="267">
        <v>0</v>
      </c>
      <c r="GV9" s="267">
        <v>0</v>
      </c>
      <c r="GW9" s="267">
        <v>0</v>
      </c>
      <c r="GX9" s="267">
        <v>0</v>
      </c>
      <c r="GY9" s="267">
        <v>0</v>
      </c>
      <c r="GZ9" s="267">
        <v>0</v>
      </c>
      <c r="HA9" s="267">
        <v>0</v>
      </c>
      <c r="HB9" s="267">
        <v>0</v>
      </c>
      <c r="HC9" s="267">
        <v>0</v>
      </c>
      <c r="HD9" s="267">
        <v>0</v>
      </c>
      <c r="HE9" s="267">
        <v>0</v>
      </c>
      <c r="HF9" s="267">
        <v>0</v>
      </c>
      <c r="HG9" s="267">
        <v>0</v>
      </c>
      <c r="HH9" s="267">
        <v>0</v>
      </c>
      <c r="HI9" s="267"/>
      <c r="HJ9" s="267"/>
      <c r="HK9" s="267"/>
      <c r="HL9" s="267"/>
      <c r="HM9" s="267"/>
      <c r="HN9" s="267"/>
      <c r="HO9" s="267"/>
      <c r="HP9" s="267"/>
      <c r="HQ9" s="267"/>
      <c r="HR9" s="267"/>
      <c r="HS9" s="267"/>
      <c r="HT9" s="367"/>
      <c r="HU9" s="326">
        <f>SUM(O9:HT9)</f>
        <v>2374</v>
      </c>
    </row>
    <row r="10" spans="1:229" x14ac:dyDescent="0.25">
      <c r="A10" s="2">
        <v>2</v>
      </c>
      <c r="B10" s="474"/>
      <c r="C10" s="3" t="s">
        <v>2</v>
      </c>
      <c r="D10" s="4" t="s">
        <v>20</v>
      </c>
      <c r="E10" s="6"/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09">
        <f t="shared" ref="M10:M19" si="0">SUM(E10:L10)</f>
        <v>0</v>
      </c>
      <c r="N10" s="139"/>
      <c r="O10" s="7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01">
        <v>0</v>
      </c>
      <c r="AQ10" s="183"/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83"/>
      <c r="BX10" s="68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265">
        <v>0</v>
      </c>
      <c r="CP10" s="265">
        <v>0</v>
      </c>
      <c r="CQ10" s="265">
        <v>0</v>
      </c>
      <c r="CR10" s="265">
        <v>0</v>
      </c>
      <c r="CS10" s="265">
        <v>0</v>
      </c>
      <c r="CT10" s="265">
        <v>0</v>
      </c>
      <c r="CU10" s="265">
        <v>0</v>
      </c>
      <c r="CV10" s="265">
        <v>0</v>
      </c>
      <c r="CW10" s="265">
        <v>0</v>
      </c>
      <c r="CX10" s="265">
        <v>0</v>
      </c>
      <c r="CY10" s="265">
        <v>0</v>
      </c>
      <c r="CZ10" s="265">
        <v>0</v>
      </c>
      <c r="DA10" s="269">
        <v>0</v>
      </c>
      <c r="DB10" s="278">
        <v>0</v>
      </c>
      <c r="DC10" s="265">
        <v>0</v>
      </c>
      <c r="DD10" s="265">
        <v>0</v>
      </c>
      <c r="DE10" s="265">
        <v>0</v>
      </c>
      <c r="DF10" s="265">
        <v>0</v>
      </c>
      <c r="DG10" s="265">
        <v>0</v>
      </c>
      <c r="DH10" s="265">
        <v>0</v>
      </c>
      <c r="DI10" s="265">
        <v>0</v>
      </c>
      <c r="DJ10" s="265">
        <v>0</v>
      </c>
      <c r="DK10" s="265">
        <v>0</v>
      </c>
      <c r="DL10" s="265">
        <v>0</v>
      </c>
      <c r="DM10" s="265">
        <v>0</v>
      </c>
      <c r="DN10" s="265">
        <v>0</v>
      </c>
      <c r="DO10" s="265">
        <v>0</v>
      </c>
      <c r="DP10" s="265">
        <v>0</v>
      </c>
      <c r="DQ10" s="265">
        <v>0</v>
      </c>
      <c r="DR10" s="265">
        <v>0</v>
      </c>
      <c r="DS10" s="265">
        <v>0</v>
      </c>
      <c r="DT10" s="265">
        <v>0</v>
      </c>
      <c r="DU10" s="265">
        <v>0</v>
      </c>
      <c r="DV10" s="265">
        <v>0</v>
      </c>
      <c r="DW10" s="265">
        <v>0</v>
      </c>
      <c r="DX10" s="265">
        <v>0</v>
      </c>
      <c r="DY10" s="265">
        <v>0</v>
      </c>
      <c r="DZ10" s="265">
        <v>0</v>
      </c>
      <c r="EA10" s="265">
        <v>0</v>
      </c>
      <c r="EB10" s="265">
        <v>0</v>
      </c>
      <c r="EC10" s="265">
        <v>0</v>
      </c>
      <c r="ED10" s="265">
        <v>0</v>
      </c>
      <c r="EE10" s="265">
        <v>0</v>
      </c>
      <c r="EF10" s="269">
        <v>0</v>
      </c>
      <c r="EG10" s="278">
        <v>0</v>
      </c>
      <c r="EH10" s="269">
        <v>0</v>
      </c>
      <c r="EI10" s="265">
        <v>0</v>
      </c>
      <c r="EJ10" s="265">
        <v>0</v>
      </c>
      <c r="EK10" s="265">
        <v>0</v>
      </c>
      <c r="EL10" s="265">
        <v>0</v>
      </c>
      <c r="EM10" s="265">
        <v>0</v>
      </c>
      <c r="EN10" s="265">
        <v>0</v>
      </c>
      <c r="EO10" s="265">
        <v>0</v>
      </c>
      <c r="EP10" s="265">
        <v>0</v>
      </c>
      <c r="EQ10" s="265">
        <v>0</v>
      </c>
      <c r="ER10" s="265">
        <v>0</v>
      </c>
      <c r="ES10" s="265">
        <v>0</v>
      </c>
      <c r="ET10" s="265">
        <v>0</v>
      </c>
      <c r="EU10" s="265">
        <v>0</v>
      </c>
      <c r="EV10" s="265">
        <v>0</v>
      </c>
      <c r="EW10" s="265">
        <v>0</v>
      </c>
      <c r="EX10" s="265">
        <v>0</v>
      </c>
      <c r="EY10" s="265">
        <v>0</v>
      </c>
      <c r="EZ10" s="265">
        <v>0</v>
      </c>
      <c r="FA10" s="265">
        <v>0</v>
      </c>
      <c r="FB10" s="265">
        <v>0</v>
      </c>
      <c r="FC10" s="265">
        <v>0</v>
      </c>
      <c r="FD10" s="265">
        <v>0</v>
      </c>
      <c r="FE10" s="265">
        <v>0</v>
      </c>
      <c r="FF10" s="265">
        <v>0</v>
      </c>
      <c r="FG10" s="265">
        <v>0</v>
      </c>
      <c r="FH10" s="265">
        <v>0</v>
      </c>
      <c r="FI10" s="265">
        <v>0</v>
      </c>
      <c r="FJ10" s="269">
        <v>0</v>
      </c>
      <c r="FK10" s="278">
        <v>0</v>
      </c>
      <c r="FL10" s="265">
        <v>0</v>
      </c>
      <c r="FM10" s="265">
        <v>0</v>
      </c>
      <c r="FN10" s="265">
        <v>0</v>
      </c>
      <c r="FO10" s="265">
        <v>0</v>
      </c>
      <c r="FP10" s="265">
        <v>0</v>
      </c>
      <c r="FQ10" s="265">
        <v>0</v>
      </c>
      <c r="FR10" s="265">
        <v>0</v>
      </c>
      <c r="FS10" s="265">
        <v>0</v>
      </c>
      <c r="FT10" s="265">
        <v>0</v>
      </c>
      <c r="FU10" s="265">
        <v>0</v>
      </c>
      <c r="FV10" s="265">
        <v>0</v>
      </c>
      <c r="FW10" s="265">
        <v>0</v>
      </c>
      <c r="FX10" s="265">
        <v>0</v>
      </c>
      <c r="FY10" s="265">
        <v>0</v>
      </c>
      <c r="FZ10" s="265">
        <v>0</v>
      </c>
      <c r="GA10" s="265">
        <v>0</v>
      </c>
      <c r="GB10" s="265">
        <v>0</v>
      </c>
      <c r="GC10" s="265">
        <v>0</v>
      </c>
      <c r="GD10" s="265">
        <v>0</v>
      </c>
      <c r="GE10" s="265">
        <v>0</v>
      </c>
      <c r="GF10" s="265">
        <v>0</v>
      </c>
      <c r="GG10" s="265">
        <v>0</v>
      </c>
      <c r="GH10" s="265">
        <v>0</v>
      </c>
      <c r="GI10" s="265">
        <v>0</v>
      </c>
      <c r="GJ10" s="265">
        <v>0</v>
      </c>
      <c r="GK10" s="265">
        <v>0</v>
      </c>
      <c r="GL10" s="265">
        <v>0</v>
      </c>
      <c r="GM10" s="265">
        <v>0</v>
      </c>
      <c r="GN10" s="265">
        <v>0</v>
      </c>
      <c r="GO10" s="269">
        <v>0</v>
      </c>
      <c r="GP10" s="278">
        <v>0</v>
      </c>
      <c r="GQ10" s="265">
        <v>0</v>
      </c>
      <c r="GR10" s="265">
        <v>0</v>
      </c>
      <c r="GS10" s="265">
        <v>0</v>
      </c>
      <c r="GT10" s="265">
        <v>0</v>
      </c>
      <c r="GU10" s="265">
        <v>0</v>
      </c>
      <c r="GV10" s="265">
        <v>0</v>
      </c>
      <c r="GW10" s="265">
        <v>0</v>
      </c>
      <c r="GX10" s="265">
        <v>0</v>
      </c>
      <c r="GY10" s="265">
        <v>0</v>
      </c>
      <c r="GZ10" s="265">
        <v>0</v>
      </c>
      <c r="HA10" s="265">
        <v>0</v>
      </c>
      <c r="HB10" s="265">
        <v>0</v>
      </c>
      <c r="HC10" s="265">
        <v>0</v>
      </c>
      <c r="HD10" s="265">
        <v>0</v>
      </c>
      <c r="HE10" s="265">
        <v>0</v>
      </c>
      <c r="HF10" s="265">
        <v>0</v>
      </c>
      <c r="HG10" s="265">
        <v>0</v>
      </c>
      <c r="HH10" s="265">
        <v>0</v>
      </c>
      <c r="HI10" s="265"/>
      <c r="HJ10" s="265"/>
      <c r="HK10" s="265"/>
      <c r="HL10" s="265"/>
      <c r="HM10" s="265"/>
      <c r="HN10" s="265"/>
      <c r="HO10" s="265"/>
      <c r="HP10" s="265"/>
      <c r="HQ10" s="265"/>
      <c r="HR10" s="265"/>
      <c r="HS10" s="265"/>
      <c r="HT10" s="368"/>
      <c r="HU10" s="326">
        <f t="shared" ref="HU10:HU18" si="1">SUM(O10:HT10)</f>
        <v>0</v>
      </c>
    </row>
    <row r="11" spans="1:229" x14ac:dyDescent="0.25">
      <c r="A11" s="2">
        <v>3</v>
      </c>
      <c r="B11" s="474"/>
      <c r="C11" s="3" t="s">
        <v>3</v>
      </c>
      <c r="D11" s="4" t="s">
        <v>20</v>
      </c>
      <c r="E11" s="6"/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09">
        <f t="shared" si="0"/>
        <v>0</v>
      </c>
      <c r="N11" s="139"/>
      <c r="O11" s="7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01">
        <v>12</v>
      </c>
      <c r="AQ11" s="183"/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83"/>
      <c r="BX11" s="68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265">
        <v>0</v>
      </c>
      <c r="CP11" s="265">
        <v>0</v>
      </c>
      <c r="CQ11" s="265">
        <v>0</v>
      </c>
      <c r="CR11" s="265">
        <v>0</v>
      </c>
      <c r="CS11" s="265">
        <v>0</v>
      </c>
      <c r="CT11" s="265">
        <v>0</v>
      </c>
      <c r="CU11" s="265">
        <v>0</v>
      </c>
      <c r="CV11" s="265">
        <v>0</v>
      </c>
      <c r="CW11" s="265">
        <v>0</v>
      </c>
      <c r="CX11" s="265">
        <v>0</v>
      </c>
      <c r="CY11" s="265">
        <v>0</v>
      </c>
      <c r="CZ11" s="265">
        <v>0</v>
      </c>
      <c r="DA11" s="269">
        <v>0</v>
      </c>
      <c r="DB11" s="278">
        <v>0</v>
      </c>
      <c r="DC11" s="265">
        <v>0</v>
      </c>
      <c r="DD11" s="265">
        <v>0</v>
      </c>
      <c r="DE11" s="265">
        <v>0</v>
      </c>
      <c r="DF11" s="265">
        <v>0</v>
      </c>
      <c r="DG11" s="265">
        <v>0</v>
      </c>
      <c r="DH11" s="265">
        <v>0</v>
      </c>
      <c r="DI11" s="265">
        <v>0</v>
      </c>
      <c r="DJ11" s="265">
        <v>0</v>
      </c>
      <c r="DK11" s="265">
        <v>0</v>
      </c>
      <c r="DL11" s="265">
        <v>0</v>
      </c>
      <c r="DM11" s="265">
        <v>0</v>
      </c>
      <c r="DN11" s="265">
        <v>0</v>
      </c>
      <c r="DO11" s="265">
        <v>0</v>
      </c>
      <c r="DP11" s="265">
        <v>0</v>
      </c>
      <c r="DQ11" s="265">
        <v>0</v>
      </c>
      <c r="DR11" s="265">
        <v>0</v>
      </c>
      <c r="DS11" s="265">
        <v>0</v>
      </c>
      <c r="DT11" s="265">
        <v>0</v>
      </c>
      <c r="DU11" s="265">
        <v>0</v>
      </c>
      <c r="DV11" s="265">
        <v>0</v>
      </c>
      <c r="DW11" s="265">
        <v>0</v>
      </c>
      <c r="DX11" s="265">
        <v>0</v>
      </c>
      <c r="DY11" s="265">
        <v>0</v>
      </c>
      <c r="DZ11" s="265">
        <v>0</v>
      </c>
      <c r="EA11" s="265">
        <v>0</v>
      </c>
      <c r="EB11" s="265">
        <v>0</v>
      </c>
      <c r="EC11" s="265">
        <v>0</v>
      </c>
      <c r="ED11" s="265">
        <v>0</v>
      </c>
      <c r="EE11" s="265">
        <v>0</v>
      </c>
      <c r="EF11" s="269">
        <v>0</v>
      </c>
      <c r="EG11" s="278">
        <v>0</v>
      </c>
      <c r="EH11" s="269">
        <v>0</v>
      </c>
      <c r="EI11" s="265">
        <v>0</v>
      </c>
      <c r="EJ11" s="265">
        <v>0</v>
      </c>
      <c r="EK11" s="265">
        <v>0</v>
      </c>
      <c r="EL11" s="265">
        <v>0</v>
      </c>
      <c r="EM11" s="265">
        <v>0</v>
      </c>
      <c r="EN11" s="265">
        <v>0</v>
      </c>
      <c r="EO11" s="265">
        <v>0</v>
      </c>
      <c r="EP11" s="265">
        <v>0</v>
      </c>
      <c r="EQ11" s="265">
        <v>0</v>
      </c>
      <c r="ER11" s="265">
        <v>0</v>
      </c>
      <c r="ES11" s="265">
        <v>0</v>
      </c>
      <c r="ET11" s="265">
        <v>0</v>
      </c>
      <c r="EU11" s="265">
        <v>0</v>
      </c>
      <c r="EV11" s="265">
        <v>0</v>
      </c>
      <c r="EW11" s="265">
        <v>0</v>
      </c>
      <c r="EX11" s="265">
        <v>0</v>
      </c>
      <c r="EY11" s="265">
        <v>0</v>
      </c>
      <c r="EZ11" s="265">
        <v>0</v>
      </c>
      <c r="FA11" s="265">
        <v>0</v>
      </c>
      <c r="FB11" s="265">
        <v>0</v>
      </c>
      <c r="FC11" s="265">
        <v>0</v>
      </c>
      <c r="FD11" s="265">
        <v>0</v>
      </c>
      <c r="FE11" s="265">
        <v>0</v>
      </c>
      <c r="FF11" s="265">
        <v>0</v>
      </c>
      <c r="FG11" s="265">
        <v>0</v>
      </c>
      <c r="FH11" s="265">
        <v>0</v>
      </c>
      <c r="FI11" s="265">
        <v>0</v>
      </c>
      <c r="FJ11" s="269">
        <v>0</v>
      </c>
      <c r="FK11" s="278">
        <v>0</v>
      </c>
      <c r="FL11" s="265">
        <v>0</v>
      </c>
      <c r="FM11" s="265">
        <v>0</v>
      </c>
      <c r="FN11" s="265">
        <v>0</v>
      </c>
      <c r="FO11" s="265">
        <v>0</v>
      </c>
      <c r="FP11" s="265">
        <v>0</v>
      </c>
      <c r="FQ11" s="265">
        <v>0</v>
      </c>
      <c r="FR11" s="265">
        <v>0</v>
      </c>
      <c r="FS11" s="265">
        <v>0</v>
      </c>
      <c r="FT11" s="265">
        <v>0</v>
      </c>
      <c r="FU11" s="265">
        <v>0</v>
      </c>
      <c r="FV11" s="265">
        <v>0</v>
      </c>
      <c r="FW11" s="265">
        <v>0</v>
      </c>
      <c r="FX11" s="265">
        <v>0</v>
      </c>
      <c r="FY11" s="265">
        <v>0</v>
      </c>
      <c r="FZ11" s="265">
        <v>0</v>
      </c>
      <c r="GA11" s="265">
        <v>0</v>
      </c>
      <c r="GB11" s="265">
        <v>0</v>
      </c>
      <c r="GC11" s="265">
        <v>0</v>
      </c>
      <c r="GD11" s="265">
        <v>0</v>
      </c>
      <c r="GE11" s="265">
        <v>0</v>
      </c>
      <c r="GF11" s="265">
        <v>0</v>
      </c>
      <c r="GG11" s="265">
        <v>0</v>
      </c>
      <c r="GH11" s="265">
        <v>0</v>
      </c>
      <c r="GI11" s="265">
        <v>0</v>
      </c>
      <c r="GJ11" s="265">
        <v>0</v>
      </c>
      <c r="GK11" s="265">
        <v>0</v>
      </c>
      <c r="GL11" s="265">
        <v>0</v>
      </c>
      <c r="GM11" s="265">
        <v>0</v>
      </c>
      <c r="GN11" s="265">
        <v>0</v>
      </c>
      <c r="GO11" s="269">
        <v>0</v>
      </c>
      <c r="GP11" s="278">
        <v>0</v>
      </c>
      <c r="GQ11" s="265">
        <v>0</v>
      </c>
      <c r="GR11" s="265">
        <v>0</v>
      </c>
      <c r="GS11" s="265">
        <v>0</v>
      </c>
      <c r="GT11" s="265">
        <v>0</v>
      </c>
      <c r="GU11" s="265">
        <v>0</v>
      </c>
      <c r="GV11" s="265">
        <v>0</v>
      </c>
      <c r="GW11" s="265">
        <v>0</v>
      </c>
      <c r="GX11" s="265">
        <v>0</v>
      </c>
      <c r="GY11" s="265">
        <v>0</v>
      </c>
      <c r="GZ11" s="265">
        <v>0</v>
      </c>
      <c r="HA11" s="265">
        <v>0</v>
      </c>
      <c r="HB11" s="265">
        <v>0</v>
      </c>
      <c r="HC11" s="265">
        <v>0</v>
      </c>
      <c r="HD11" s="265">
        <v>0</v>
      </c>
      <c r="HE11" s="265">
        <v>0</v>
      </c>
      <c r="HF11" s="265">
        <v>0</v>
      </c>
      <c r="HG11" s="265">
        <v>0</v>
      </c>
      <c r="HH11" s="265">
        <v>0</v>
      </c>
      <c r="HI11" s="265"/>
      <c r="HJ11" s="265"/>
      <c r="HK11" s="265"/>
      <c r="HL11" s="265"/>
      <c r="HM11" s="265"/>
      <c r="HN11" s="265"/>
      <c r="HO11" s="265"/>
      <c r="HP11" s="265"/>
      <c r="HQ11" s="265"/>
      <c r="HR11" s="265"/>
      <c r="HS11" s="265"/>
      <c r="HT11" s="368"/>
      <c r="HU11" s="326">
        <f t="shared" si="1"/>
        <v>12</v>
      </c>
    </row>
    <row r="12" spans="1:229" x14ac:dyDescent="0.25">
      <c r="A12" s="2">
        <v>4</v>
      </c>
      <c r="B12" s="474"/>
      <c r="C12" s="3" t="s">
        <v>4</v>
      </c>
      <c r="D12" s="4" t="s">
        <v>20</v>
      </c>
      <c r="E12" s="6">
        <v>186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09">
        <f t="shared" si="0"/>
        <v>186</v>
      </c>
      <c r="N12" s="139"/>
      <c r="O12" s="7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01">
        <v>0</v>
      </c>
      <c r="AQ12" s="183"/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83"/>
      <c r="BX12" s="68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50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265">
        <v>0</v>
      </c>
      <c r="CP12" s="265">
        <v>0</v>
      </c>
      <c r="CQ12" s="265">
        <v>0</v>
      </c>
      <c r="CR12" s="265">
        <v>0</v>
      </c>
      <c r="CS12" s="265">
        <v>0</v>
      </c>
      <c r="CT12" s="265">
        <v>0</v>
      </c>
      <c r="CU12" s="265">
        <v>0</v>
      </c>
      <c r="CV12" s="265">
        <v>0</v>
      </c>
      <c r="CW12" s="265">
        <v>0</v>
      </c>
      <c r="CX12" s="265">
        <v>0</v>
      </c>
      <c r="CY12" s="265">
        <v>0</v>
      </c>
      <c r="CZ12" s="265">
        <v>0</v>
      </c>
      <c r="DA12" s="269">
        <v>0</v>
      </c>
      <c r="DB12" s="278">
        <v>0</v>
      </c>
      <c r="DC12" s="265">
        <v>0</v>
      </c>
      <c r="DD12" s="265">
        <v>0</v>
      </c>
      <c r="DE12" s="265">
        <v>0</v>
      </c>
      <c r="DF12" s="265">
        <v>0</v>
      </c>
      <c r="DG12" s="265">
        <v>0</v>
      </c>
      <c r="DH12" s="265">
        <v>0</v>
      </c>
      <c r="DI12" s="265">
        <v>0</v>
      </c>
      <c r="DJ12" s="265">
        <v>0</v>
      </c>
      <c r="DK12" s="265">
        <v>0</v>
      </c>
      <c r="DL12" s="265">
        <v>0</v>
      </c>
      <c r="DM12" s="265">
        <v>0</v>
      </c>
      <c r="DN12" s="265">
        <v>0</v>
      </c>
      <c r="DO12" s="265">
        <v>0</v>
      </c>
      <c r="DP12" s="265">
        <v>0</v>
      </c>
      <c r="DQ12" s="265">
        <v>0</v>
      </c>
      <c r="DR12" s="265">
        <v>0</v>
      </c>
      <c r="DS12" s="265">
        <v>0</v>
      </c>
      <c r="DT12" s="265">
        <v>0</v>
      </c>
      <c r="DU12" s="265">
        <v>0</v>
      </c>
      <c r="DV12" s="265">
        <v>0</v>
      </c>
      <c r="DW12" s="265">
        <v>0</v>
      </c>
      <c r="DX12" s="265">
        <v>0</v>
      </c>
      <c r="DY12" s="265">
        <v>0</v>
      </c>
      <c r="DZ12" s="265">
        <v>0</v>
      </c>
      <c r="EA12" s="265">
        <v>0</v>
      </c>
      <c r="EB12" s="265">
        <v>0</v>
      </c>
      <c r="EC12" s="265">
        <v>0</v>
      </c>
      <c r="ED12" s="265">
        <v>0</v>
      </c>
      <c r="EE12" s="265">
        <v>0</v>
      </c>
      <c r="EF12" s="269">
        <v>0</v>
      </c>
      <c r="EG12" s="278">
        <v>0</v>
      </c>
      <c r="EH12" s="269">
        <v>0</v>
      </c>
      <c r="EI12" s="265">
        <v>0</v>
      </c>
      <c r="EJ12" s="265">
        <v>0</v>
      </c>
      <c r="EK12" s="265">
        <v>0</v>
      </c>
      <c r="EL12" s="265">
        <v>0</v>
      </c>
      <c r="EM12" s="265">
        <v>0</v>
      </c>
      <c r="EN12" s="265">
        <v>0</v>
      </c>
      <c r="EO12" s="265">
        <v>0</v>
      </c>
      <c r="EP12" s="265">
        <v>0</v>
      </c>
      <c r="EQ12" s="265">
        <v>0</v>
      </c>
      <c r="ER12" s="265">
        <v>0</v>
      </c>
      <c r="ES12" s="265">
        <v>0</v>
      </c>
      <c r="ET12" s="265">
        <v>0</v>
      </c>
      <c r="EU12" s="265">
        <v>0</v>
      </c>
      <c r="EV12" s="265">
        <v>0</v>
      </c>
      <c r="EW12" s="265">
        <v>0</v>
      </c>
      <c r="EX12" s="265">
        <v>0</v>
      </c>
      <c r="EY12" s="265">
        <v>0</v>
      </c>
      <c r="EZ12" s="265">
        <v>0</v>
      </c>
      <c r="FA12" s="265">
        <v>0</v>
      </c>
      <c r="FB12" s="265">
        <v>0</v>
      </c>
      <c r="FC12" s="265">
        <v>0</v>
      </c>
      <c r="FD12" s="265">
        <v>0</v>
      </c>
      <c r="FE12" s="265">
        <v>0</v>
      </c>
      <c r="FF12" s="265">
        <v>0</v>
      </c>
      <c r="FG12" s="265">
        <v>0</v>
      </c>
      <c r="FH12" s="265">
        <v>0</v>
      </c>
      <c r="FI12" s="265">
        <v>0</v>
      </c>
      <c r="FJ12" s="269">
        <v>0</v>
      </c>
      <c r="FK12" s="278">
        <v>0</v>
      </c>
      <c r="FL12" s="265">
        <v>0</v>
      </c>
      <c r="FM12" s="265">
        <v>0</v>
      </c>
      <c r="FN12" s="265">
        <v>0</v>
      </c>
      <c r="FO12" s="265">
        <v>0</v>
      </c>
      <c r="FP12" s="265">
        <v>0</v>
      </c>
      <c r="FQ12" s="265">
        <v>0</v>
      </c>
      <c r="FR12" s="265">
        <v>0</v>
      </c>
      <c r="FS12" s="265">
        <v>0</v>
      </c>
      <c r="FT12" s="265">
        <v>0</v>
      </c>
      <c r="FU12" s="265">
        <v>0</v>
      </c>
      <c r="FV12" s="265">
        <v>0</v>
      </c>
      <c r="FW12" s="265">
        <v>0</v>
      </c>
      <c r="FX12" s="265">
        <v>0</v>
      </c>
      <c r="FY12" s="265">
        <v>0</v>
      </c>
      <c r="FZ12" s="265">
        <v>0</v>
      </c>
      <c r="GA12" s="265">
        <v>0</v>
      </c>
      <c r="GB12" s="265">
        <v>0</v>
      </c>
      <c r="GC12" s="265">
        <v>0</v>
      </c>
      <c r="GD12" s="265">
        <v>0</v>
      </c>
      <c r="GE12" s="265">
        <v>0</v>
      </c>
      <c r="GF12" s="265">
        <v>0</v>
      </c>
      <c r="GG12" s="265">
        <v>0</v>
      </c>
      <c r="GH12" s="265">
        <v>0</v>
      </c>
      <c r="GI12" s="265">
        <v>0</v>
      </c>
      <c r="GJ12" s="265">
        <v>0</v>
      </c>
      <c r="GK12" s="265">
        <v>0</v>
      </c>
      <c r="GL12" s="265">
        <v>0</v>
      </c>
      <c r="GM12" s="265">
        <v>0</v>
      </c>
      <c r="GN12" s="265">
        <v>0</v>
      </c>
      <c r="GO12" s="269">
        <v>0</v>
      </c>
      <c r="GP12" s="278">
        <v>0</v>
      </c>
      <c r="GQ12" s="265">
        <v>0</v>
      </c>
      <c r="GR12" s="265">
        <v>0</v>
      </c>
      <c r="GS12" s="265">
        <v>0</v>
      </c>
      <c r="GT12" s="265">
        <v>0</v>
      </c>
      <c r="GU12" s="265">
        <v>0</v>
      </c>
      <c r="GV12" s="265">
        <v>0</v>
      </c>
      <c r="GW12" s="265">
        <v>0</v>
      </c>
      <c r="GX12" s="265">
        <v>0</v>
      </c>
      <c r="GY12" s="265">
        <v>0</v>
      </c>
      <c r="GZ12" s="265">
        <v>0</v>
      </c>
      <c r="HA12" s="265">
        <v>0</v>
      </c>
      <c r="HB12" s="265">
        <v>0</v>
      </c>
      <c r="HC12" s="265">
        <v>0</v>
      </c>
      <c r="HD12" s="265">
        <v>0</v>
      </c>
      <c r="HE12" s="265">
        <v>0</v>
      </c>
      <c r="HF12" s="265">
        <v>0</v>
      </c>
      <c r="HG12" s="265">
        <v>0</v>
      </c>
      <c r="HH12" s="265">
        <v>0</v>
      </c>
      <c r="HI12" s="265"/>
      <c r="HJ12" s="265"/>
      <c r="HK12" s="265"/>
      <c r="HL12" s="265"/>
      <c r="HM12" s="265"/>
      <c r="HN12" s="265"/>
      <c r="HO12" s="265"/>
      <c r="HP12" s="265"/>
      <c r="HQ12" s="265"/>
      <c r="HR12" s="265"/>
      <c r="HS12" s="265"/>
      <c r="HT12" s="368"/>
      <c r="HU12" s="326">
        <f t="shared" si="1"/>
        <v>50</v>
      </c>
    </row>
    <row r="13" spans="1:229" x14ac:dyDescent="0.25">
      <c r="A13" s="2">
        <v>5</v>
      </c>
      <c r="B13" s="474"/>
      <c r="C13" s="3" t="s">
        <v>5</v>
      </c>
      <c r="D13" s="4" t="s">
        <v>20</v>
      </c>
      <c r="E13" s="6"/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09">
        <f t="shared" si="0"/>
        <v>0</v>
      </c>
      <c r="N13" s="139"/>
      <c r="O13" s="7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153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517</v>
      </c>
      <c r="AO13" s="13">
        <v>0</v>
      </c>
      <c r="AP13" s="101">
        <v>0</v>
      </c>
      <c r="AQ13" s="183"/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200</v>
      </c>
      <c r="BQ13" s="13">
        <v>0</v>
      </c>
      <c r="BR13" s="13">
        <v>0</v>
      </c>
      <c r="BS13" s="13">
        <v>950</v>
      </c>
      <c r="BT13" s="13">
        <v>0</v>
      </c>
      <c r="BU13" s="13">
        <v>0</v>
      </c>
      <c r="BV13" s="101">
        <v>50</v>
      </c>
      <c r="BW13" s="183"/>
      <c r="BX13" s="68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265">
        <v>16</v>
      </c>
      <c r="CP13" s="265">
        <v>0</v>
      </c>
      <c r="CQ13" s="265">
        <v>0</v>
      </c>
      <c r="CR13" s="265">
        <v>0</v>
      </c>
      <c r="CS13" s="265">
        <v>0</v>
      </c>
      <c r="CT13" s="265">
        <v>75</v>
      </c>
      <c r="CU13" s="265">
        <v>0</v>
      </c>
      <c r="CV13" s="265">
        <v>0</v>
      </c>
      <c r="CW13" s="265">
        <v>0</v>
      </c>
      <c r="CX13" s="265">
        <v>0</v>
      </c>
      <c r="CY13" s="265">
        <v>0</v>
      </c>
      <c r="CZ13" s="265">
        <v>0</v>
      </c>
      <c r="DA13" s="269">
        <v>884</v>
      </c>
      <c r="DB13" s="278">
        <v>0</v>
      </c>
      <c r="DC13" s="265">
        <v>0</v>
      </c>
      <c r="DD13" s="265">
        <v>0</v>
      </c>
      <c r="DE13" s="265">
        <v>0</v>
      </c>
      <c r="DF13" s="265">
        <v>0</v>
      </c>
      <c r="DG13" s="265">
        <v>0</v>
      </c>
      <c r="DH13" s="265">
        <v>0</v>
      </c>
      <c r="DI13" s="265">
        <v>0</v>
      </c>
      <c r="DJ13" s="265">
        <v>0</v>
      </c>
      <c r="DK13" s="265">
        <v>0</v>
      </c>
      <c r="DL13" s="265">
        <v>0</v>
      </c>
      <c r="DM13" s="265">
        <v>0</v>
      </c>
      <c r="DN13" s="265">
        <v>0</v>
      </c>
      <c r="DO13" s="265">
        <v>0</v>
      </c>
      <c r="DP13" s="265">
        <v>0</v>
      </c>
      <c r="DQ13" s="265">
        <v>0</v>
      </c>
      <c r="DR13" s="265">
        <v>0</v>
      </c>
      <c r="DS13" s="265">
        <v>0</v>
      </c>
      <c r="DT13" s="265">
        <v>0</v>
      </c>
      <c r="DU13" s="265">
        <v>0</v>
      </c>
      <c r="DV13" s="265">
        <v>0</v>
      </c>
      <c r="DW13" s="265">
        <v>0</v>
      </c>
      <c r="DX13" s="265">
        <v>0</v>
      </c>
      <c r="DY13" s="265">
        <v>0</v>
      </c>
      <c r="DZ13" s="265">
        <v>0</v>
      </c>
      <c r="EA13" s="265">
        <v>0</v>
      </c>
      <c r="EB13" s="265">
        <v>0</v>
      </c>
      <c r="EC13" s="265">
        <v>0</v>
      </c>
      <c r="ED13" s="265">
        <v>0</v>
      </c>
      <c r="EE13" s="265">
        <v>0</v>
      </c>
      <c r="EF13" s="269">
        <v>0</v>
      </c>
      <c r="EG13" s="278">
        <v>0</v>
      </c>
      <c r="EH13" s="269">
        <v>0</v>
      </c>
      <c r="EI13" s="265">
        <v>0</v>
      </c>
      <c r="EJ13" s="265">
        <v>0</v>
      </c>
      <c r="EK13" s="265">
        <v>0</v>
      </c>
      <c r="EL13" s="265">
        <v>0</v>
      </c>
      <c r="EM13" s="265">
        <v>0</v>
      </c>
      <c r="EN13" s="265">
        <v>0</v>
      </c>
      <c r="EO13" s="265">
        <v>0</v>
      </c>
      <c r="EP13" s="265">
        <v>0</v>
      </c>
      <c r="EQ13" s="265">
        <v>0</v>
      </c>
      <c r="ER13" s="265">
        <v>0</v>
      </c>
      <c r="ES13" s="265">
        <v>0</v>
      </c>
      <c r="ET13" s="265">
        <v>0</v>
      </c>
      <c r="EU13" s="265">
        <v>0</v>
      </c>
      <c r="EV13" s="265">
        <v>0</v>
      </c>
      <c r="EW13" s="265">
        <v>0</v>
      </c>
      <c r="EX13" s="265">
        <v>0</v>
      </c>
      <c r="EY13" s="265">
        <v>0</v>
      </c>
      <c r="EZ13" s="265">
        <v>0</v>
      </c>
      <c r="FA13" s="265">
        <v>0</v>
      </c>
      <c r="FB13" s="265">
        <v>0</v>
      </c>
      <c r="FC13" s="265">
        <v>0</v>
      </c>
      <c r="FD13" s="265">
        <v>0</v>
      </c>
      <c r="FE13" s="265">
        <v>0</v>
      </c>
      <c r="FF13" s="265">
        <v>0</v>
      </c>
      <c r="FG13" s="265">
        <v>0</v>
      </c>
      <c r="FH13" s="265">
        <v>0</v>
      </c>
      <c r="FI13" s="265">
        <v>0</v>
      </c>
      <c r="FJ13" s="269">
        <v>0</v>
      </c>
      <c r="FK13" s="278">
        <v>0</v>
      </c>
      <c r="FL13" s="265">
        <v>0</v>
      </c>
      <c r="FM13" s="265">
        <v>0</v>
      </c>
      <c r="FN13" s="265">
        <v>0</v>
      </c>
      <c r="FO13" s="265">
        <v>0</v>
      </c>
      <c r="FP13" s="265">
        <v>0</v>
      </c>
      <c r="FQ13" s="265">
        <v>0</v>
      </c>
      <c r="FR13" s="265">
        <v>0</v>
      </c>
      <c r="FS13" s="265">
        <v>0</v>
      </c>
      <c r="FT13" s="265">
        <v>0</v>
      </c>
      <c r="FU13" s="265">
        <v>0</v>
      </c>
      <c r="FV13" s="265">
        <v>0</v>
      </c>
      <c r="FW13" s="265">
        <v>0</v>
      </c>
      <c r="FX13" s="265">
        <v>0</v>
      </c>
      <c r="FY13" s="265">
        <v>0</v>
      </c>
      <c r="FZ13" s="265">
        <v>0</v>
      </c>
      <c r="GA13" s="265">
        <v>0</v>
      </c>
      <c r="GB13" s="265">
        <v>0</v>
      </c>
      <c r="GC13" s="265">
        <v>0</v>
      </c>
      <c r="GD13" s="265">
        <v>0</v>
      </c>
      <c r="GE13" s="265">
        <v>0</v>
      </c>
      <c r="GF13" s="265">
        <v>0</v>
      </c>
      <c r="GG13" s="265">
        <v>0</v>
      </c>
      <c r="GH13" s="265">
        <v>0</v>
      </c>
      <c r="GI13" s="265">
        <v>0</v>
      </c>
      <c r="GJ13" s="265">
        <v>0</v>
      </c>
      <c r="GK13" s="265">
        <v>0</v>
      </c>
      <c r="GL13" s="265">
        <v>0</v>
      </c>
      <c r="GM13" s="265">
        <v>0</v>
      </c>
      <c r="GN13" s="265">
        <v>0</v>
      </c>
      <c r="GO13" s="269">
        <v>0</v>
      </c>
      <c r="GP13" s="278">
        <v>0</v>
      </c>
      <c r="GQ13" s="265">
        <v>0</v>
      </c>
      <c r="GR13" s="265">
        <v>0</v>
      </c>
      <c r="GS13" s="265">
        <v>0</v>
      </c>
      <c r="GT13" s="265">
        <v>0</v>
      </c>
      <c r="GU13" s="265">
        <v>0</v>
      </c>
      <c r="GV13" s="265">
        <v>0</v>
      </c>
      <c r="GW13" s="265">
        <v>0</v>
      </c>
      <c r="GX13" s="265">
        <v>0</v>
      </c>
      <c r="GY13" s="265">
        <v>0</v>
      </c>
      <c r="GZ13" s="265">
        <v>0</v>
      </c>
      <c r="HA13" s="265">
        <v>0</v>
      </c>
      <c r="HB13" s="265">
        <v>0</v>
      </c>
      <c r="HC13" s="265">
        <v>0</v>
      </c>
      <c r="HD13" s="265">
        <v>0</v>
      </c>
      <c r="HE13" s="265">
        <v>0</v>
      </c>
      <c r="HF13" s="265">
        <v>0</v>
      </c>
      <c r="HG13" s="265">
        <v>0</v>
      </c>
      <c r="HH13" s="265">
        <v>0</v>
      </c>
      <c r="HI13" s="265"/>
      <c r="HJ13" s="265"/>
      <c r="HK13" s="265"/>
      <c r="HL13" s="265"/>
      <c r="HM13" s="265"/>
      <c r="HN13" s="265"/>
      <c r="HO13" s="265"/>
      <c r="HP13" s="265"/>
      <c r="HQ13" s="265"/>
      <c r="HR13" s="265"/>
      <c r="HS13" s="265"/>
      <c r="HT13" s="368"/>
      <c r="HU13" s="326">
        <f t="shared" si="1"/>
        <v>2845</v>
      </c>
    </row>
    <row r="14" spans="1:229" x14ac:dyDescent="0.25">
      <c r="A14" s="2">
        <v>6</v>
      </c>
      <c r="B14" s="474"/>
      <c r="C14" s="3" t="s">
        <v>6</v>
      </c>
      <c r="D14" s="4" t="s">
        <v>20</v>
      </c>
      <c r="E14" s="6"/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09">
        <f t="shared" si="0"/>
        <v>0</v>
      </c>
      <c r="N14" s="139"/>
      <c r="O14" s="7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01">
        <v>0</v>
      </c>
      <c r="AQ14" s="183"/>
      <c r="AR14" s="13">
        <v>0</v>
      </c>
      <c r="AS14" s="13">
        <v>1467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83"/>
      <c r="BX14" s="68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265">
        <v>0</v>
      </c>
      <c r="CP14" s="265">
        <v>0</v>
      </c>
      <c r="CQ14" s="265">
        <v>0</v>
      </c>
      <c r="CR14" s="265">
        <v>0</v>
      </c>
      <c r="CS14" s="265">
        <v>0</v>
      </c>
      <c r="CT14" s="265">
        <v>0</v>
      </c>
      <c r="CU14" s="265">
        <v>0</v>
      </c>
      <c r="CV14" s="265">
        <v>0</v>
      </c>
      <c r="CW14" s="265">
        <v>0</v>
      </c>
      <c r="CX14" s="265">
        <v>0</v>
      </c>
      <c r="CY14" s="265">
        <v>0</v>
      </c>
      <c r="CZ14" s="265">
        <v>0</v>
      </c>
      <c r="DA14" s="269">
        <v>0</v>
      </c>
      <c r="DB14" s="278">
        <v>0</v>
      </c>
      <c r="DC14" s="265">
        <v>0</v>
      </c>
      <c r="DD14" s="265">
        <v>0</v>
      </c>
      <c r="DE14" s="265">
        <v>0</v>
      </c>
      <c r="DF14" s="265">
        <v>0</v>
      </c>
      <c r="DG14" s="265">
        <v>0</v>
      </c>
      <c r="DH14" s="265">
        <v>0</v>
      </c>
      <c r="DI14" s="265">
        <v>0</v>
      </c>
      <c r="DJ14" s="265">
        <v>0</v>
      </c>
      <c r="DK14" s="265">
        <v>0</v>
      </c>
      <c r="DL14" s="265">
        <v>0</v>
      </c>
      <c r="DM14" s="265">
        <v>0</v>
      </c>
      <c r="DN14" s="265">
        <v>0</v>
      </c>
      <c r="DO14" s="265">
        <v>0</v>
      </c>
      <c r="DP14" s="265">
        <v>0</v>
      </c>
      <c r="DQ14" s="265">
        <v>0</v>
      </c>
      <c r="DR14" s="265">
        <v>0</v>
      </c>
      <c r="DS14" s="265">
        <v>0</v>
      </c>
      <c r="DT14" s="265">
        <v>0</v>
      </c>
      <c r="DU14" s="265">
        <v>0</v>
      </c>
      <c r="DV14" s="265">
        <v>0</v>
      </c>
      <c r="DW14" s="265">
        <v>0</v>
      </c>
      <c r="DX14" s="265">
        <v>0</v>
      </c>
      <c r="DY14" s="265">
        <v>0</v>
      </c>
      <c r="DZ14" s="265">
        <v>0</v>
      </c>
      <c r="EA14" s="265">
        <v>0</v>
      </c>
      <c r="EB14" s="265">
        <v>0</v>
      </c>
      <c r="EC14" s="265">
        <v>0</v>
      </c>
      <c r="ED14" s="265">
        <v>0</v>
      </c>
      <c r="EE14" s="265">
        <v>0</v>
      </c>
      <c r="EF14" s="269">
        <v>0</v>
      </c>
      <c r="EG14" s="278">
        <v>0</v>
      </c>
      <c r="EH14" s="269">
        <v>0</v>
      </c>
      <c r="EI14" s="265">
        <v>0</v>
      </c>
      <c r="EJ14" s="265">
        <v>0</v>
      </c>
      <c r="EK14" s="265">
        <v>0</v>
      </c>
      <c r="EL14" s="265">
        <v>0</v>
      </c>
      <c r="EM14" s="265">
        <v>0</v>
      </c>
      <c r="EN14" s="265">
        <v>0</v>
      </c>
      <c r="EO14" s="265">
        <v>0</v>
      </c>
      <c r="EP14" s="265">
        <v>0</v>
      </c>
      <c r="EQ14" s="265">
        <v>0</v>
      </c>
      <c r="ER14" s="265">
        <v>0</v>
      </c>
      <c r="ES14" s="265">
        <v>0</v>
      </c>
      <c r="ET14" s="265">
        <v>0</v>
      </c>
      <c r="EU14" s="265">
        <v>0</v>
      </c>
      <c r="EV14" s="265">
        <v>0</v>
      </c>
      <c r="EW14" s="265">
        <v>0</v>
      </c>
      <c r="EX14" s="265">
        <v>0</v>
      </c>
      <c r="EY14" s="265">
        <v>0</v>
      </c>
      <c r="EZ14" s="265">
        <v>0</v>
      </c>
      <c r="FA14" s="265">
        <v>0</v>
      </c>
      <c r="FB14" s="265">
        <v>0</v>
      </c>
      <c r="FC14" s="265">
        <v>0</v>
      </c>
      <c r="FD14" s="265">
        <v>0</v>
      </c>
      <c r="FE14" s="265">
        <v>0</v>
      </c>
      <c r="FF14" s="265">
        <v>0</v>
      </c>
      <c r="FG14" s="265">
        <v>0</v>
      </c>
      <c r="FH14" s="265">
        <v>0</v>
      </c>
      <c r="FI14" s="265">
        <v>0</v>
      </c>
      <c r="FJ14" s="269">
        <v>0</v>
      </c>
      <c r="FK14" s="278">
        <v>0</v>
      </c>
      <c r="FL14" s="265">
        <v>0</v>
      </c>
      <c r="FM14" s="265">
        <v>0</v>
      </c>
      <c r="FN14" s="265">
        <v>0</v>
      </c>
      <c r="FO14" s="265">
        <v>0</v>
      </c>
      <c r="FP14" s="265">
        <v>0</v>
      </c>
      <c r="FQ14" s="265">
        <v>0</v>
      </c>
      <c r="FR14" s="265">
        <v>0</v>
      </c>
      <c r="FS14" s="265">
        <v>0</v>
      </c>
      <c r="FT14" s="265">
        <v>0</v>
      </c>
      <c r="FU14" s="265">
        <v>0</v>
      </c>
      <c r="FV14" s="265">
        <v>0</v>
      </c>
      <c r="FW14" s="265">
        <v>0</v>
      </c>
      <c r="FX14" s="265">
        <v>0</v>
      </c>
      <c r="FY14" s="265">
        <v>0</v>
      </c>
      <c r="FZ14" s="265">
        <v>0</v>
      </c>
      <c r="GA14" s="265">
        <v>0</v>
      </c>
      <c r="GB14" s="265">
        <v>0</v>
      </c>
      <c r="GC14" s="265">
        <v>0</v>
      </c>
      <c r="GD14" s="265">
        <v>0</v>
      </c>
      <c r="GE14" s="265">
        <v>0</v>
      </c>
      <c r="GF14" s="265">
        <v>0</v>
      </c>
      <c r="GG14" s="265">
        <v>0</v>
      </c>
      <c r="GH14" s="265">
        <v>0</v>
      </c>
      <c r="GI14" s="265">
        <v>0</v>
      </c>
      <c r="GJ14" s="265">
        <v>0</v>
      </c>
      <c r="GK14" s="265">
        <v>0</v>
      </c>
      <c r="GL14" s="265">
        <v>0</v>
      </c>
      <c r="GM14" s="265">
        <v>0</v>
      </c>
      <c r="GN14" s="265">
        <v>0</v>
      </c>
      <c r="GO14" s="269">
        <v>0</v>
      </c>
      <c r="GP14" s="278">
        <v>0</v>
      </c>
      <c r="GQ14" s="265">
        <v>0</v>
      </c>
      <c r="GR14" s="265">
        <v>0</v>
      </c>
      <c r="GS14" s="265">
        <v>0</v>
      </c>
      <c r="GT14" s="265">
        <v>0</v>
      </c>
      <c r="GU14" s="265">
        <v>0</v>
      </c>
      <c r="GV14" s="265">
        <v>0</v>
      </c>
      <c r="GW14" s="265">
        <v>0</v>
      </c>
      <c r="GX14" s="265">
        <v>0</v>
      </c>
      <c r="GY14" s="265">
        <v>0</v>
      </c>
      <c r="GZ14" s="265">
        <v>0</v>
      </c>
      <c r="HA14" s="265">
        <v>0</v>
      </c>
      <c r="HB14" s="265">
        <v>0</v>
      </c>
      <c r="HC14" s="265">
        <v>0</v>
      </c>
      <c r="HD14" s="265">
        <v>0</v>
      </c>
      <c r="HE14" s="265">
        <v>0</v>
      </c>
      <c r="HF14" s="265">
        <v>0</v>
      </c>
      <c r="HG14" s="265">
        <v>0</v>
      </c>
      <c r="HH14" s="265">
        <v>0</v>
      </c>
      <c r="HI14" s="265"/>
      <c r="HJ14" s="265"/>
      <c r="HK14" s="265"/>
      <c r="HL14" s="265"/>
      <c r="HM14" s="265"/>
      <c r="HN14" s="265"/>
      <c r="HO14" s="265"/>
      <c r="HP14" s="265"/>
      <c r="HQ14" s="265"/>
      <c r="HR14" s="265"/>
      <c r="HS14" s="265"/>
      <c r="HT14" s="368"/>
      <c r="HU14" s="326">
        <f t="shared" si="1"/>
        <v>1467</v>
      </c>
    </row>
    <row r="15" spans="1:229" x14ac:dyDescent="0.25">
      <c r="A15" s="2">
        <v>7</v>
      </c>
      <c r="B15" s="474"/>
      <c r="C15" s="3" t="s">
        <v>7</v>
      </c>
      <c r="D15" s="4" t="s">
        <v>20</v>
      </c>
      <c r="E15" s="6"/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09">
        <f t="shared" si="0"/>
        <v>0</v>
      </c>
      <c r="N15" s="139"/>
      <c r="O15" s="7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01">
        <v>0</v>
      </c>
      <c r="AQ15" s="183"/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83"/>
      <c r="BX15" s="68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924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265">
        <v>0</v>
      </c>
      <c r="CP15" s="265">
        <v>0</v>
      </c>
      <c r="CQ15" s="265">
        <v>0</v>
      </c>
      <c r="CR15" s="265">
        <v>0</v>
      </c>
      <c r="CS15" s="265">
        <v>0</v>
      </c>
      <c r="CT15" s="265">
        <v>0</v>
      </c>
      <c r="CU15" s="265">
        <v>0</v>
      </c>
      <c r="CV15" s="265">
        <v>0</v>
      </c>
      <c r="CW15" s="265">
        <v>0</v>
      </c>
      <c r="CX15" s="265">
        <v>0</v>
      </c>
      <c r="CY15" s="265">
        <v>66</v>
      </c>
      <c r="CZ15" s="265">
        <v>0</v>
      </c>
      <c r="DA15" s="269">
        <v>0</v>
      </c>
      <c r="DB15" s="278">
        <v>0</v>
      </c>
      <c r="DC15" s="265">
        <v>0</v>
      </c>
      <c r="DD15" s="265">
        <v>0</v>
      </c>
      <c r="DE15" s="265">
        <v>0</v>
      </c>
      <c r="DF15" s="265">
        <v>0</v>
      </c>
      <c r="DG15" s="265">
        <v>0</v>
      </c>
      <c r="DH15" s="265">
        <v>0</v>
      </c>
      <c r="DI15" s="265">
        <v>0</v>
      </c>
      <c r="DJ15" s="265">
        <v>0</v>
      </c>
      <c r="DK15" s="265">
        <v>0</v>
      </c>
      <c r="DL15" s="265">
        <v>0</v>
      </c>
      <c r="DM15" s="265">
        <v>0</v>
      </c>
      <c r="DN15" s="265">
        <v>0</v>
      </c>
      <c r="DO15" s="265">
        <v>0</v>
      </c>
      <c r="DP15" s="265">
        <v>0</v>
      </c>
      <c r="DQ15" s="265">
        <v>0</v>
      </c>
      <c r="DR15" s="265">
        <v>0</v>
      </c>
      <c r="DS15" s="265">
        <v>0</v>
      </c>
      <c r="DT15" s="265">
        <v>0</v>
      </c>
      <c r="DU15" s="265">
        <v>0</v>
      </c>
      <c r="DV15" s="265">
        <v>0</v>
      </c>
      <c r="DW15" s="265">
        <v>0</v>
      </c>
      <c r="DX15" s="265">
        <v>0</v>
      </c>
      <c r="DY15" s="265">
        <v>0</v>
      </c>
      <c r="DZ15" s="265">
        <v>0</v>
      </c>
      <c r="EA15" s="265">
        <v>0</v>
      </c>
      <c r="EB15" s="265">
        <v>0</v>
      </c>
      <c r="EC15" s="265">
        <v>0</v>
      </c>
      <c r="ED15" s="265">
        <v>0</v>
      </c>
      <c r="EE15" s="265">
        <v>0</v>
      </c>
      <c r="EF15" s="269">
        <v>0</v>
      </c>
      <c r="EG15" s="278">
        <v>0</v>
      </c>
      <c r="EH15" s="269">
        <v>0</v>
      </c>
      <c r="EI15" s="265">
        <v>0</v>
      </c>
      <c r="EJ15" s="265">
        <v>0</v>
      </c>
      <c r="EK15" s="265">
        <v>0</v>
      </c>
      <c r="EL15" s="265">
        <v>0</v>
      </c>
      <c r="EM15" s="265">
        <v>0</v>
      </c>
      <c r="EN15" s="265">
        <v>0</v>
      </c>
      <c r="EO15" s="265">
        <v>0</v>
      </c>
      <c r="EP15" s="265">
        <v>0</v>
      </c>
      <c r="EQ15" s="265">
        <v>0</v>
      </c>
      <c r="ER15" s="265">
        <v>0</v>
      </c>
      <c r="ES15" s="265">
        <v>0</v>
      </c>
      <c r="ET15" s="265">
        <v>0</v>
      </c>
      <c r="EU15" s="265">
        <v>0</v>
      </c>
      <c r="EV15" s="265">
        <v>0</v>
      </c>
      <c r="EW15" s="265">
        <v>0</v>
      </c>
      <c r="EX15" s="265">
        <v>0</v>
      </c>
      <c r="EY15" s="265">
        <v>0</v>
      </c>
      <c r="EZ15" s="265">
        <v>0</v>
      </c>
      <c r="FA15" s="265">
        <v>0</v>
      </c>
      <c r="FB15" s="265">
        <v>0</v>
      </c>
      <c r="FC15" s="265">
        <v>0</v>
      </c>
      <c r="FD15" s="265">
        <v>0</v>
      </c>
      <c r="FE15" s="265">
        <v>0</v>
      </c>
      <c r="FF15" s="265">
        <v>0</v>
      </c>
      <c r="FG15" s="265">
        <v>0</v>
      </c>
      <c r="FH15" s="265">
        <v>0</v>
      </c>
      <c r="FI15" s="265">
        <v>0</v>
      </c>
      <c r="FJ15" s="269">
        <v>0</v>
      </c>
      <c r="FK15" s="278">
        <v>0</v>
      </c>
      <c r="FL15" s="265">
        <v>0</v>
      </c>
      <c r="FM15" s="265">
        <v>0</v>
      </c>
      <c r="FN15" s="265">
        <v>0</v>
      </c>
      <c r="FO15" s="265">
        <v>0</v>
      </c>
      <c r="FP15" s="265">
        <v>0</v>
      </c>
      <c r="FQ15" s="265">
        <v>0</v>
      </c>
      <c r="FR15" s="265">
        <v>0</v>
      </c>
      <c r="FS15" s="265">
        <v>0</v>
      </c>
      <c r="FT15" s="265">
        <v>0</v>
      </c>
      <c r="FU15" s="265">
        <v>0</v>
      </c>
      <c r="FV15" s="265">
        <v>0</v>
      </c>
      <c r="FW15" s="265">
        <v>0</v>
      </c>
      <c r="FX15" s="265">
        <v>0</v>
      </c>
      <c r="FY15" s="265">
        <v>0</v>
      </c>
      <c r="FZ15" s="265">
        <v>0</v>
      </c>
      <c r="GA15" s="265">
        <v>0</v>
      </c>
      <c r="GB15" s="265">
        <v>0</v>
      </c>
      <c r="GC15" s="265">
        <v>0</v>
      </c>
      <c r="GD15" s="265">
        <v>0</v>
      </c>
      <c r="GE15" s="265">
        <v>0</v>
      </c>
      <c r="GF15" s="265">
        <v>0</v>
      </c>
      <c r="GG15" s="265">
        <v>0</v>
      </c>
      <c r="GH15" s="265">
        <v>0</v>
      </c>
      <c r="GI15" s="265">
        <v>0</v>
      </c>
      <c r="GJ15" s="265">
        <v>0</v>
      </c>
      <c r="GK15" s="265">
        <v>0</v>
      </c>
      <c r="GL15" s="265">
        <v>0</v>
      </c>
      <c r="GM15" s="265">
        <v>0</v>
      </c>
      <c r="GN15" s="265">
        <v>0</v>
      </c>
      <c r="GO15" s="269">
        <v>0</v>
      </c>
      <c r="GP15" s="278">
        <v>0</v>
      </c>
      <c r="GQ15" s="265">
        <v>0</v>
      </c>
      <c r="GR15" s="265">
        <v>0</v>
      </c>
      <c r="GS15" s="265">
        <v>0</v>
      </c>
      <c r="GT15" s="265">
        <v>0</v>
      </c>
      <c r="GU15" s="265">
        <v>0</v>
      </c>
      <c r="GV15" s="265">
        <v>0</v>
      </c>
      <c r="GW15" s="265">
        <v>0</v>
      </c>
      <c r="GX15" s="265">
        <v>0</v>
      </c>
      <c r="GY15" s="265">
        <v>0</v>
      </c>
      <c r="GZ15" s="265">
        <v>0</v>
      </c>
      <c r="HA15" s="265">
        <v>0</v>
      </c>
      <c r="HB15" s="265">
        <v>0</v>
      </c>
      <c r="HC15" s="265">
        <v>0</v>
      </c>
      <c r="HD15" s="265">
        <v>0</v>
      </c>
      <c r="HE15" s="265">
        <v>0</v>
      </c>
      <c r="HF15" s="265">
        <v>0</v>
      </c>
      <c r="HG15" s="265">
        <v>0</v>
      </c>
      <c r="HH15" s="265">
        <v>0</v>
      </c>
      <c r="HI15" s="265"/>
      <c r="HJ15" s="265"/>
      <c r="HK15" s="265"/>
      <c r="HL15" s="265"/>
      <c r="HM15" s="265"/>
      <c r="HN15" s="265"/>
      <c r="HO15" s="265"/>
      <c r="HP15" s="265"/>
      <c r="HQ15" s="265"/>
      <c r="HR15" s="265"/>
      <c r="HS15" s="265"/>
      <c r="HT15" s="368"/>
      <c r="HU15" s="326">
        <f t="shared" si="1"/>
        <v>990</v>
      </c>
    </row>
    <row r="16" spans="1:229" x14ac:dyDescent="0.25">
      <c r="A16" s="2">
        <v>8</v>
      </c>
      <c r="B16" s="474"/>
      <c r="C16" s="3" t="s">
        <v>8</v>
      </c>
      <c r="D16" s="4" t="s">
        <v>20</v>
      </c>
      <c r="E16" s="6"/>
      <c r="F16" s="13">
        <v>0</v>
      </c>
      <c r="G16" s="13">
        <v>0</v>
      </c>
      <c r="H16" s="6">
        <v>225</v>
      </c>
      <c r="I16" s="13">
        <v>0</v>
      </c>
      <c r="J16" s="13">
        <v>0</v>
      </c>
      <c r="K16" s="13">
        <v>0</v>
      </c>
      <c r="L16" s="13">
        <v>0</v>
      </c>
      <c r="M16" s="109">
        <f t="shared" si="0"/>
        <v>225</v>
      </c>
      <c r="N16" s="139"/>
      <c r="O16" s="73">
        <v>0</v>
      </c>
      <c r="P16" s="13">
        <v>0</v>
      </c>
      <c r="Q16" s="13">
        <v>0</v>
      </c>
      <c r="R16" s="13">
        <v>975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683</v>
      </c>
      <c r="AN16" s="13">
        <v>0</v>
      </c>
      <c r="AO16" s="13">
        <v>0</v>
      </c>
      <c r="AP16" s="101">
        <v>0</v>
      </c>
      <c r="AQ16" s="183"/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168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83"/>
      <c r="BX16" s="68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600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265">
        <v>0</v>
      </c>
      <c r="CP16" s="265">
        <v>0</v>
      </c>
      <c r="CQ16" s="265">
        <v>0</v>
      </c>
      <c r="CR16" s="265">
        <v>0</v>
      </c>
      <c r="CS16" s="265">
        <v>0</v>
      </c>
      <c r="CT16" s="265">
        <v>0</v>
      </c>
      <c r="CU16" s="265">
        <v>0</v>
      </c>
      <c r="CV16" s="265">
        <v>0</v>
      </c>
      <c r="CW16" s="265">
        <v>0</v>
      </c>
      <c r="CX16" s="265">
        <v>0</v>
      </c>
      <c r="CY16" s="265">
        <v>0</v>
      </c>
      <c r="CZ16" s="265">
        <v>0</v>
      </c>
      <c r="DA16" s="269">
        <v>0</v>
      </c>
      <c r="DB16" s="278">
        <v>0</v>
      </c>
      <c r="DC16" s="265">
        <v>0</v>
      </c>
      <c r="DD16" s="265">
        <v>0</v>
      </c>
      <c r="DE16" s="265">
        <v>0</v>
      </c>
      <c r="DF16" s="265">
        <v>0</v>
      </c>
      <c r="DG16" s="265">
        <v>0</v>
      </c>
      <c r="DH16" s="265">
        <v>0</v>
      </c>
      <c r="DI16" s="265">
        <v>0</v>
      </c>
      <c r="DJ16" s="265">
        <v>0</v>
      </c>
      <c r="DK16" s="265">
        <v>0</v>
      </c>
      <c r="DL16" s="265">
        <v>0</v>
      </c>
      <c r="DM16" s="265">
        <v>0</v>
      </c>
      <c r="DN16" s="265">
        <v>0</v>
      </c>
      <c r="DO16" s="265">
        <v>0</v>
      </c>
      <c r="DP16" s="265">
        <v>0</v>
      </c>
      <c r="DQ16" s="265">
        <v>0</v>
      </c>
      <c r="DR16" s="265">
        <v>0</v>
      </c>
      <c r="DS16" s="265">
        <v>0</v>
      </c>
      <c r="DT16" s="265">
        <v>0</v>
      </c>
      <c r="DU16" s="265">
        <v>0</v>
      </c>
      <c r="DV16" s="265">
        <v>0</v>
      </c>
      <c r="DW16" s="265">
        <v>0</v>
      </c>
      <c r="DX16" s="265">
        <v>0</v>
      </c>
      <c r="DY16" s="265">
        <v>0</v>
      </c>
      <c r="DZ16" s="265">
        <v>0</v>
      </c>
      <c r="EA16" s="265">
        <v>0</v>
      </c>
      <c r="EB16" s="265">
        <v>0</v>
      </c>
      <c r="EC16" s="265">
        <v>0</v>
      </c>
      <c r="ED16" s="265">
        <v>0</v>
      </c>
      <c r="EE16" s="265">
        <v>0</v>
      </c>
      <c r="EF16" s="269">
        <v>0</v>
      </c>
      <c r="EG16" s="278">
        <v>0</v>
      </c>
      <c r="EH16" s="269">
        <v>0</v>
      </c>
      <c r="EI16" s="265">
        <v>0</v>
      </c>
      <c r="EJ16" s="265">
        <v>0</v>
      </c>
      <c r="EK16" s="265">
        <v>0</v>
      </c>
      <c r="EL16" s="265">
        <v>0</v>
      </c>
      <c r="EM16" s="265">
        <v>0</v>
      </c>
      <c r="EN16" s="265">
        <v>0</v>
      </c>
      <c r="EO16" s="265">
        <v>0</v>
      </c>
      <c r="EP16" s="265">
        <v>0</v>
      </c>
      <c r="EQ16" s="265">
        <v>0</v>
      </c>
      <c r="ER16" s="265">
        <v>0</v>
      </c>
      <c r="ES16" s="265">
        <v>0</v>
      </c>
      <c r="ET16" s="265">
        <v>0</v>
      </c>
      <c r="EU16" s="265">
        <v>0</v>
      </c>
      <c r="EV16" s="265">
        <v>0</v>
      </c>
      <c r="EW16" s="265">
        <v>0</v>
      </c>
      <c r="EX16" s="265">
        <v>0</v>
      </c>
      <c r="EY16" s="265">
        <v>0</v>
      </c>
      <c r="EZ16" s="265">
        <v>0</v>
      </c>
      <c r="FA16" s="265">
        <v>0</v>
      </c>
      <c r="FB16" s="265">
        <v>0</v>
      </c>
      <c r="FC16" s="265">
        <v>0</v>
      </c>
      <c r="FD16" s="265">
        <v>0</v>
      </c>
      <c r="FE16" s="265">
        <v>0</v>
      </c>
      <c r="FF16" s="265">
        <v>0</v>
      </c>
      <c r="FG16" s="265">
        <v>0</v>
      </c>
      <c r="FH16" s="265">
        <v>0</v>
      </c>
      <c r="FI16" s="265">
        <v>0</v>
      </c>
      <c r="FJ16" s="269">
        <v>0</v>
      </c>
      <c r="FK16" s="278">
        <v>0</v>
      </c>
      <c r="FL16" s="265">
        <v>0</v>
      </c>
      <c r="FM16" s="265">
        <v>0</v>
      </c>
      <c r="FN16" s="265">
        <v>0</v>
      </c>
      <c r="FO16" s="265">
        <v>0</v>
      </c>
      <c r="FP16" s="265">
        <v>0</v>
      </c>
      <c r="FQ16" s="265">
        <v>0</v>
      </c>
      <c r="FR16" s="265">
        <v>0</v>
      </c>
      <c r="FS16" s="265">
        <v>0</v>
      </c>
      <c r="FT16" s="265">
        <v>0</v>
      </c>
      <c r="FU16" s="265">
        <v>0</v>
      </c>
      <c r="FV16" s="265">
        <v>0</v>
      </c>
      <c r="FW16" s="265">
        <v>0</v>
      </c>
      <c r="FX16" s="265">
        <v>0</v>
      </c>
      <c r="FY16" s="265">
        <v>0</v>
      </c>
      <c r="FZ16" s="265">
        <v>0</v>
      </c>
      <c r="GA16" s="265">
        <v>0</v>
      </c>
      <c r="GB16" s="265">
        <v>0</v>
      </c>
      <c r="GC16" s="265">
        <v>0</v>
      </c>
      <c r="GD16" s="265">
        <v>0</v>
      </c>
      <c r="GE16" s="265">
        <v>0</v>
      </c>
      <c r="GF16" s="265">
        <v>0</v>
      </c>
      <c r="GG16" s="265">
        <v>0</v>
      </c>
      <c r="GH16" s="265">
        <v>0</v>
      </c>
      <c r="GI16" s="265">
        <v>0</v>
      </c>
      <c r="GJ16" s="265">
        <v>0</v>
      </c>
      <c r="GK16" s="265">
        <v>0</v>
      </c>
      <c r="GL16" s="265">
        <v>0</v>
      </c>
      <c r="GM16" s="265">
        <v>0</v>
      </c>
      <c r="GN16" s="265">
        <v>0</v>
      </c>
      <c r="GO16" s="269">
        <v>0</v>
      </c>
      <c r="GP16" s="278">
        <v>0</v>
      </c>
      <c r="GQ16" s="265">
        <v>0</v>
      </c>
      <c r="GR16" s="265">
        <v>0</v>
      </c>
      <c r="GS16" s="265">
        <v>0</v>
      </c>
      <c r="GT16" s="265">
        <v>0</v>
      </c>
      <c r="GU16" s="265">
        <v>0</v>
      </c>
      <c r="GV16" s="265">
        <v>0</v>
      </c>
      <c r="GW16" s="265">
        <v>0</v>
      </c>
      <c r="GX16" s="265">
        <v>0</v>
      </c>
      <c r="GY16" s="265">
        <v>0</v>
      </c>
      <c r="GZ16" s="265">
        <v>0</v>
      </c>
      <c r="HA16" s="265">
        <v>0</v>
      </c>
      <c r="HB16" s="265">
        <v>0</v>
      </c>
      <c r="HC16" s="265">
        <v>0</v>
      </c>
      <c r="HD16" s="265">
        <v>0</v>
      </c>
      <c r="HE16" s="265">
        <v>0</v>
      </c>
      <c r="HF16" s="265">
        <v>0</v>
      </c>
      <c r="HG16" s="265">
        <v>0</v>
      </c>
      <c r="HH16" s="265">
        <v>0</v>
      </c>
      <c r="HI16" s="265"/>
      <c r="HJ16" s="265"/>
      <c r="HK16" s="265"/>
      <c r="HL16" s="265"/>
      <c r="HM16" s="265"/>
      <c r="HN16" s="265"/>
      <c r="HO16" s="265"/>
      <c r="HP16" s="265"/>
      <c r="HQ16" s="265"/>
      <c r="HR16" s="265"/>
      <c r="HS16" s="265"/>
      <c r="HT16" s="368"/>
      <c r="HU16" s="326">
        <f t="shared" si="1"/>
        <v>2426</v>
      </c>
    </row>
    <row r="17" spans="1:229" x14ac:dyDescent="0.25">
      <c r="A17" s="2">
        <v>9</v>
      </c>
      <c r="B17" s="474"/>
      <c r="C17" s="3" t="s">
        <v>9</v>
      </c>
      <c r="D17" s="4" t="s">
        <v>20</v>
      </c>
      <c r="E17" s="6"/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09">
        <f t="shared" si="0"/>
        <v>0</v>
      </c>
      <c r="N17" s="139"/>
      <c r="O17" s="7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1260</v>
      </c>
      <c r="AL17" s="13">
        <v>0</v>
      </c>
      <c r="AM17" s="13">
        <v>0</v>
      </c>
      <c r="AN17" s="13">
        <v>0</v>
      </c>
      <c r="AO17" s="13">
        <v>0</v>
      </c>
      <c r="AP17" s="101">
        <v>0</v>
      </c>
      <c r="AQ17" s="183"/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83"/>
      <c r="BX17" s="68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265">
        <v>0</v>
      </c>
      <c r="CP17" s="265">
        <v>0</v>
      </c>
      <c r="CQ17" s="265">
        <v>0</v>
      </c>
      <c r="CR17" s="265">
        <v>0</v>
      </c>
      <c r="CS17" s="265">
        <v>0</v>
      </c>
      <c r="CT17" s="265">
        <v>0</v>
      </c>
      <c r="CU17" s="265">
        <v>0</v>
      </c>
      <c r="CV17" s="265">
        <v>0</v>
      </c>
      <c r="CW17" s="265">
        <v>0</v>
      </c>
      <c r="CX17" s="265">
        <v>0</v>
      </c>
      <c r="CY17" s="265">
        <v>0</v>
      </c>
      <c r="CZ17" s="265">
        <v>0</v>
      </c>
      <c r="DA17" s="269">
        <v>0</v>
      </c>
      <c r="DB17" s="278">
        <v>0</v>
      </c>
      <c r="DC17" s="265">
        <v>0</v>
      </c>
      <c r="DD17" s="265">
        <v>0</v>
      </c>
      <c r="DE17" s="265">
        <v>0</v>
      </c>
      <c r="DF17" s="265">
        <v>0</v>
      </c>
      <c r="DG17" s="265">
        <v>0</v>
      </c>
      <c r="DH17" s="265">
        <v>0</v>
      </c>
      <c r="DI17" s="265">
        <v>0</v>
      </c>
      <c r="DJ17" s="265">
        <v>0</v>
      </c>
      <c r="DK17" s="265">
        <v>0</v>
      </c>
      <c r="DL17" s="265">
        <v>0</v>
      </c>
      <c r="DM17" s="265">
        <v>0</v>
      </c>
      <c r="DN17" s="265">
        <v>0</v>
      </c>
      <c r="DO17" s="265">
        <v>0</v>
      </c>
      <c r="DP17" s="265">
        <v>0</v>
      </c>
      <c r="DQ17" s="265">
        <v>0</v>
      </c>
      <c r="DR17" s="265">
        <v>0</v>
      </c>
      <c r="DS17" s="265">
        <v>0</v>
      </c>
      <c r="DT17" s="265">
        <v>0</v>
      </c>
      <c r="DU17" s="265">
        <v>0</v>
      </c>
      <c r="DV17" s="265">
        <v>0</v>
      </c>
      <c r="DW17" s="265">
        <v>0</v>
      </c>
      <c r="DX17" s="265">
        <v>0</v>
      </c>
      <c r="DY17" s="265">
        <v>0</v>
      </c>
      <c r="DZ17" s="265">
        <v>0</v>
      </c>
      <c r="EA17" s="265">
        <v>0</v>
      </c>
      <c r="EB17" s="265">
        <v>0</v>
      </c>
      <c r="EC17" s="265">
        <v>0</v>
      </c>
      <c r="ED17" s="265">
        <v>0</v>
      </c>
      <c r="EE17" s="265">
        <v>0</v>
      </c>
      <c r="EF17" s="269">
        <v>0</v>
      </c>
      <c r="EG17" s="278">
        <v>0</v>
      </c>
      <c r="EH17" s="269">
        <v>0</v>
      </c>
      <c r="EI17" s="265">
        <v>0</v>
      </c>
      <c r="EJ17" s="265">
        <v>0</v>
      </c>
      <c r="EK17" s="265">
        <v>0</v>
      </c>
      <c r="EL17" s="265">
        <v>0</v>
      </c>
      <c r="EM17" s="265">
        <v>0</v>
      </c>
      <c r="EN17" s="265">
        <v>0</v>
      </c>
      <c r="EO17" s="265">
        <v>0</v>
      </c>
      <c r="EP17" s="265">
        <v>0</v>
      </c>
      <c r="EQ17" s="265">
        <v>0</v>
      </c>
      <c r="ER17" s="265">
        <v>0</v>
      </c>
      <c r="ES17" s="265">
        <v>0</v>
      </c>
      <c r="ET17" s="265">
        <v>0</v>
      </c>
      <c r="EU17" s="265">
        <v>0</v>
      </c>
      <c r="EV17" s="265">
        <v>0</v>
      </c>
      <c r="EW17" s="265">
        <v>0</v>
      </c>
      <c r="EX17" s="265">
        <v>0</v>
      </c>
      <c r="EY17" s="265">
        <v>0</v>
      </c>
      <c r="EZ17" s="265">
        <v>0</v>
      </c>
      <c r="FA17" s="265">
        <v>0</v>
      </c>
      <c r="FB17" s="265">
        <v>0</v>
      </c>
      <c r="FC17" s="265">
        <v>0</v>
      </c>
      <c r="FD17" s="265">
        <v>0</v>
      </c>
      <c r="FE17" s="265">
        <v>0</v>
      </c>
      <c r="FF17" s="265">
        <v>0</v>
      </c>
      <c r="FG17" s="265">
        <v>0</v>
      </c>
      <c r="FH17" s="265">
        <v>0</v>
      </c>
      <c r="FI17" s="265">
        <v>0</v>
      </c>
      <c r="FJ17" s="269">
        <v>0</v>
      </c>
      <c r="FK17" s="278">
        <v>0</v>
      </c>
      <c r="FL17" s="265">
        <v>0</v>
      </c>
      <c r="FM17" s="265">
        <v>0</v>
      </c>
      <c r="FN17" s="265">
        <v>0</v>
      </c>
      <c r="FO17" s="265">
        <v>0</v>
      </c>
      <c r="FP17" s="265">
        <v>0</v>
      </c>
      <c r="FQ17" s="265">
        <v>0</v>
      </c>
      <c r="FR17" s="265">
        <v>0</v>
      </c>
      <c r="FS17" s="265">
        <v>0</v>
      </c>
      <c r="FT17" s="265">
        <v>0</v>
      </c>
      <c r="FU17" s="265">
        <v>0</v>
      </c>
      <c r="FV17" s="265">
        <v>0</v>
      </c>
      <c r="FW17" s="265">
        <v>0</v>
      </c>
      <c r="FX17" s="265">
        <v>0</v>
      </c>
      <c r="FY17" s="265">
        <v>0</v>
      </c>
      <c r="FZ17" s="265">
        <v>0</v>
      </c>
      <c r="GA17" s="265">
        <v>0</v>
      </c>
      <c r="GB17" s="265">
        <v>0</v>
      </c>
      <c r="GC17" s="265">
        <v>0</v>
      </c>
      <c r="GD17" s="265">
        <v>0</v>
      </c>
      <c r="GE17" s="265">
        <v>0</v>
      </c>
      <c r="GF17" s="265">
        <v>0</v>
      </c>
      <c r="GG17" s="265">
        <v>0</v>
      </c>
      <c r="GH17" s="265">
        <v>0</v>
      </c>
      <c r="GI17" s="265">
        <v>0</v>
      </c>
      <c r="GJ17" s="265">
        <v>0</v>
      </c>
      <c r="GK17" s="265">
        <v>0</v>
      </c>
      <c r="GL17" s="265">
        <v>0</v>
      </c>
      <c r="GM17" s="265">
        <v>0</v>
      </c>
      <c r="GN17" s="265">
        <v>0</v>
      </c>
      <c r="GO17" s="269">
        <v>0</v>
      </c>
      <c r="GP17" s="278">
        <v>0</v>
      </c>
      <c r="GQ17" s="265">
        <v>0</v>
      </c>
      <c r="GR17" s="265">
        <v>0</v>
      </c>
      <c r="GS17" s="265">
        <v>0</v>
      </c>
      <c r="GT17" s="265">
        <v>0</v>
      </c>
      <c r="GU17" s="265">
        <v>0</v>
      </c>
      <c r="GV17" s="265">
        <v>0</v>
      </c>
      <c r="GW17" s="265">
        <v>0</v>
      </c>
      <c r="GX17" s="265">
        <v>0</v>
      </c>
      <c r="GY17" s="265">
        <v>0</v>
      </c>
      <c r="GZ17" s="265">
        <v>0</v>
      </c>
      <c r="HA17" s="265">
        <v>0</v>
      </c>
      <c r="HB17" s="265">
        <v>0</v>
      </c>
      <c r="HC17" s="265">
        <v>0</v>
      </c>
      <c r="HD17" s="265">
        <v>0</v>
      </c>
      <c r="HE17" s="265">
        <v>0</v>
      </c>
      <c r="HF17" s="265">
        <v>0</v>
      </c>
      <c r="HG17" s="265">
        <v>0</v>
      </c>
      <c r="HH17" s="265">
        <v>0</v>
      </c>
      <c r="HI17" s="265"/>
      <c r="HJ17" s="265"/>
      <c r="HK17" s="265"/>
      <c r="HL17" s="265"/>
      <c r="HM17" s="265"/>
      <c r="HN17" s="265"/>
      <c r="HO17" s="265"/>
      <c r="HP17" s="265"/>
      <c r="HQ17" s="265"/>
      <c r="HR17" s="265"/>
      <c r="HS17" s="265"/>
      <c r="HT17" s="368"/>
      <c r="HU17" s="326">
        <f t="shared" si="1"/>
        <v>1260</v>
      </c>
    </row>
    <row r="18" spans="1:229" x14ac:dyDescent="0.25">
      <c r="A18" s="2">
        <v>10</v>
      </c>
      <c r="B18" s="474"/>
      <c r="C18" s="3" t="s">
        <v>10</v>
      </c>
      <c r="D18" s="4" t="s">
        <v>20</v>
      </c>
      <c r="E18" s="6"/>
      <c r="F18" s="13">
        <v>0</v>
      </c>
      <c r="G18" s="64">
        <v>625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09">
        <f t="shared" si="0"/>
        <v>625</v>
      </c>
      <c r="N18" s="139"/>
      <c r="O18" s="73">
        <v>68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01">
        <v>0</v>
      </c>
      <c r="AQ18" s="183"/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73</v>
      </c>
      <c r="BB18" s="13">
        <v>0</v>
      </c>
      <c r="BC18" s="13">
        <v>0</v>
      </c>
      <c r="BD18" s="13">
        <v>0</v>
      </c>
      <c r="BE18" s="13">
        <v>710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850</v>
      </c>
      <c r="BU18" s="13">
        <v>0</v>
      </c>
      <c r="BV18" s="13">
        <v>0</v>
      </c>
      <c r="BW18" s="183"/>
      <c r="BX18" s="68">
        <v>0</v>
      </c>
      <c r="BY18" s="13">
        <v>0</v>
      </c>
      <c r="BZ18" s="13">
        <v>0</v>
      </c>
      <c r="CA18" s="13">
        <v>58</v>
      </c>
      <c r="CB18" s="13">
        <v>0</v>
      </c>
      <c r="CC18" s="13">
        <v>48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265">
        <v>0</v>
      </c>
      <c r="CP18" s="265">
        <v>0</v>
      </c>
      <c r="CQ18" s="265">
        <v>0</v>
      </c>
      <c r="CR18" s="265">
        <v>0</v>
      </c>
      <c r="CS18" s="265">
        <v>0</v>
      </c>
      <c r="CT18" s="265">
        <v>0</v>
      </c>
      <c r="CU18" s="265">
        <v>0</v>
      </c>
      <c r="CV18" s="265">
        <v>0</v>
      </c>
      <c r="CW18" s="265">
        <v>0</v>
      </c>
      <c r="CX18" s="265">
        <v>0</v>
      </c>
      <c r="CY18" s="265">
        <v>0</v>
      </c>
      <c r="CZ18" s="265">
        <v>0</v>
      </c>
      <c r="DA18" s="269">
        <v>0</v>
      </c>
      <c r="DB18" s="278">
        <v>0</v>
      </c>
      <c r="DC18" s="265">
        <v>0</v>
      </c>
      <c r="DD18" s="265">
        <v>0</v>
      </c>
      <c r="DE18" s="265">
        <v>0</v>
      </c>
      <c r="DF18" s="265">
        <v>0</v>
      </c>
      <c r="DG18" s="265">
        <v>0</v>
      </c>
      <c r="DH18" s="265">
        <v>0</v>
      </c>
      <c r="DI18" s="265">
        <v>0</v>
      </c>
      <c r="DJ18" s="265">
        <v>0</v>
      </c>
      <c r="DK18" s="265">
        <v>0</v>
      </c>
      <c r="DL18" s="265">
        <v>0</v>
      </c>
      <c r="DM18" s="265">
        <v>0</v>
      </c>
      <c r="DN18" s="265">
        <v>0</v>
      </c>
      <c r="DO18" s="265">
        <v>0</v>
      </c>
      <c r="DP18" s="265">
        <v>0</v>
      </c>
      <c r="DQ18" s="265">
        <v>0</v>
      </c>
      <c r="DR18" s="265">
        <v>0</v>
      </c>
      <c r="DS18" s="265">
        <v>0</v>
      </c>
      <c r="DT18" s="265">
        <v>0</v>
      </c>
      <c r="DU18" s="265">
        <v>0</v>
      </c>
      <c r="DV18" s="265">
        <v>0</v>
      </c>
      <c r="DW18" s="265">
        <v>0</v>
      </c>
      <c r="DX18" s="265">
        <v>0</v>
      </c>
      <c r="DY18" s="265">
        <v>0</v>
      </c>
      <c r="DZ18" s="265">
        <v>0</v>
      </c>
      <c r="EA18" s="265">
        <v>0</v>
      </c>
      <c r="EB18" s="265">
        <v>0</v>
      </c>
      <c r="EC18" s="265">
        <v>0</v>
      </c>
      <c r="ED18" s="265">
        <v>0</v>
      </c>
      <c r="EE18" s="265">
        <v>0</v>
      </c>
      <c r="EF18" s="269">
        <v>0</v>
      </c>
      <c r="EG18" s="278">
        <v>0</v>
      </c>
      <c r="EH18" s="269">
        <v>0</v>
      </c>
      <c r="EI18" s="265">
        <v>0</v>
      </c>
      <c r="EJ18" s="265">
        <v>0</v>
      </c>
      <c r="EK18" s="265">
        <v>0</v>
      </c>
      <c r="EL18" s="265">
        <v>0</v>
      </c>
      <c r="EM18" s="265">
        <v>0</v>
      </c>
      <c r="EN18" s="265">
        <v>0</v>
      </c>
      <c r="EO18" s="265">
        <v>0</v>
      </c>
      <c r="EP18" s="265">
        <v>0</v>
      </c>
      <c r="EQ18" s="265">
        <v>0</v>
      </c>
      <c r="ER18" s="265">
        <v>0</v>
      </c>
      <c r="ES18" s="265">
        <v>0</v>
      </c>
      <c r="ET18" s="265">
        <v>0</v>
      </c>
      <c r="EU18" s="265">
        <v>0</v>
      </c>
      <c r="EV18" s="265">
        <v>0</v>
      </c>
      <c r="EW18" s="265">
        <v>0</v>
      </c>
      <c r="EX18" s="265">
        <v>0</v>
      </c>
      <c r="EY18" s="265">
        <v>0</v>
      </c>
      <c r="EZ18" s="265">
        <v>0</v>
      </c>
      <c r="FA18" s="265">
        <v>0</v>
      </c>
      <c r="FB18" s="265">
        <v>0</v>
      </c>
      <c r="FC18" s="265">
        <v>0</v>
      </c>
      <c r="FD18" s="265">
        <v>0</v>
      </c>
      <c r="FE18" s="265">
        <v>0</v>
      </c>
      <c r="FF18" s="265">
        <v>0</v>
      </c>
      <c r="FG18" s="265">
        <v>0</v>
      </c>
      <c r="FH18" s="265">
        <v>0</v>
      </c>
      <c r="FI18" s="265">
        <v>195</v>
      </c>
      <c r="FJ18" s="269">
        <v>0</v>
      </c>
      <c r="FK18" s="278">
        <v>0</v>
      </c>
      <c r="FL18" s="265">
        <v>0</v>
      </c>
      <c r="FM18" s="265">
        <v>0</v>
      </c>
      <c r="FN18" s="265">
        <v>0</v>
      </c>
      <c r="FO18" s="265">
        <v>0</v>
      </c>
      <c r="FP18" s="265">
        <v>0</v>
      </c>
      <c r="FQ18" s="265">
        <v>0</v>
      </c>
      <c r="FR18" s="265">
        <v>0</v>
      </c>
      <c r="FS18" s="265">
        <v>0</v>
      </c>
      <c r="FT18" s="265">
        <v>0</v>
      </c>
      <c r="FU18" s="265">
        <v>0</v>
      </c>
      <c r="FV18" s="265">
        <v>0</v>
      </c>
      <c r="FW18" s="265">
        <v>0</v>
      </c>
      <c r="FX18" s="265">
        <v>0</v>
      </c>
      <c r="FY18" s="265">
        <v>0</v>
      </c>
      <c r="FZ18" s="265">
        <v>0</v>
      </c>
      <c r="GA18" s="265">
        <v>0</v>
      </c>
      <c r="GB18" s="265">
        <v>0</v>
      </c>
      <c r="GC18" s="265">
        <v>0</v>
      </c>
      <c r="GD18" s="265">
        <v>0</v>
      </c>
      <c r="GE18" s="265">
        <v>0</v>
      </c>
      <c r="GF18" s="265">
        <v>0</v>
      </c>
      <c r="GG18" s="265">
        <v>0</v>
      </c>
      <c r="GH18" s="265">
        <v>0</v>
      </c>
      <c r="GI18" s="265">
        <v>0</v>
      </c>
      <c r="GJ18" s="265">
        <v>0</v>
      </c>
      <c r="GK18" s="265">
        <v>0</v>
      </c>
      <c r="GL18" s="265">
        <v>0</v>
      </c>
      <c r="GM18" s="265">
        <v>0</v>
      </c>
      <c r="GN18" s="265">
        <v>0</v>
      </c>
      <c r="GO18" s="269">
        <v>0</v>
      </c>
      <c r="GP18" s="278">
        <v>0</v>
      </c>
      <c r="GQ18" s="265">
        <v>0</v>
      </c>
      <c r="GR18" s="265">
        <v>0</v>
      </c>
      <c r="GS18" s="265">
        <v>0</v>
      </c>
      <c r="GT18" s="265">
        <v>0</v>
      </c>
      <c r="GU18" s="265">
        <v>0</v>
      </c>
      <c r="GV18" s="265">
        <v>0</v>
      </c>
      <c r="GW18" s="265">
        <v>0</v>
      </c>
      <c r="GX18" s="265">
        <v>0</v>
      </c>
      <c r="GY18" s="265">
        <v>0</v>
      </c>
      <c r="GZ18" s="265">
        <v>0</v>
      </c>
      <c r="HA18" s="265">
        <v>0</v>
      </c>
      <c r="HB18" s="265">
        <v>0</v>
      </c>
      <c r="HC18" s="265">
        <v>0</v>
      </c>
      <c r="HD18" s="265">
        <v>0</v>
      </c>
      <c r="HE18" s="265">
        <v>0</v>
      </c>
      <c r="HF18" s="265">
        <v>0</v>
      </c>
      <c r="HG18" s="265">
        <v>0</v>
      </c>
      <c r="HH18" s="265">
        <v>0</v>
      </c>
      <c r="HI18" s="265"/>
      <c r="HJ18" s="265"/>
      <c r="HK18" s="265"/>
      <c r="HL18" s="265"/>
      <c r="HM18" s="265"/>
      <c r="HN18" s="265"/>
      <c r="HO18" s="265"/>
      <c r="HP18" s="265"/>
      <c r="HQ18" s="265"/>
      <c r="HR18" s="265"/>
      <c r="HS18" s="265"/>
      <c r="HT18" s="368"/>
      <c r="HU18" s="326">
        <f t="shared" si="1"/>
        <v>2002</v>
      </c>
    </row>
    <row r="19" spans="1:229" ht="15.75" thickBot="1" x14ac:dyDescent="0.3">
      <c r="A19" s="2">
        <v>11</v>
      </c>
      <c r="B19" s="496"/>
      <c r="C19" s="3" t="s">
        <v>11</v>
      </c>
      <c r="D19" s="4" t="s">
        <v>20</v>
      </c>
      <c r="E19" s="6"/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09">
        <f t="shared" si="0"/>
        <v>0</v>
      </c>
      <c r="N19" s="139"/>
      <c r="O19" s="7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01">
        <v>0</v>
      </c>
      <c r="AQ19" s="183"/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83"/>
      <c r="BX19" s="68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265">
        <v>0</v>
      </c>
      <c r="CP19" s="265">
        <v>0</v>
      </c>
      <c r="CQ19" s="265">
        <v>0</v>
      </c>
      <c r="CR19" s="265">
        <v>0</v>
      </c>
      <c r="CS19" s="265">
        <v>0</v>
      </c>
      <c r="CT19" s="265">
        <v>0</v>
      </c>
      <c r="CU19" s="265">
        <v>0</v>
      </c>
      <c r="CV19" s="265">
        <v>0</v>
      </c>
      <c r="CW19" s="265">
        <v>0</v>
      </c>
      <c r="CX19" s="265">
        <v>0</v>
      </c>
      <c r="CY19" s="265">
        <v>0</v>
      </c>
      <c r="CZ19" s="265">
        <v>0</v>
      </c>
      <c r="DA19" s="269">
        <v>0</v>
      </c>
      <c r="DB19" s="328">
        <v>0</v>
      </c>
      <c r="DC19" s="311">
        <v>0</v>
      </c>
      <c r="DD19" s="311">
        <v>0</v>
      </c>
      <c r="DE19" s="311">
        <v>0</v>
      </c>
      <c r="DF19" s="311">
        <v>0</v>
      </c>
      <c r="DG19" s="311">
        <v>0</v>
      </c>
      <c r="DH19" s="311">
        <v>0</v>
      </c>
      <c r="DI19" s="311">
        <v>0</v>
      </c>
      <c r="DJ19" s="311">
        <v>0</v>
      </c>
      <c r="DK19" s="311">
        <v>0</v>
      </c>
      <c r="DL19" s="311">
        <v>0</v>
      </c>
      <c r="DM19" s="311">
        <v>0</v>
      </c>
      <c r="DN19" s="311">
        <v>0</v>
      </c>
      <c r="DO19" s="311">
        <v>0</v>
      </c>
      <c r="DP19" s="311">
        <v>0</v>
      </c>
      <c r="DQ19" s="311">
        <v>0</v>
      </c>
      <c r="DR19" s="311">
        <v>0</v>
      </c>
      <c r="DS19" s="311">
        <v>0</v>
      </c>
      <c r="DT19" s="311">
        <v>0</v>
      </c>
      <c r="DU19" s="311">
        <v>0</v>
      </c>
      <c r="DV19" s="311">
        <v>0</v>
      </c>
      <c r="DW19" s="311">
        <v>0</v>
      </c>
      <c r="DX19" s="311">
        <v>0</v>
      </c>
      <c r="DY19" s="311">
        <v>0</v>
      </c>
      <c r="DZ19" s="311">
        <v>0</v>
      </c>
      <c r="EA19" s="311">
        <v>0</v>
      </c>
      <c r="EB19" s="311">
        <v>0</v>
      </c>
      <c r="EC19" s="311">
        <v>0</v>
      </c>
      <c r="ED19" s="311">
        <v>0</v>
      </c>
      <c r="EE19" s="311">
        <v>0</v>
      </c>
      <c r="EF19" s="331">
        <v>0</v>
      </c>
      <c r="EG19" s="328">
        <v>0</v>
      </c>
      <c r="EH19" s="331">
        <v>0</v>
      </c>
      <c r="EI19" s="311">
        <v>0</v>
      </c>
      <c r="EJ19" s="311">
        <v>0</v>
      </c>
      <c r="EK19" s="311">
        <v>0</v>
      </c>
      <c r="EL19" s="311">
        <v>0</v>
      </c>
      <c r="EM19" s="311">
        <v>0</v>
      </c>
      <c r="EN19" s="311">
        <v>0</v>
      </c>
      <c r="EO19" s="311">
        <v>0</v>
      </c>
      <c r="EP19" s="311">
        <v>0</v>
      </c>
      <c r="EQ19" s="311">
        <v>0</v>
      </c>
      <c r="ER19" s="311">
        <v>0</v>
      </c>
      <c r="ES19" s="311">
        <v>0</v>
      </c>
      <c r="ET19" s="311">
        <v>0</v>
      </c>
      <c r="EU19" s="311">
        <v>0</v>
      </c>
      <c r="EV19" s="311">
        <v>0</v>
      </c>
      <c r="EW19" s="311">
        <v>0</v>
      </c>
      <c r="EX19" s="311">
        <v>0</v>
      </c>
      <c r="EY19" s="311">
        <v>0</v>
      </c>
      <c r="EZ19" s="311">
        <v>0</v>
      </c>
      <c r="FA19" s="311">
        <v>0</v>
      </c>
      <c r="FB19" s="311">
        <v>0</v>
      </c>
      <c r="FC19" s="311">
        <v>0</v>
      </c>
      <c r="FD19" s="311">
        <v>0</v>
      </c>
      <c r="FE19" s="311">
        <v>0</v>
      </c>
      <c r="FF19" s="311">
        <v>0</v>
      </c>
      <c r="FG19" s="311">
        <v>0</v>
      </c>
      <c r="FH19" s="311">
        <v>0</v>
      </c>
      <c r="FI19" s="311">
        <v>0</v>
      </c>
      <c r="FJ19" s="331">
        <v>0</v>
      </c>
      <c r="FK19" s="328">
        <v>0</v>
      </c>
      <c r="FL19" s="311">
        <v>0</v>
      </c>
      <c r="FM19" s="311">
        <v>0</v>
      </c>
      <c r="FN19" s="311">
        <v>0</v>
      </c>
      <c r="FO19" s="311">
        <v>0</v>
      </c>
      <c r="FP19" s="311">
        <v>0</v>
      </c>
      <c r="FQ19" s="311">
        <v>0</v>
      </c>
      <c r="FR19" s="311">
        <v>0</v>
      </c>
      <c r="FS19" s="311">
        <v>350</v>
      </c>
      <c r="FT19" s="311">
        <v>0</v>
      </c>
      <c r="FU19" s="311">
        <v>0</v>
      </c>
      <c r="FV19" s="311">
        <v>0</v>
      </c>
      <c r="FW19" s="311">
        <v>0</v>
      </c>
      <c r="FX19" s="311">
        <v>0</v>
      </c>
      <c r="FY19" s="311">
        <v>0</v>
      </c>
      <c r="FZ19" s="311">
        <v>0</v>
      </c>
      <c r="GA19" s="311">
        <v>0</v>
      </c>
      <c r="GB19" s="311">
        <v>0</v>
      </c>
      <c r="GC19" s="311">
        <v>0</v>
      </c>
      <c r="GD19" s="311">
        <v>0</v>
      </c>
      <c r="GE19" s="311">
        <v>0</v>
      </c>
      <c r="GF19" s="311">
        <v>0</v>
      </c>
      <c r="GG19" s="311">
        <v>0</v>
      </c>
      <c r="GH19" s="311">
        <v>0</v>
      </c>
      <c r="GI19" s="311">
        <v>0</v>
      </c>
      <c r="GJ19" s="311">
        <v>0</v>
      </c>
      <c r="GK19" s="311">
        <v>0</v>
      </c>
      <c r="GL19" s="311">
        <v>0</v>
      </c>
      <c r="GM19" s="311">
        <v>0</v>
      </c>
      <c r="GN19" s="311">
        <v>0</v>
      </c>
      <c r="GO19" s="331">
        <v>0</v>
      </c>
      <c r="GP19" s="366">
        <v>0</v>
      </c>
      <c r="GQ19" s="376">
        <v>0</v>
      </c>
      <c r="GR19" s="376">
        <v>220</v>
      </c>
      <c r="GS19" s="311">
        <v>0</v>
      </c>
      <c r="GT19" s="311">
        <v>0</v>
      </c>
      <c r="GU19" s="311">
        <v>0</v>
      </c>
      <c r="GV19" s="311">
        <v>0</v>
      </c>
      <c r="GW19" s="311">
        <v>0</v>
      </c>
      <c r="GX19" s="311">
        <v>0</v>
      </c>
      <c r="GY19" s="311">
        <v>0</v>
      </c>
      <c r="GZ19" s="311">
        <v>0</v>
      </c>
      <c r="HA19" s="311">
        <v>0</v>
      </c>
      <c r="HB19" s="311">
        <v>0</v>
      </c>
      <c r="HC19" s="311">
        <v>0</v>
      </c>
      <c r="HD19" s="311">
        <v>0</v>
      </c>
      <c r="HE19" s="311">
        <v>0</v>
      </c>
      <c r="HF19" s="311">
        <v>0</v>
      </c>
      <c r="HG19" s="311">
        <v>0</v>
      </c>
      <c r="HH19" s="311">
        <v>0</v>
      </c>
      <c r="HI19" s="376"/>
      <c r="HJ19" s="376"/>
      <c r="HK19" s="376"/>
      <c r="HL19" s="376"/>
      <c r="HM19" s="376"/>
      <c r="HN19" s="376"/>
      <c r="HO19" s="376"/>
      <c r="HP19" s="376"/>
      <c r="HQ19" s="376"/>
      <c r="HR19" s="376"/>
      <c r="HS19" s="376"/>
      <c r="HT19" s="433"/>
      <c r="HU19" s="326">
        <f>SUM(O19:HT19)</f>
        <v>570</v>
      </c>
    </row>
    <row r="20" spans="1:229" s="7" customFormat="1" ht="24.75" customHeight="1" thickBot="1" x14ac:dyDescent="0.3">
      <c r="A20" s="15"/>
      <c r="B20" s="15"/>
      <c r="C20" s="16" t="s">
        <v>12</v>
      </c>
      <c r="D20" s="84" t="s">
        <v>74</v>
      </c>
      <c r="E20" s="20">
        <f t="shared" ref="E20:O20" si="2">SUM(E9:E19)</f>
        <v>186</v>
      </c>
      <c r="F20" s="20">
        <f t="shared" si="2"/>
        <v>0</v>
      </c>
      <c r="G20" s="20">
        <f t="shared" si="2"/>
        <v>625</v>
      </c>
      <c r="H20" s="20">
        <f t="shared" si="2"/>
        <v>225</v>
      </c>
      <c r="I20" s="20">
        <f t="shared" si="2"/>
        <v>0</v>
      </c>
      <c r="J20" s="20">
        <f t="shared" si="2"/>
        <v>0</v>
      </c>
      <c r="K20" s="20">
        <f t="shared" si="2"/>
        <v>0</v>
      </c>
      <c r="L20" s="20">
        <f t="shared" si="2"/>
        <v>0</v>
      </c>
      <c r="M20" s="110">
        <f>SUM(M9:M19)</f>
        <v>1036</v>
      </c>
      <c r="N20" s="132"/>
      <c r="O20" s="83">
        <f t="shared" si="2"/>
        <v>68</v>
      </c>
      <c r="P20" s="20">
        <f t="shared" ref="P20:AP20" si="3">SUM(P9:P19)</f>
        <v>0</v>
      </c>
      <c r="Q20" s="20">
        <f t="shared" si="3"/>
        <v>0</v>
      </c>
      <c r="R20" s="20">
        <f t="shared" si="3"/>
        <v>975</v>
      </c>
      <c r="S20" s="20">
        <f t="shared" si="3"/>
        <v>0</v>
      </c>
      <c r="T20" s="20">
        <f t="shared" si="3"/>
        <v>0</v>
      </c>
      <c r="U20" s="20">
        <f t="shared" si="3"/>
        <v>0</v>
      </c>
      <c r="V20" s="20">
        <f t="shared" si="3"/>
        <v>0</v>
      </c>
      <c r="W20" s="20">
        <f t="shared" si="3"/>
        <v>0</v>
      </c>
      <c r="X20" s="20">
        <f t="shared" si="3"/>
        <v>0</v>
      </c>
      <c r="Y20" s="20">
        <f t="shared" si="3"/>
        <v>0</v>
      </c>
      <c r="Z20" s="20">
        <f t="shared" si="3"/>
        <v>0</v>
      </c>
      <c r="AA20" s="20">
        <f t="shared" si="3"/>
        <v>0</v>
      </c>
      <c r="AB20" s="20">
        <f t="shared" si="3"/>
        <v>0</v>
      </c>
      <c r="AC20" s="20">
        <f t="shared" si="3"/>
        <v>0</v>
      </c>
      <c r="AD20" s="20">
        <f t="shared" si="3"/>
        <v>0</v>
      </c>
      <c r="AE20" s="20">
        <f t="shared" si="3"/>
        <v>0</v>
      </c>
      <c r="AF20" s="20">
        <f t="shared" si="3"/>
        <v>0</v>
      </c>
      <c r="AG20" s="153">
        <f t="shared" si="3"/>
        <v>153</v>
      </c>
      <c r="AH20" s="20">
        <f t="shared" si="3"/>
        <v>0</v>
      </c>
      <c r="AI20" s="20">
        <f t="shared" si="3"/>
        <v>0</v>
      </c>
      <c r="AJ20" s="20">
        <f t="shared" si="3"/>
        <v>0</v>
      </c>
      <c r="AK20" s="18">
        <f t="shared" si="3"/>
        <v>1260</v>
      </c>
      <c r="AL20" s="20">
        <f t="shared" si="3"/>
        <v>0</v>
      </c>
      <c r="AM20" s="153">
        <f t="shared" si="3"/>
        <v>683</v>
      </c>
      <c r="AN20" s="153">
        <f t="shared" si="3"/>
        <v>517</v>
      </c>
      <c r="AO20" s="20">
        <f t="shared" si="3"/>
        <v>0</v>
      </c>
      <c r="AP20" s="159">
        <f t="shared" si="3"/>
        <v>12</v>
      </c>
      <c r="AQ20" s="169"/>
      <c r="AR20" s="20">
        <f t="shared" ref="AR20:BF20" si="4">SUM(AR9:AR19)</f>
        <v>0</v>
      </c>
      <c r="AS20" s="153">
        <f t="shared" si="4"/>
        <v>1467</v>
      </c>
      <c r="AT20" s="20">
        <f t="shared" si="4"/>
        <v>0</v>
      </c>
      <c r="AU20" s="20">
        <f t="shared" si="4"/>
        <v>0</v>
      </c>
      <c r="AV20" s="20">
        <f t="shared" si="4"/>
        <v>0</v>
      </c>
      <c r="AW20" s="20">
        <f t="shared" si="4"/>
        <v>0</v>
      </c>
      <c r="AX20" s="20">
        <f t="shared" si="4"/>
        <v>0</v>
      </c>
      <c r="AY20" s="20">
        <f t="shared" si="4"/>
        <v>0</v>
      </c>
      <c r="AZ20" s="20">
        <f t="shared" si="4"/>
        <v>168</v>
      </c>
      <c r="BA20" s="20">
        <f t="shared" si="4"/>
        <v>73</v>
      </c>
      <c r="BB20" s="20">
        <f t="shared" si="4"/>
        <v>0</v>
      </c>
      <c r="BC20" s="20">
        <f t="shared" si="4"/>
        <v>0</v>
      </c>
      <c r="BD20" s="20">
        <f t="shared" si="4"/>
        <v>0</v>
      </c>
      <c r="BE20" s="20">
        <f t="shared" si="4"/>
        <v>710</v>
      </c>
      <c r="BF20" s="20">
        <f t="shared" si="4"/>
        <v>0</v>
      </c>
      <c r="BG20" s="20">
        <f t="shared" ref="BG20:BV20" si="5">SUM(BG9:BG19)</f>
        <v>0</v>
      </c>
      <c r="BH20" s="20">
        <f t="shared" si="5"/>
        <v>0</v>
      </c>
      <c r="BI20" s="20">
        <f t="shared" si="5"/>
        <v>0</v>
      </c>
      <c r="BJ20" s="20">
        <f t="shared" si="5"/>
        <v>0</v>
      </c>
      <c r="BK20" s="20">
        <f t="shared" si="5"/>
        <v>0</v>
      </c>
      <c r="BL20" s="20">
        <f t="shared" si="5"/>
        <v>0</v>
      </c>
      <c r="BM20" s="20">
        <f t="shared" si="5"/>
        <v>0</v>
      </c>
      <c r="BN20" s="20">
        <f t="shared" si="5"/>
        <v>0</v>
      </c>
      <c r="BO20" s="20">
        <f t="shared" si="5"/>
        <v>0</v>
      </c>
      <c r="BP20" s="20">
        <f t="shared" si="5"/>
        <v>200</v>
      </c>
      <c r="BQ20" s="20">
        <f t="shared" si="5"/>
        <v>0</v>
      </c>
      <c r="BR20" s="20">
        <f t="shared" si="5"/>
        <v>0</v>
      </c>
      <c r="BS20" s="20">
        <f t="shared" si="5"/>
        <v>950</v>
      </c>
      <c r="BT20" s="20">
        <f t="shared" si="5"/>
        <v>850</v>
      </c>
      <c r="BU20" s="20">
        <f t="shared" si="5"/>
        <v>0</v>
      </c>
      <c r="BV20" s="20">
        <f t="shared" si="5"/>
        <v>50</v>
      </c>
      <c r="BW20" s="169"/>
      <c r="BX20" s="20">
        <f>SUM(BX9:BX19)</f>
        <v>0</v>
      </c>
      <c r="BY20" s="153">
        <f>SUM(BY9:BY19)</f>
        <v>0</v>
      </c>
      <c r="BZ20" s="20">
        <f t="shared" ref="BZ20:CZ20" si="6">SUM(BZ9:BZ19)</f>
        <v>0</v>
      </c>
      <c r="CA20" s="20">
        <f t="shared" si="6"/>
        <v>58</v>
      </c>
      <c r="CB20" s="20">
        <f t="shared" si="6"/>
        <v>0</v>
      </c>
      <c r="CC20" s="20">
        <f t="shared" si="6"/>
        <v>48</v>
      </c>
      <c r="CD20" s="20">
        <f t="shared" si="6"/>
        <v>50</v>
      </c>
      <c r="CE20" s="20">
        <f t="shared" si="6"/>
        <v>700</v>
      </c>
      <c r="CF20" s="20">
        <f t="shared" si="6"/>
        <v>125</v>
      </c>
      <c r="CG20" s="20">
        <f t="shared" si="6"/>
        <v>0</v>
      </c>
      <c r="CH20" s="20">
        <f t="shared" si="6"/>
        <v>0</v>
      </c>
      <c r="CI20" s="20">
        <f t="shared" si="6"/>
        <v>1524</v>
      </c>
      <c r="CJ20" s="20">
        <f t="shared" si="6"/>
        <v>0</v>
      </c>
      <c r="CK20" s="20">
        <f t="shared" si="6"/>
        <v>0</v>
      </c>
      <c r="CL20" s="20">
        <f t="shared" si="6"/>
        <v>0</v>
      </c>
      <c r="CM20" s="20">
        <f t="shared" si="6"/>
        <v>0</v>
      </c>
      <c r="CN20" s="20">
        <f t="shared" si="6"/>
        <v>0</v>
      </c>
      <c r="CO20" s="20">
        <f t="shared" si="6"/>
        <v>16</v>
      </c>
      <c r="CP20" s="20">
        <f t="shared" si="6"/>
        <v>160</v>
      </c>
      <c r="CQ20" s="20">
        <f t="shared" si="6"/>
        <v>0</v>
      </c>
      <c r="CR20" s="20">
        <f t="shared" si="6"/>
        <v>0</v>
      </c>
      <c r="CS20" s="20">
        <f t="shared" si="6"/>
        <v>0</v>
      </c>
      <c r="CT20" s="20">
        <f t="shared" si="6"/>
        <v>75</v>
      </c>
      <c r="CU20" s="20">
        <v>0</v>
      </c>
      <c r="CV20" s="20">
        <f t="shared" si="6"/>
        <v>0</v>
      </c>
      <c r="CW20" s="20">
        <f t="shared" si="6"/>
        <v>0</v>
      </c>
      <c r="CX20" s="20">
        <f t="shared" si="6"/>
        <v>330</v>
      </c>
      <c r="CY20" s="20">
        <f t="shared" si="6"/>
        <v>66</v>
      </c>
      <c r="CZ20" s="20">
        <f t="shared" si="6"/>
        <v>0</v>
      </c>
      <c r="DA20" s="20">
        <f t="shared" ref="DA20:DE20" si="7">SUM(DA9:DA19)</f>
        <v>884</v>
      </c>
      <c r="DB20" s="280">
        <f t="shared" si="7"/>
        <v>0</v>
      </c>
      <c r="DC20" s="263">
        <f t="shared" si="7"/>
        <v>0</v>
      </c>
      <c r="DD20" s="263">
        <f t="shared" si="7"/>
        <v>180</v>
      </c>
      <c r="DE20" s="263">
        <f t="shared" si="7"/>
        <v>0</v>
      </c>
      <c r="DF20" s="263">
        <f t="shared" ref="DF20:DG20" si="8">SUM(DF9:DF19)</f>
        <v>0</v>
      </c>
      <c r="DG20" s="263">
        <f t="shared" si="8"/>
        <v>0</v>
      </c>
      <c r="DH20" s="263">
        <f t="shared" ref="DH20:DJ20" si="9">SUM(DH9:DH19)</f>
        <v>180</v>
      </c>
      <c r="DI20" s="263">
        <f t="shared" si="9"/>
        <v>0</v>
      </c>
      <c r="DJ20" s="263">
        <f t="shared" si="9"/>
        <v>0</v>
      </c>
      <c r="DK20" s="263">
        <f t="shared" ref="DK20:DL20" si="10">SUM(DK9:DK19)</f>
        <v>0</v>
      </c>
      <c r="DL20" s="263">
        <f t="shared" si="10"/>
        <v>0</v>
      </c>
      <c r="DM20" s="263">
        <f t="shared" ref="DM20:DN20" si="11">SUM(DM9:DM19)</f>
        <v>0</v>
      </c>
      <c r="DN20" s="263">
        <f t="shared" si="11"/>
        <v>320</v>
      </c>
      <c r="DO20" s="263">
        <f t="shared" ref="DO20:DP20" si="12">SUM(DO9:DO19)</f>
        <v>0</v>
      </c>
      <c r="DP20" s="263">
        <f t="shared" si="12"/>
        <v>0</v>
      </c>
      <c r="DQ20" s="263">
        <f t="shared" ref="DQ20:DR20" si="13">SUM(DQ9:DQ19)</f>
        <v>0</v>
      </c>
      <c r="DR20" s="263">
        <f t="shared" si="13"/>
        <v>0</v>
      </c>
      <c r="DS20" s="263">
        <f t="shared" ref="DS20:DT20" si="14">SUM(DS9:DS19)</f>
        <v>0</v>
      </c>
      <c r="DT20" s="263">
        <f t="shared" si="14"/>
        <v>0</v>
      </c>
      <c r="DU20" s="263">
        <f t="shared" ref="DU20:DW20" si="15">SUM(DU9:DU19)</f>
        <v>0</v>
      </c>
      <c r="DV20" s="263">
        <f t="shared" si="15"/>
        <v>10</v>
      </c>
      <c r="DW20" s="263">
        <f t="shared" si="15"/>
        <v>0</v>
      </c>
      <c r="DX20" s="263">
        <f t="shared" ref="DX20" si="16">SUM(DX9:DX19)</f>
        <v>0</v>
      </c>
      <c r="DY20" s="263">
        <f t="shared" ref="DY20:EF20" si="17">SUM(DY9:DY19)</f>
        <v>0</v>
      </c>
      <c r="DZ20" s="263">
        <f t="shared" si="17"/>
        <v>0</v>
      </c>
      <c r="EA20" s="263">
        <f t="shared" si="17"/>
        <v>0</v>
      </c>
      <c r="EB20" s="263">
        <f t="shared" si="17"/>
        <v>0</v>
      </c>
      <c r="EC20" s="263">
        <f t="shared" si="17"/>
        <v>0</v>
      </c>
      <c r="ED20" s="263">
        <f t="shared" si="17"/>
        <v>0</v>
      </c>
      <c r="EE20" s="263">
        <f t="shared" si="17"/>
        <v>0</v>
      </c>
      <c r="EF20" s="325">
        <f t="shared" si="17"/>
        <v>0</v>
      </c>
      <c r="EG20" s="280">
        <f t="shared" ref="EG20:EI20" si="18">SUM(EG9:EG19)</f>
        <v>0</v>
      </c>
      <c r="EH20" s="325">
        <f t="shared" si="18"/>
        <v>0</v>
      </c>
      <c r="EI20" s="263">
        <f t="shared" si="18"/>
        <v>0</v>
      </c>
      <c r="EJ20" s="263">
        <f t="shared" ref="EJ20:EL20" si="19">SUM(EJ9:EJ19)</f>
        <v>100</v>
      </c>
      <c r="EK20" s="263">
        <f t="shared" si="19"/>
        <v>0</v>
      </c>
      <c r="EL20" s="263">
        <f t="shared" si="19"/>
        <v>215</v>
      </c>
      <c r="EM20" s="263">
        <f t="shared" ref="EM20:EN20" si="20">SUM(EM9:EM19)</f>
        <v>0</v>
      </c>
      <c r="EN20" s="263">
        <f t="shared" si="20"/>
        <v>0</v>
      </c>
      <c r="EO20" s="263">
        <f t="shared" ref="EO20:EP20" si="21">SUM(EO9:EO19)</f>
        <v>0</v>
      </c>
      <c r="EP20" s="263">
        <f t="shared" si="21"/>
        <v>0</v>
      </c>
      <c r="EQ20" s="263">
        <f t="shared" ref="EQ20:ET20" si="22">SUM(EQ9:EQ19)</f>
        <v>0</v>
      </c>
      <c r="ER20" s="263">
        <f t="shared" si="22"/>
        <v>0</v>
      </c>
      <c r="ES20" s="263">
        <f t="shared" si="22"/>
        <v>0</v>
      </c>
      <c r="ET20" s="263">
        <f t="shared" si="22"/>
        <v>0</v>
      </c>
      <c r="EU20" s="263">
        <f t="shared" ref="EU20:EV20" si="23">SUM(EU9:EU19)</f>
        <v>0</v>
      </c>
      <c r="EV20" s="263">
        <f t="shared" si="23"/>
        <v>0</v>
      </c>
      <c r="EW20" s="263">
        <f t="shared" ref="EW20:EY20" si="24">SUM(EW9:EW19)</f>
        <v>0</v>
      </c>
      <c r="EX20" s="263">
        <f t="shared" si="24"/>
        <v>0</v>
      </c>
      <c r="EY20" s="263">
        <f t="shared" si="24"/>
        <v>0</v>
      </c>
      <c r="EZ20" s="263">
        <f t="shared" ref="EZ20:FA20" si="25">SUM(EZ9:EZ19)</f>
        <v>0</v>
      </c>
      <c r="FA20" s="263">
        <f t="shared" si="25"/>
        <v>0</v>
      </c>
      <c r="FB20" s="263">
        <f t="shared" ref="FB20:FC20" si="26">SUM(FB9:FB19)</f>
        <v>0</v>
      </c>
      <c r="FC20" s="263">
        <f t="shared" si="26"/>
        <v>0</v>
      </c>
      <c r="FD20" s="263">
        <f t="shared" ref="FD20:FG20" si="27">SUM(FD9:FD19)</f>
        <v>0</v>
      </c>
      <c r="FE20" s="263">
        <f t="shared" si="27"/>
        <v>0</v>
      </c>
      <c r="FF20" s="263">
        <f t="shared" si="27"/>
        <v>0</v>
      </c>
      <c r="FG20" s="263">
        <f t="shared" si="27"/>
        <v>0</v>
      </c>
      <c r="FH20" s="263">
        <f t="shared" ref="FH20:FN20" si="28">SUM(FH9:FH19)</f>
        <v>0</v>
      </c>
      <c r="FI20" s="263">
        <f t="shared" si="28"/>
        <v>195</v>
      </c>
      <c r="FJ20" s="325">
        <f t="shared" si="28"/>
        <v>29</v>
      </c>
      <c r="FK20" s="280">
        <f t="shared" si="28"/>
        <v>25</v>
      </c>
      <c r="FL20" s="263">
        <f t="shared" si="28"/>
        <v>0</v>
      </c>
      <c r="FM20" s="263">
        <f t="shared" si="28"/>
        <v>0</v>
      </c>
      <c r="FN20" s="263">
        <f t="shared" si="28"/>
        <v>0</v>
      </c>
      <c r="FO20" s="263">
        <f t="shared" ref="FO20:FQ20" si="29">SUM(FO9:FO19)</f>
        <v>0</v>
      </c>
      <c r="FP20" s="263">
        <f t="shared" si="29"/>
        <v>0</v>
      </c>
      <c r="FQ20" s="263">
        <f t="shared" si="29"/>
        <v>0</v>
      </c>
      <c r="FR20" s="263">
        <f t="shared" ref="FR20:FS20" si="30">SUM(FR9:FR19)</f>
        <v>0</v>
      </c>
      <c r="FS20" s="263">
        <f t="shared" si="30"/>
        <v>350</v>
      </c>
      <c r="FT20" s="263">
        <f t="shared" ref="FT20:FU20" si="31">SUM(FT9:FT19)</f>
        <v>0</v>
      </c>
      <c r="FU20" s="263">
        <f t="shared" si="31"/>
        <v>0</v>
      </c>
      <c r="FV20" s="263">
        <f t="shared" ref="FV20:FW20" si="32">SUM(FV9:FV19)</f>
        <v>0</v>
      </c>
      <c r="FW20" s="263">
        <f t="shared" si="32"/>
        <v>0</v>
      </c>
      <c r="FX20" s="263">
        <f t="shared" ref="FX20:GB20" si="33">SUM(FX9:FX19)</f>
        <v>0</v>
      </c>
      <c r="FY20" s="263">
        <f t="shared" si="33"/>
        <v>0</v>
      </c>
      <c r="FZ20" s="263">
        <f t="shared" si="33"/>
        <v>0</v>
      </c>
      <c r="GA20" s="263">
        <f t="shared" si="33"/>
        <v>0</v>
      </c>
      <c r="GB20" s="263">
        <f t="shared" si="33"/>
        <v>0</v>
      </c>
      <c r="GC20" s="263">
        <f t="shared" ref="GC20:GD20" si="34">SUM(GC9:GC19)</f>
        <v>0</v>
      </c>
      <c r="GD20" s="263">
        <f t="shared" si="34"/>
        <v>0</v>
      </c>
      <c r="GE20" s="263">
        <f t="shared" ref="GE20:GF20" si="35">SUM(GE9:GE19)</f>
        <v>0</v>
      </c>
      <c r="GF20" s="263">
        <f t="shared" si="35"/>
        <v>0</v>
      </c>
      <c r="GG20" s="263">
        <f t="shared" ref="GG20:GH20" si="36">SUM(GG9:GG19)</f>
        <v>0</v>
      </c>
      <c r="GH20" s="263">
        <f t="shared" si="36"/>
        <v>0</v>
      </c>
      <c r="GI20" s="263">
        <f t="shared" ref="GI20:GJ20" si="37">SUM(GI9:GI19)</f>
        <v>0</v>
      </c>
      <c r="GJ20" s="263">
        <f t="shared" si="37"/>
        <v>0</v>
      </c>
      <c r="GK20" s="263">
        <f t="shared" ref="GK20:GL20" si="38">SUM(GK9:GK19)</f>
        <v>0</v>
      </c>
      <c r="GL20" s="263">
        <f t="shared" si="38"/>
        <v>0</v>
      </c>
      <c r="GM20" s="263">
        <f t="shared" ref="GM20:GN20" si="39">SUM(GM9:GM19)</f>
        <v>0</v>
      </c>
      <c r="GN20" s="263">
        <f t="shared" si="39"/>
        <v>0</v>
      </c>
      <c r="GO20" s="325">
        <f t="shared" ref="GO20:GP20" si="40">SUM(GO9:GO19)</f>
        <v>0</v>
      </c>
      <c r="GP20" s="320">
        <f t="shared" si="40"/>
        <v>0</v>
      </c>
      <c r="GQ20" s="321">
        <f t="shared" ref="GQ20:GW20" si="41">SUM(GQ9:GQ19)</f>
        <v>0</v>
      </c>
      <c r="GR20" s="321">
        <f t="shared" si="41"/>
        <v>220</v>
      </c>
      <c r="GS20" s="263">
        <f t="shared" si="41"/>
        <v>0</v>
      </c>
      <c r="GT20" s="263">
        <f t="shared" si="41"/>
        <v>0</v>
      </c>
      <c r="GU20" s="263">
        <f t="shared" si="41"/>
        <v>0</v>
      </c>
      <c r="GV20" s="263">
        <f t="shared" si="41"/>
        <v>0</v>
      </c>
      <c r="GW20" s="263">
        <f t="shared" si="41"/>
        <v>0</v>
      </c>
      <c r="GX20" s="263">
        <f t="shared" ref="GX20:GY20" si="42">SUM(GX9:GX19)</f>
        <v>0</v>
      </c>
      <c r="GY20" s="263">
        <f t="shared" si="42"/>
        <v>0</v>
      </c>
      <c r="GZ20" s="263">
        <f t="shared" ref="GZ20:HA20" si="43">SUM(GZ9:GZ19)</f>
        <v>0</v>
      </c>
      <c r="HA20" s="263">
        <f t="shared" si="43"/>
        <v>0</v>
      </c>
      <c r="HB20" s="263">
        <f t="shared" ref="HB20:HE20" si="44">SUM(HB9:HB19)</f>
        <v>0</v>
      </c>
      <c r="HC20" s="263">
        <f t="shared" si="44"/>
        <v>0</v>
      </c>
      <c r="HD20" s="263">
        <f t="shared" si="44"/>
        <v>0</v>
      </c>
      <c r="HE20" s="263">
        <f t="shared" si="44"/>
        <v>0</v>
      </c>
      <c r="HF20" s="263">
        <f t="shared" ref="HF20:HG20" si="45">SUM(HF9:HF19)</f>
        <v>0</v>
      </c>
      <c r="HG20" s="263">
        <f t="shared" si="45"/>
        <v>0</v>
      </c>
      <c r="HH20" s="263">
        <f t="shared" ref="HH20" si="46">SUM(HH9:HH19)</f>
        <v>0</v>
      </c>
      <c r="HI20" s="321"/>
      <c r="HJ20" s="321"/>
      <c r="HK20" s="321"/>
      <c r="HL20" s="321"/>
      <c r="HM20" s="321"/>
      <c r="HN20" s="321"/>
      <c r="HO20" s="321"/>
      <c r="HP20" s="321"/>
      <c r="HQ20" s="321"/>
      <c r="HR20" s="321"/>
      <c r="HS20" s="321"/>
      <c r="HT20" s="434"/>
      <c r="HU20" s="125">
        <f>SUM(HU9:HU19)</f>
        <v>13996</v>
      </c>
    </row>
    <row r="21" spans="1:229" ht="15.75" thickBot="1" x14ac:dyDescent="0.3">
      <c r="A21" s="21"/>
      <c r="M21" s="104"/>
      <c r="N21" s="146"/>
      <c r="AQ21" s="170"/>
      <c r="BW21" s="170"/>
      <c r="DB21" s="21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5"/>
      <c r="DV21" s="275"/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1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5"/>
      <c r="FB21" s="275"/>
      <c r="FC21" s="275"/>
      <c r="FD21" s="275"/>
      <c r="FE21" s="275"/>
      <c r="FF21" s="275"/>
      <c r="FG21" s="275"/>
      <c r="FH21" s="275"/>
      <c r="FI21" s="275"/>
      <c r="FJ21" s="275"/>
      <c r="FK21" s="97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21"/>
      <c r="GQ21" s="21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275"/>
      <c r="HJ21" s="275"/>
      <c r="HK21" s="275"/>
      <c r="HL21" s="275"/>
      <c r="HM21" s="275"/>
      <c r="HN21" s="275"/>
      <c r="HO21" s="275"/>
      <c r="HP21" s="275"/>
      <c r="HQ21" s="275"/>
      <c r="HR21" s="275"/>
      <c r="HS21" s="275"/>
      <c r="HT21" s="357"/>
      <c r="HU21" s="408"/>
    </row>
    <row r="22" spans="1:229" x14ac:dyDescent="0.25">
      <c r="A22" s="32">
        <v>1</v>
      </c>
      <c r="B22" s="481" t="s">
        <v>22</v>
      </c>
      <c r="C22" s="34" t="s">
        <v>1</v>
      </c>
      <c r="D22" s="35" t="s">
        <v>20</v>
      </c>
      <c r="E22" s="36"/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119">
        <f>SUM(E22:L22)</f>
        <v>0</v>
      </c>
      <c r="N22" s="147"/>
      <c r="O22" s="71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157">
        <v>0</v>
      </c>
      <c r="AQ22" s="184"/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184"/>
      <c r="BX22" s="68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267">
        <v>0</v>
      </c>
      <c r="CO22" s="267">
        <v>0</v>
      </c>
      <c r="CP22" s="267">
        <v>0</v>
      </c>
      <c r="CQ22" s="267">
        <v>0</v>
      </c>
      <c r="CR22" s="267">
        <v>0</v>
      </c>
      <c r="CS22" s="267">
        <v>0</v>
      </c>
      <c r="CT22" s="267">
        <v>0</v>
      </c>
      <c r="CU22" s="267">
        <v>0</v>
      </c>
      <c r="CV22" s="267">
        <v>0</v>
      </c>
      <c r="CW22" s="267">
        <v>0</v>
      </c>
      <c r="CX22" s="267">
        <v>0</v>
      </c>
      <c r="CY22" s="267">
        <v>0</v>
      </c>
      <c r="CZ22" s="267">
        <v>0</v>
      </c>
      <c r="DA22" s="268">
        <v>0</v>
      </c>
      <c r="DB22" s="279">
        <v>0</v>
      </c>
      <c r="DC22" s="267">
        <v>0</v>
      </c>
      <c r="DD22" s="267">
        <v>0</v>
      </c>
      <c r="DE22" s="267">
        <v>0</v>
      </c>
      <c r="DF22" s="267">
        <v>0</v>
      </c>
      <c r="DG22" s="267">
        <v>0</v>
      </c>
      <c r="DH22" s="267">
        <v>0</v>
      </c>
      <c r="DI22" s="267">
        <v>0</v>
      </c>
      <c r="DJ22" s="267">
        <v>0</v>
      </c>
      <c r="DK22" s="267">
        <v>0</v>
      </c>
      <c r="DL22" s="267">
        <v>0</v>
      </c>
      <c r="DM22" s="267">
        <v>0</v>
      </c>
      <c r="DN22" s="267">
        <v>0</v>
      </c>
      <c r="DO22" s="267">
        <v>0</v>
      </c>
      <c r="DP22" s="267">
        <v>0</v>
      </c>
      <c r="DQ22" s="267">
        <v>0</v>
      </c>
      <c r="DR22" s="267">
        <v>0</v>
      </c>
      <c r="DS22" s="267">
        <v>0</v>
      </c>
      <c r="DT22" s="267">
        <v>0</v>
      </c>
      <c r="DU22" s="267">
        <v>0</v>
      </c>
      <c r="DV22" s="267">
        <v>0</v>
      </c>
      <c r="DW22" s="267">
        <v>0</v>
      </c>
      <c r="DX22" s="267">
        <v>0</v>
      </c>
      <c r="DY22" s="267">
        <v>0</v>
      </c>
      <c r="DZ22" s="267">
        <v>0</v>
      </c>
      <c r="EA22" s="267">
        <v>0</v>
      </c>
      <c r="EB22" s="267">
        <v>0</v>
      </c>
      <c r="EC22" s="267">
        <v>0</v>
      </c>
      <c r="ED22" s="267">
        <v>0</v>
      </c>
      <c r="EE22" s="267">
        <v>0</v>
      </c>
      <c r="EF22" s="268">
        <v>0</v>
      </c>
      <c r="EG22" s="279">
        <v>0</v>
      </c>
      <c r="EH22" s="268">
        <v>0</v>
      </c>
      <c r="EI22" s="267">
        <v>0</v>
      </c>
      <c r="EJ22" s="267">
        <v>210</v>
      </c>
      <c r="EK22" s="267">
        <v>0</v>
      </c>
      <c r="EL22" s="267">
        <v>0</v>
      </c>
      <c r="EM22" s="267">
        <v>0</v>
      </c>
      <c r="EN22" s="267">
        <v>0</v>
      </c>
      <c r="EO22" s="267">
        <v>0</v>
      </c>
      <c r="EP22" s="267">
        <v>0</v>
      </c>
      <c r="EQ22" s="267">
        <v>0</v>
      </c>
      <c r="ER22" s="267">
        <v>0</v>
      </c>
      <c r="ES22" s="267">
        <v>0</v>
      </c>
      <c r="ET22" s="267">
        <v>0</v>
      </c>
      <c r="EU22" s="267">
        <v>0</v>
      </c>
      <c r="EV22" s="267">
        <v>0</v>
      </c>
      <c r="EW22" s="267">
        <v>0</v>
      </c>
      <c r="EX22" s="267">
        <v>0</v>
      </c>
      <c r="EY22" s="267">
        <v>0</v>
      </c>
      <c r="EZ22" s="267">
        <v>0</v>
      </c>
      <c r="FA22" s="267">
        <v>0</v>
      </c>
      <c r="FB22" s="267">
        <v>0</v>
      </c>
      <c r="FC22" s="267">
        <v>0</v>
      </c>
      <c r="FD22" s="267">
        <v>0</v>
      </c>
      <c r="FE22" s="267">
        <v>106</v>
      </c>
      <c r="FF22" s="267">
        <v>0</v>
      </c>
      <c r="FG22" s="267">
        <v>0</v>
      </c>
      <c r="FH22" s="267">
        <v>230</v>
      </c>
      <c r="FI22" s="267">
        <v>0</v>
      </c>
      <c r="FJ22" s="367">
        <v>0</v>
      </c>
      <c r="FK22" s="342">
        <v>0</v>
      </c>
      <c r="FL22" s="266">
        <v>575</v>
      </c>
      <c r="FM22" s="266">
        <v>0</v>
      </c>
      <c r="FN22" s="266">
        <v>0</v>
      </c>
      <c r="FO22" s="266">
        <v>0</v>
      </c>
      <c r="FP22" s="266">
        <v>0</v>
      </c>
      <c r="FQ22" s="266">
        <v>0</v>
      </c>
      <c r="FR22" s="266">
        <v>0</v>
      </c>
      <c r="FS22" s="266">
        <v>0</v>
      </c>
      <c r="FT22" s="266">
        <v>0</v>
      </c>
      <c r="FU22" s="266">
        <v>0</v>
      </c>
      <c r="FV22" s="266">
        <v>0</v>
      </c>
      <c r="FW22" s="266">
        <v>0</v>
      </c>
      <c r="FX22" s="266">
        <v>400</v>
      </c>
      <c r="FY22" s="265">
        <v>280</v>
      </c>
      <c r="FZ22" s="266">
        <v>300</v>
      </c>
      <c r="GA22" s="265">
        <v>0</v>
      </c>
      <c r="GB22" s="266">
        <v>0</v>
      </c>
      <c r="GC22" s="266">
        <v>0</v>
      </c>
      <c r="GD22" s="266">
        <v>150</v>
      </c>
      <c r="GE22" s="266">
        <v>0</v>
      </c>
      <c r="GF22" s="266">
        <v>260</v>
      </c>
      <c r="GG22" s="266">
        <v>0</v>
      </c>
      <c r="GH22" s="266">
        <v>0</v>
      </c>
      <c r="GI22" s="266">
        <v>250</v>
      </c>
      <c r="GJ22" s="266">
        <v>0</v>
      </c>
      <c r="GK22" s="266">
        <v>0</v>
      </c>
      <c r="GL22" s="266">
        <v>0</v>
      </c>
      <c r="GM22" s="266">
        <v>300</v>
      </c>
      <c r="GN22" s="266">
        <v>0</v>
      </c>
      <c r="GO22" s="270">
        <v>0</v>
      </c>
      <c r="GP22" s="279">
        <v>0</v>
      </c>
      <c r="GQ22" s="267">
        <v>0</v>
      </c>
      <c r="GR22" s="266">
        <v>0</v>
      </c>
      <c r="GS22" s="266">
        <v>46</v>
      </c>
      <c r="GT22" s="266">
        <v>120</v>
      </c>
      <c r="GU22" s="266">
        <v>30</v>
      </c>
      <c r="GV22" s="266">
        <v>0</v>
      </c>
      <c r="GW22" s="266">
        <v>0</v>
      </c>
      <c r="GX22" s="266">
        <v>0</v>
      </c>
      <c r="GY22" s="266">
        <v>0</v>
      </c>
      <c r="GZ22" s="266">
        <v>0</v>
      </c>
      <c r="HA22" s="266">
        <v>0</v>
      </c>
      <c r="HB22" s="266">
        <v>0</v>
      </c>
      <c r="HC22" s="266">
        <v>0</v>
      </c>
      <c r="HD22" s="266">
        <v>0</v>
      </c>
      <c r="HE22" s="266">
        <v>58</v>
      </c>
      <c r="HF22" s="266">
        <v>0</v>
      </c>
      <c r="HG22" s="266">
        <v>0</v>
      </c>
      <c r="HH22" s="266">
        <v>0</v>
      </c>
      <c r="HI22" s="267"/>
      <c r="HJ22" s="267"/>
      <c r="HK22" s="267"/>
      <c r="HL22" s="267"/>
      <c r="HM22" s="267"/>
      <c r="HN22" s="267"/>
      <c r="HO22" s="267"/>
      <c r="HP22" s="267"/>
      <c r="HQ22" s="267"/>
      <c r="HR22" s="267"/>
      <c r="HS22" s="267"/>
      <c r="HT22" s="367"/>
      <c r="HU22" s="326">
        <f>SUM(O22:HT22)</f>
        <v>3315</v>
      </c>
    </row>
    <row r="23" spans="1:229" x14ac:dyDescent="0.25">
      <c r="A23" s="2">
        <v>2</v>
      </c>
      <c r="B23" s="474"/>
      <c r="C23" s="3" t="s">
        <v>2</v>
      </c>
      <c r="D23" s="4" t="s">
        <v>20</v>
      </c>
      <c r="E23" s="5"/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09">
        <f t="shared" ref="M23:M32" si="47">SUM(E23:L23)</f>
        <v>0</v>
      </c>
      <c r="N23" s="139"/>
      <c r="O23" s="7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1906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01">
        <v>0</v>
      </c>
      <c r="AQ23" s="183"/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83"/>
      <c r="BX23" s="68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265">
        <v>0</v>
      </c>
      <c r="CO23" s="265">
        <v>0</v>
      </c>
      <c r="CP23" s="265">
        <v>0</v>
      </c>
      <c r="CQ23" s="265">
        <v>0</v>
      </c>
      <c r="CR23" s="265">
        <v>0</v>
      </c>
      <c r="CS23" s="265">
        <v>0</v>
      </c>
      <c r="CT23" s="265">
        <v>0</v>
      </c>
      <c r="CU23" s="265">
        <v>0</v>
      </c>
      <c r="CV23" s="265">
        <v>0</v>
      </c>
      <c r="CW23" s="265">
        <v>0</v>
      </c>
      <c r="CX23" s="265">
        <v>0</v>
      </c>
      <c r="CY23" s="265">
        <v>0</v>
      </c>
      <c r="CZ23" s="265">
        <v>0</v>
      </c>
      <c r="DA23" s="269">
        <v>0</v>
      </c>
      <c r="DB23" s="278">
        <v>0</v>
      </c>
      <c r="DC23" s="265">
        <v>0</v>
      </c>
      <c r="DD23" s="265">
        <v>0</v>
      </c>
      <c r="DE23" s="265">
        <v>0</v>
      </c>
      <c r="DF23" s="265">
        <v>0</v>
      </c>
      <c r="DG23" s="265">
        <v>0</v>
      </c>
      <c r="DH23" s="265">
        <v>0</v>
      </c>
      <c r="DI23" s="265">
        <v>0</v>
      </c>
      <c r="DJ23" s="265">
        <v>0</v>
      </c>
      <c r="DK23" s="265">
        <v>0</v>
      </c>
      <c r="DL23" s="265">
        <v>0</v>
      </c>
      <c r="DM23" s="265">
        <v>0</v>
      </c>
      <c r="DN23" s="265">
        <v>0</v>
      </c>
      <c r="DO23" s="265">
        <v>0</v>
      </c>
      <c r="DP23" s="265">
        <v>0</v>
      </c>
      <c r="DQ23" s="265">
        <v>0</v>
      </c>
      <c r="DR23" s="265">
        <v>0</v>
      </c>
      <c r="DS23" s="265">
        <v>0</v>
      </c>
      <c r="DT23" s="265">
        <v>0</v>
      </c>
      <c r="DU23" s="265">
        <v>0</v>
      </c>
      <c r="DV23" s="265">
        <v>0</v>
      </c>
      <c r="DW23" s="265">
        <v>0</v>
      </c>
      <c r="DX23" s="265">
        <v>0</v>
      </c>
      <c r="DY23" s="265">
        <v>0</v>
      </c>
      <c r="DZ23" s="265">
        <v>0</v>
      </c>
      <c r="EA23" s="265">
        <v>0</v>
      </c>
      <c r="EB23" s="265">
        <v>0</v>
      </c>
      <c r="EC23" s="265">
        <v>0</v>
      </c>
      <c r="ED23" s="265">
        <v>0</v>
      </c>
      <c r="EE23" s="265">
        <v>0</v>
      </c>
      <c r="EF23" s="269">
        <v>0</v>
      </c>
      <c r="EG23" s="278">
        <v>0</v>
      </c>
      <c r="EH23" s="269">
        <v>0</v>
      </c>
      <c r="EI23" s="265">
        <v>0</v>
      </c>
      <c r="EJ23" s="265">
        <v>0</v>
      </c>
      <c r="EK23" s="265">
        <v>0</v>
      </c>
      <c r="EL23" s="265">
        <v>0</v>
      </c>
      <c r="EM23" s="265">
        <v>0</v>
      </c>
      <c r="EN23" s="265">
        <v>0</v>
      </c>
      <c r="EO23" s="265">
        <v>0</v>
      </c>
      <c r="EP23" s="265">
        <v>0</v>
      </c>
      <c r="EQ23" s="265">
        <v>0</v>
      </c>
      <c r="ER23" s="265">
        <v>0</v>
      </c>
      <c r="ES23" s="265">
        <v>0</v>
      </c>
      <c r="ET23" s="265">
        <v>0</v>
      </c>
      <c r="EU23" s="265">
        <v>0</v>
      </c>
      <c r="EV23" s="265">
        <v>0</v>
      </c>
      <c r="EW23" s="265">
        <v>0</v>
      </c>
      <c r="EX23" s="265">
        <v>0</v>
      </c>
      <c r="EY23" s="265">
        <v>0</v>
      </c>
      <c r="EZ23" s="265">
        <v>0</v>
      </c>
      <c r="FA23" s="265">
        <v>0</v>
      </c>
      <c r="FB23" s="265">
        <v>0</v>
      </c>
      <c r="FC23" s="265">
        <v>0</v>
      </c>
      <c r="FD23" s="265">
        <v>0</v>
      </c>
      <c r="FE23" s="265">
        <v>0</v>
      </c>
      <c r="FF23" s="265">
        <v>0</v>
      </c>
      <c r="FG23" s="265">
        <v>0</v>
      </c>
      <c r="FH23" s="265">
        <v>0</v>
      </c>
      <c r="FI23" s="265">
        <v>0</v>
      </c>
      <c r="FJ23" s="368">
        <v>0</v>
      </c>
      <c r="FK23" s="278">
        <v>0</v>
      </c>
      <c r="FL23" s="265">
        <v>0</v>
      </c>
      <c r="FM23" s="265">
        <v>0</v>
      </c>
      <c r="FN23" s="265">
        <v>0</v>
      </c>
      <c r="FO23" s="265">
        <v>0</v>
      </c>
      <c r="FP23" s="265">
        <v>0</v>
      </c>
      <c r="FQ23" s="265">
        <v>0</v>
      </c>
      <c r="FR23" s="265">
        <v>0</v>
      </c>
      <c r="FS23" s="265">
        <v>0</v>
      </c>
      <c r="FT23" s="265">
        <v>0</v>
      </c>
      <c r="FU23" s="265">
        <v>0</v>
      </c>
      <c r="FV23" s="265">
        <v>0</v>
      </c>
      <c r="FW23" s="265">
        <v>0</v>
      </c>
      <c r="FX23" s="265">
        <v>0</v>
      </c>
      <c r="FY23" s="265">
        <v>0</v>
      </c>
      <c r="FZ23" s="265">
        <v>0</v>
      </c>
      <c r="GA23" s="265">
        <v>0</v>
      </c>
      <c r="GB23" s="265">
        <v>0</v>
      </c>
      <c r="GC23" s="265">
        <v>0</v>
      </c>
      <c r="GD23" s="265">
        <v>0</v>
      </c>
      <c r="GE23" s="265">
        <v>0</v>
      </c>
      <c r="GF23" s="265">
        <v>0</v>
      </c>
      <c r="GG23" s="265">
        <v>0</v>
      </c>
      <c r="GH23" s="265">
        <v>0</v>
      </c>
      <c r="GI23" s="265">
        <v>0</v>
      </c>
      <c r="GJ23" s="265">
        <v>0</v>
      </c>
      <c r="GK23" s="265">
        <v>0</v>
      </c>
      <c r="GL23" s="265">
        <v>0</v>
      </c>
      <c r="GM23" s="265">
        <v>0</v>
      </c>
      <c r="GN23" s="265">
        <v>0</v>
      </c>
      <c r="GO23" s="269">
        <v>0</v>
      </c>
      <c r="GP23" s="278">
        <v>0</v>
      </c>
      <c r="GQ23" s="265">
        <v>0</v>
      </c>
      <c r="GR23" s="265">
        <v>0</v>
      </c>
      <c r="GS23" s="265">
        <v>0</v>
      </c>
      <c r="GT23" s="265">
        <v>0</v>
      </c>
      <c r="GU23" s="265">
        <v>0</v>
      </c>
      <c r="GV23" s="265">
        <v>0</v>
      </c>
      <c r="GW23" s="265">
        <v>0</v>
      </c>
      <c r="GX23" s="265">
        <v>0</v>
      </c>
      <c r="GY23" s="265">
        <v>0</v>
      </c>
      <c r="GZ23" s="265">
        <v>0</v>
      </c>
      <c r="HA23" s="265">
        <v>0</v>
      </c>
      <c r="HB23" s="265">
        <v>0</v>
      </c>
      <c r="HC23" s="265">
        <v>0</v>
      </c>
      <c r="HD23" s="265">
        <v>0</v>
      </c>
      <c r="HE23" s="265">
        <v>0</v>
      </c>
      <c r="HF23" s="265">
        <v>0</v>
      </c>
      <c r="HG23" s="265">
        <v>0</v>
      </c>
      <c r="HH23" s="265">
        <v>0</v>
      </c>
      <c r="HI23" s="265"/>
      <c r="HJ23" s="265"/>
      <c r="HK23" s="265"/>
      <c r="HL23" s="265"/>
      <c r="HM23" s="265"/>
      <c r="HN23" s="265"/>
      <c r="HO23" s="265"/>
      <c r="HP23" s="265"/>
      <c r="HQ23" s="265"/>
      <c r="HR23" s="265"/>
      <c r="HS23" s="265"/>
      <c r="HT23" s="368"/>
      <c r="HU23" s="326">
        <f t="shared" ref="HU23:HU32" si="48">SUM(O23:HT23)</f>
        <v>1906</v>
      </c>
    </row>
    <row r="24" spans="1:229" x14ac:dyDescent="0.25">
      <c r="A24" s="2">
        <v>3</v>
      </c>
      <c r="B24" s="474"/>
      <c r="C24" s="3" t="s">
        <v>3</v>
      </c>
      <c r="D24" s="4" t="s">
        <v>20</v>
      </c>
      <c r="E24" s="5"/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09">
        <f t="shared" si="47"/>
        <v>0</v>
      </c>
      <c r="N24" s="139"/>
      <c r="O24" s="7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01">
        <v>0</v>
      </c>
      <c r="AQ24" s="183"/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1340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83"/>
      <c r="BX24" s="68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265">
        <v>0</v>
      </c>
      <c r="CO24" s="265">
        <v>0</v>
      </c>
      <c r="CP24" s="265">
        <v>0</v>
      </c>
      <c r="CQ24" s="265">
        <v>0</v>
      </c>
      <c r="CR24" s="265">
        <v>0</v>
      </c>
      <c r="CS24" s="265">
        <v>0</v>
      </c>
      <c r="CT24" s="265">
        <v>0</v>
      </c>
      <c r="CU24" s="265">
        <v>0</v>
      </c>
      <c r="CV24" s="265">
        <v>0</v>
      </c>
      <c r="CW24" s="265">
        <v>0</v>
      </c>
      <c r="CX24" s="265">
        <v>0</v>
      </c>
      <c r="CY24" s="265">
        <v>0</v>
      </c>
      <c r="CZ24" s="265">
        <v>0</v>
      </c>
      <c r="DA24" s="269">
        <v>0</v>
      </c>
      <c r="DB24" s="278">
        <v>0</v>
      </c>
      <c r="DC24" s="265">
        <v>0</v>
      </c>
      <c r="DD24" s="265">
        <v>0</v>
      </c>
      <c r="DE24" s="265">
        <v>0</v>
      </c>
      <c r="DF24" s="265">
        <v>0</v>
      </c>
      <c r="DG24" s="265">
        <v>0</v>
      </c>
      <c r="DH24" s="265">
        <v>0</v>
      </c>
      <c r="DI24" s="265">
        <v>0</v>
      </c>
      <c r="DJ24" s="265">
        <v>0</v>
      </c>
      <c r="DK24" s="265">
        <v>0</v>
      </c>
      <c r="DL24" s="265">
        <v>0</v>
      </c>
      <c r="DM24" s="265">
        <v>0</v>
      </c>
      <c r="DN24" s="265">
        <v>0</v>
      </c>
      <c r="DO24" s="265">
        <v>0</v>
      </c>
      <c r="DP24" s="265">
        <v>0</v>
      </c>
      <c r="DQ24" s="265">
        <v>0</v>
      </c>
      <c r="DR24" s="265">
        <v>0</v>
      </c>
      <c r="DS24" s="265">
        <v>0</v>
      </c>
      <c r="DT24" s="265">
        <v>0</v>
      </c>
      <c r="DU24" s="265">
        <v>0</v>
      </c>
      <c r="DV24" s="265">
        <v>0</v>
      </c>
      <c r="DW24" s="265">
        <v>0</v>
      </c>
      <c r="DX24" s="265">
        <v>0</v>
      </c>
      <c r="DY24" s="265">
        <v>0</v>
      </c>
      <c r="DZ24" s="265">
        <v>0</v>
      </c>
      <c r="EA24" s="265">
        <v>0</v>
      </c>
      <c r="EB24" s="265">
        <v>0</v>
      </c>
      <c r="EC24" s="265">
        <v>0</v>
      </c>
      <c r="ED24" s="265">
        <v>0</v>
      </c>
      <c r="EE24" s="265">
        <v>0</v>
      </c>
      <c r="EF24" s="269">
        <v>0</v>
      </c>
      <c r="EG24" s="278">
        <v>0</v>
      </c>
      <c r="EH24" s="269">
        <v>0</v>
      </c>
      <c r="EI24" s="265">
        <v>0</v>
      </c>
      <c r="EJ24" s="265">
        <v>0</v>
      </c>
      <c r="EK24" s="265">
        <v>0</v>
      </c>
      <c r="EL24" s="265">
        <v>0</v>
      </c>
      <c r="EM24" s="265">
        <v>0</v>
      </c>
      <c r="EN24" s="265">
        <v>0</v>
      </c>
      <c r="EO24" s="265">
        <v>0</v>
      </c>
      <c r="EP24" s="265">
        <v>0</v>
      </c>
      <c r="EQ24" s="265">
        <v>0</v>
      </c>
      <c r="ER24" s="265">
        <v>0</v>
      </c>
      <c r="ES24" s="265">
        <v>0</v>
      </c>
      <c r="ET24" s="265">
        <v>0</v>
      </c>
      <c r="EU24" s="265">
        <v>0</v>
      </c>
      <c r="EV24" s="265">
        <v>0</v>
      </c>
      <c r="EW24" s="265">
        <v>0</v>
      </c>
      <c r="EX24" s="265">
        <v>0</v>
      </c>
      <c r="EY24" s="265">
        <v>0</v>
      </c>
      <c r="EZ24" s="265">
        <v>0</v>
      </c>
      <c r="FA24" s="265">
        <v>0</v>
      </c>
      <c r="FB24" s="265">
        <v>0</v>
      </c>
      <c r="FC24" s="265">
        <v>0</v>
      </c>
      <c r="FD24" s="265">
        <v>0</v>
      </c>
      <c r="FE24" s="265">
        <v>0</v>
      </c>
      <c r="FF24" s="265">
        <v>0</v>
      </c>
      <c r="FG24" s="265">
        <v>0</v>
      </c>
      <c r="FH24" s="265">
        <v>0</v>
      </c>
      <c r="FI24" s="265">
        <v>0</v>
      </c>
      <c r="FJ24" s="368">
        <v>0</v>
      </c>
      <c r="FK24" s="278">
        <v>0</v>
      </c>
      <c r="FL24" s="265">
        <v>0</v>
      </c>
      <c r="FM24" s="265">
        <v>0</v>
      </c>
      <c r="FN24" s="265">
        <v>0</v>
      </c>
      <c r="FO24" s="265">
        <v>0</v>
      </c>
      <c r="FP24" s="265">
        <v>0</v>
      </c>
      <c r="FQ24" s="265">
        <v>0</v>
      </c>
      <c r="FR24" s="265">
        <v>0</v>
      </c>
      <c r="FS24" s="265">
        <v>0</v>
      </c>
      <c r="FT24" s="265">
        <v>0</v>
      </c>
      <c r="FU24" s="265">
        <v>0</v>
      </c>
      <c r="FV24" s="265">
        <v>0</v>
      </c>
      <c r="FW24" s="265">
        <v>0</v>
      </c>
      <c r="FX24" s="265">
        <v>0</v>
      </c>
      <c r="FY24" s="265">
        <v>0</v>
      </c>
      <c r="FZ24" s="265">
        <v>0</v>
      </c>
      <c r="GA24" s="265">
        <v>0</v>
      </c>
      <c r="GB24" s="265">
        <v>0</v>
      </c>
      <c r="GC24" s="265">
        <v>0</v>
      </c>
      <c r="GD24" s="265">
        <v>0</v>
      </c>
      <c r="GE24" s="265">
        <v>0</v>
      </c>
      <c r="GF24" s="265">
        <v>0</v>
      </c>
      <c r="GG24" s="265">
        <v>0</v>
      </c>
      <c r="GH24" s="265">
        <v>0</v>
      </c>
      <c r="GI24" s="265">
        <v>0</v>
      </c>
      <c r="GJ24" s="265">
        <v>0</v>
      </c>
      <c r="GK24" s="265">
        <v>0</v>
      </c>
      <c r="GL24" s="265">
        <v>0</v>
      </c>
      <c r="GM24" s="265">
        <v>0</v>
      </c>
      <c r="GN24" s="265">
        <v>0</v>
      </c>
      <c r="GO24" s="269">
        <v>0</v>
      </c>
      <c r="GP24" s="278">
        <v>0</v>
      </c>
      <c r="GQ24" s="265">
        <v>0</v>
      </c>
      <c r="GR24" s="265">
        <v>0</v>
      </c>
      <c r="GS24" s="265">
        <v>0</v>
      </c>
      <c r="GT24" s="265">
        <v>0</v>
      </c>
      <c r="GU24" s="265">
        <v>0</v>
      </c>
      <c r="GV24" s="265">
        <v>0</v>
      </c>
      <c r="GW24" s="265">
        <v>0</v>
      </c>
      <c r="GX24" s="265">
        <v>0</v>
      </c>
      <c r="GY24" s="265">
        <v>0</v>
      </c>
      <c r="GZ24" s="265">
        <v>0</v>
      </c>
      <c r="HA24" s="265">
        <v>0</v>
      </c>
      <c r="HB24" s="265">
        <v>0</v>
      </c>
      <c r="HC24" s="265">
        <v>0</v>
      </c>
      <c r="HD24" s="265">
        <v>0</v>
      </c>
      <c r="HE24" s="265">
        <v>0</v>
      </c>
      <c r="HF24" s="265">
        <v>0</v>
      </c>
      <c r="HG24" s="265">
        <v>0</v>
      </c>
      <c r="HH24" s="265">
        <v>0</v>
      </c>
      <c r="HI24" s="265"/>
      <c r="HJ24" s="265"/>
      <c r="HK24" s="265"/>
      <c r="HL24" s="265"/>
      <c r="HM24" s="265"/>
      <c r="HN24" s="265"/>
      <c r="HO24" s="265"/>
      <c r="HP24" s="265"/>
      <c r="HQ24" s="265"/>
      <c r="HR24" s="265"/>
      <c r="HS24" s="265"/>
      <c r="HT24" s="368"/>
      <c r="HU24" s="326">
        <f t="shared" si="48"/>
        <v>1340</v>
      </c>
    </row>
    <row r="25" spans="1:229" x14ac:dyDescent="0.25">
      <c r="A25" s="2">
        <v>4</v>
      </c>
      <c r="B25" s="474"/>
      <c r="C25" s="3" t="s">
        <v>4</v>
      </c>
      <c r="D25" s="4" t="s">
        <v>20</v>
      </c>
      <c r="E25" s="5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09">
        <f t="shared" si="47"/>
        <v>0</v>
      </c>
      <c r="N25" s="139"/>
      <c r="O25" s="7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01">
        <v>0</v>
      </c>
      <c r="AQ25" s="183"/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83"/>
      <c r="BX25" s="68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265">
        <v>0</v>
      </c>
      <c r="CO25" s="265">
        <v>0</v>
      </c>
      <c r="CP25" s="265">
        <v>0</v>
      </c>
      <c r="CQ25" s="265">
        <v>0</v>
      </c>
      <c r="CR25" s="265">
        <v>0</v>
      </c>
      <c r="CS25" s="265">
        <v>0</v>
      </c>
      <c r="CT25" s="265">
        <v>0</v>
      </c>
      <c r="CU25" s="265">
        <v>0</v>
      </c>
      <c r="CV25" s="265">
        <v>0</v>
      </c>
      <c r="CW25" s="265">
        <v>0</v>
      </c>
      <c r="CX25" s="265">
        <v>0</v>
      </c>
      <c r="CY25" s="265">
        <v>0</v>
      </c>
      <c r="CZ25" s="265">
        <v>745</v>
      </c>
      <c r="DA25" s="269">
        <v>0</v>
      </c>
      <c r="DB25" s="278">
        <v>0</v>
      </c>
      <c r="DC25" s="265">
        <v>0</v>
      </c>
      <c r="DD25" s="265">
        <v>0</v>
      </c>
      <c r="DE25" s="265">
        <v>0</v>
      </c>
      <c r="DF25" s="265">
        <v>0</v>
      </c>
      <c r="DG25" s="265">
        <v>0</v>
      </c>
      <c r="DH25" s="265">
        <v>0</v>
      </c>
      <c r="DI25" s="265">
        <v>0</v>
      </c>
      <c r="DJ25" s="265">
        <v>0</v>
      </c>
      <c r="DK25" s="265">
        <v>0</v>
      </c>
      <c r="DL25" s="265">
        <v>0</v>
      </c>
      <c r="DM25" s="265">
        <v>0</v>
      </c>
      <c r="DN25" s="265">
        <v>0</v>
      </c>
      <c r="DO25" s="265">
        <v>0</v>
      </c>
      <c r="DP25" s="265">
        <v>0</v>
      </c>
      <c r="DQ25" s="265">
        <v>0</v>
      </c>
      <c r="DR25" s="265">
        <v>0</v>
      </c>
      <c r="DS25" s="265">
        <v>0</v>
      </c>
      <c r="DT25" s="265">
        <v>0</v>
      </c>
      <c r="DU25" s="265">
        <v>0</v>
      </c>
      <c r="DV25" s="265">
        <v>200</v>
      </c>
      <c r="DW25" s="265">
        <v>0</v>
      </c>
      <c r="DX25" s="265">
        <v>0</v>
      </c>
      <c r="DY25" s="265">
        <v>0</v>
      </c>
      <c r="DZ25" s="265">
        <v>0</v>
      </c>
      <c r="EA25" s="265">
        <v>0</v>
      </c>
      <c r="EB25" s="265">
        <v>0</v>
      </c>
      <c r="EC25" s="265">
        <v>0</v>
      </c>
      <c r="ED25" s="265">
        <v>0</v>
      </c>
      <c r="EE25" s="265">
        <v>0</v>
      </c>
      <c r="EF25" s="269">
        <v>0</v>
      </c>
      <c r="EG25" s="278">
        <v>0</v>
      </c>
      <c r="EH25" s="269">
        <v>0</v>
      </c>
      <c r="EI25" s="265">
        <v>0</v>
      </c>
      <c r="EJ25" s="265">
        <v>0</v>
      </c>
      <c r="EK25" s="265">
        <v>0</v>
      </c>
      <c r="EL25" s="265">
        <v>0</v>
      </c>
      <c r="EM25" s="265">
        <v>0</v>
      </c>
      <c r="EN25" s="265">
        <v>0</v>
      </c>
      <c r="EO25" s="265">
        <v>0</v>
      </c>
      <c r="EP25" s="265">
        <v>0</v>
      </c>
      <c r="EQ25" s="265">
        <v>0</v>
      </c>
      <c r="ER25" s="265">
        <v>0</v>
      </c>
      <c r="ES25" s="265">
        <v>0</v>
      </c>
      <c r="ET25" s="265">
        <v>0</v>
      </c>
      <c r="EU25" s="265">
        <v>0</v>
      </c>
      <c r="EV25" s="265">
        <v>0</v>
      </c>
      <c r="EW25" s="265">
        <v>0</v>
      </c>
      <c r="EX25" s="265">
        <v>0</v>
      </c>
      <c r="EY25" s="265">
        <v>0</v>
      </c>
      <c r="EZ25" s="265">
        <v>0</v>
      </c>
      <c r="FA25" s="265">
        <v>0</v>
      </c>
      <c r="FB25" s="265">
        <v>0</v>
      </c>
      <c r="FC25" s="265">
        <v>0</v>
      </c>
      <c r="FD25" s="265">
        <v>0</v>
      </c>
      <c r="FE25" s="265">
        <v>0</v>
      </c>
      <c r="FF25" s="265">
        <v>0</v>
      </c>
      <c r="FG25" s="265">
        <v>0</v>
      </c>
      <c r="FH25" s="265">
        <v>0</v>
      </c>
      <c r="FI25" s="265">
        <v>0</v>
      </c>
      <c r="FJ25" s="368">
        <v>0</v>
      </c>
      <c r="FK25" s="278">
        <v>0</v>
      </c>
      <c r="FL25" s="265">
        <v>0</v>
      </c>
      <c r="FM25" s="265">
        <v>0</v>
      </c>
      <c r="FN25" s="265">
        <v>0</v>
      </c>
      <c r="FO25" s="265">
        <v>0</v>
      </c>
      <c r="FP25" s="265">
        <v>0</v>
      </c>
      <c r="FQ25" s="265">
        <v>0</v>
      </c>
      <c r="FR25" s="265">
        <v>0</v>
      </c>
      <c r="FS25" s="265">
        <v>0</v>
      </c>
      <c r="FT25" s="265">
        <v>0</v>
      </c>
      <c r="FU25" s="265">
        <v>0</v>
      </c>
      <c r="FV25" s="265">
        <v>0</v>
      </c>
      <c r="FW25" s="265">
        <v>0</v>
      </c>
      <c r="FX25" s="265">
        <v>0</v>
      </c>
      <c r="FY25" s="265">
        <v>0</v>
      </c>
      <c r="FZ25" s="265">
        <v>0</v>
      </c>
      <c r="GA25" s="265">
        <v>0</v>
      </c>
      <c r="GB25" s="265">
        <v>0</v>
      </c>
      <c r="GC25" s="265">
        <v>0</v>
      </c>
      <c r="GD25" s="265">
        <v>0</v>
      </c>
      <c r="GE25" s="265">
        <v>0</v>
      </c>
      <c r="GF25" s="265">
        <v>0</v>
      </c>
      <c r="GG25" s="265">
        <v>0</v>
      </c>
      <c r="GH25" s="265">
        <v>0</v>
      </c>
      <c r="GI25" s="265">
        <v>0</v>
      </c>
      <c r="GJ25" s="265">
        <v>0</v>
      </c>
      <c r="GK25" s="265">
        <v>0</v>
      </c>
      <c r="GL25" s="265">
        <v>670</v>
      </c>
      <c r="GM25" s="265">
        <v>0</v>
      </c>
      <c r="GN25" s="265">
        <v>0</v>
      </c>
      <c r="GO25" s="269">
        <v>0</v>
      </c>
      <c r="GP25" s="278">
        <v>0</v>
      </c>
      <c r="GQ25" s="265">
        <v>0</v>
      </c>
      <c r="GR25" s="265">
        <v>0</v>
      </c>
      <c r="GS25" s="265">
        <v>0</v>
      </c>
      <c r="GT25" s="265">
        <v>0</v>
      </c>
      <c r="GU25" s="265">
        <v>40</v>
      </c>
      <c r="GV25" s="265">
        <v>0</v>
      </c>
      <c r="GW25" s="265">
        <v>0</v>
      </c>
      <c r="GX25" s="265">
        <v>0</v>
      </c>
      <c r="GY25" s="265">
        <v>0</v>
      </c>
      <c r="GZ25" s="265">
        <v>0</v>
      </c>
      <c r="HA25" s="265">
        <v>0</v>
      </c>
      <c r="HB25" s="265">
        <v>0</v>
      </c>
      <c r="HC25" s="265">
        <v>0</v>
      </c>
      <c r="HD25" s="265">
        <v>0</v>
      </c>
      <c r="HE25" s="265">
        <v>0</v>
      </c>
      <c r="HF25" s="265">
        <v>0</v>
      </c>
      <c r="HG25" s="265">
        <v>0</v>
      </c>
      <c r="HH25" s="265">
        <v>0</v>
      </c>
      <c r="HI25" s="265"/>
      <c r="HJ25" s="265"/>
      <c r="HK25" s="265"/>
      <c r="HL25" s="265"/>
      <c r="HM25" s="265"/>
      <c r="HN25" s="265"/>
      <c r="HO25" s="265"/>
      <c r="HP25" s="265"/>
      <c r="HQ25" s="265"/>
      <c r="HR25" s="265"/>
      <c r="HS25" s="265"/>
      <c r="HT25" s="368"/>
      <c r="HU25" s="326">
        <f t="shared" si="48"/>
        <v>1655</v>
      </c>
    </row>
    <row r="26" spans="1:229" x14ac:dyDescent="0.25">
      <c r="A26" s="2">
        <v>5</v>
      </c>
      <c r="B26" s="474"/>
      <c r="C26" s="3" t="s">
        <v>5</v>
      </c>
      <c r="D26" s="4" t="s">
        <v>20</v>
      </c>
      <c r="E26" s="5"/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09">
        <f t="shared" si="47"/>
        <v>0</v>
      </c>
      <c r="N26" s="139"/>
      <c r="O26" s="7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01">
        <v>0</v>
      </c>
      <c r="AQ26" s="183"/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83"/>
      <c r="BX26" s="68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265">
        <v>0</v>
      </c>
      <c r="CO26" s="265">
        <v>0</v>
      </c>
      <c r="CP26" s="265">
        <v>0</v>
      </c>
      <c r="CQ26" s="265">
        <v>0</v>
      </c>
      <c r="CR26" s="265">
        <v>0</v>
      </c>
      <c r="CS26" s="265">
        <v>0</v>
      </c>
      <c r="CT26" s="265">
        <v>0</v>
      </c>
      <c r="CU26" s="265">
        <v>0</v>
      </c>
      <c r="CV26" s="265">
        <v>0</v>
      </c>
      <c r="CW26" s="265">
        <v>0</v>
      </c>
      <c r="CX26" s="265">
        <v>0</v>
      </c>
      <c r="CY26" s="265">
        <v>0</v>
      </c>
      <c r="CZ26" s="265">
        <v>0</v>
      </c>
      <c r="DA26" s="269">
        <v>0</v>
      </c>
      <c r="DB26" s="278">
        <v>0</v>
      </c>
      <c r="DC26" s="265">
        <v>0</v>
      </c>
      <c r="DD26" s="265">
        <v>0</v>
      </c>
      <c r="DE26" s="265">
        <v>0</v>
      </c>
      <c r="DF26" s="265">
        <v>0</v>
      </c>
      <c r="DG26" s="265">
        <v>0</v>
      </c>
      <c r="DH26" s="265">
        <v>0</v>
      </c>
      <c r="DI26" s="265">
        <v>0</v>
      </c>
      <c r="DJ26" s="265">
        <v>0</v>
      </c>
      <c r="DK26" s="265">
        <v>0</v>
      </c>
      <c r="DL26" s="265">
        <v>0</v>
      </c>
      <c r="DM26" s="265">
        <v>0</v>
      </c>
      <c r="DN26" s="265">
        <v>0</v>
      </c>
      <c r="DO26" s="265">
        <v>0</v>
      </c>
      <c r="DP26" s="265">
        <v>0</v>
      </c>
      <c r="DQ26" s="265">
        <v>0</v>
      </c>
      <c r="DR26" s="265">
        <v>0</v>
      </c>
      <c r="DS26" s="265">
        <v>0</v>
      </c>
      <c r="DT26" s="265">
        <v>0</v>
      </c>
      <c r="DU26" s="265">
        <v>710</v>
      </c>
      <c r="DV26" s="265">
        <v>75</v>
      </c>
      <c r="DW26" s="265">
        <v>0</v>
      </c>
      <c r="DX26" s="265">
        <v>0</v>
      </c>
      <c r="DY26" s="265">
        <v>0</v>
      </c>
      <c r="DZ26" s="265">
        <v>780</v>
      </c>
      <c r="EA26" s="265">
        <v>0</v>
      </c>
      <c r="EB26" s="265">
        <v>0</v>
      </c>
      <c r="EC26" s="265">
        <v>0</v>
      </c>
      <c r="ED26" s="265">
        <v>0</v>
      </c>
      <c r="EE26" s="265">
        <v>0</v>
      </c>
      <c r="EF26" s="269">
        <v>0</v>
      </c>
      <c r="EG26" s="278">
        <v>40</v>
      </c>
      <c r="EH26" s="269">
        <v>1600</v>
      </c>
      <c r="EI26" s="265">
        <v>0</v>
      </c>
      <c r="EJ26" s="265">
        <v>0</v>
      </c>
      <c r="EK26" s="265">
        <v>0</v>
      </c>
      <c r="EL26" s="265">
        <v>0</v>
      </c>
      <c r="EM26" s="265">
        <v>0</v>
      </c>
      <c r="EN26" s="265">
        <v>0</v>
      </c>
      <c r="EO26" s="265">
        <v>0</v>
      </c>
      <c r="EP26" s="265">
        <v>0</v>
      </c>
      <c r="EQ26" s="265">
        <v>0</v>
      </c>
      <c r="ER26" s="265">
        <v>0</v>
      </c>
      <c r="ES26" s="265">
        <v>63</v>
      </c>
      <c r="ET26" s="265">
        <v>0</v>
      </c>
      <c r="EU26" s="265">
        <v>0</v>
      </c>
      <c r="EV26" s="265">
        <v>0</v>
      </c>
      <c r="EW26" s="265">
        <v>0</v>
      </c>
      <c r="EX26" s="265">
        <v>0</v>
      </c>
      <c r="EY26" s="265">
        <v>0</v>
      </c>
      <c r="EZ26" s="265">
        <v>0</v>
      </c>
      <c r="FA26" s="265">
        <v>0</v>
      </c>
      <c r="FB26" s="265">
        <v>0</v>
      </c>
      <c r="FC26" s="265">
        <v>0</v>
      </c>
      <c r="FD26" s="265">
        <v>0</v>
      </c>
      <c r="FE26" s="265">
        <v>0</v>
      </c>
      <c r="FF26" s="265">
        <v>0</v>
      </c>
      <c r="FG26" s="265">
        <v>0</v>
      </c>
      <c r="FH26" s="265">
        <v>0</v>
      </c>
      <c r="FI26" s="265">
        <v>0</v>
      </c>
      <c r="FJ26" s="368">
        <v>0</v>
      </c>
      <c r="FK26" s="278">
        <v>0</v>
      </c>
      <c r="FL26" s="265">
        <v>0</v>
      </c>
      <c r="FM26" s="265">
        <v>0</v>
      </c>
      <c r="FN26" s="265">
        <v>0</v>
      </c>
      <c r="FO26" s="265">
        <v>0</v>
      </c>
      <c r="FP26" s="265">
        <v>0</v>
      </c>
      <c r="FQ26" s="265">
        <v>0</v>
      </c>
      <c r="FR26" s="265">
        <v>0</v>
      </c>
      <c r="FS26" s="265">
        <v>0</v>
      </c>
      <c r="FT26" s="265">
        <v>0</v>
      </c>
      <c r="FU26" s="265">
        <v>0</v>
      </c>
      <c r="FV26" s="265">
        <v>0</v>
      </c>
      <c r="FW26" s="265">
        <v>0</v>
      </c>
      <c r="FX26" s="265">
        <v>0</v>
      </c>
      <c r="FY26" s="265">
        <v>0</v>
      </c>
      <c r="FZ26" s="265">
        <v>0</v>
      </c>
      <c r="GA26" s="265">
        <v>0</v>
      </c>
      <c r="GB26" s="265">
        <v>0</v>
      </c>
      <c r="GC26" s="265">
        <v>0</v>
      </c>
      <c r="GD26" s="265">
        <v>0</v>
      </c>
      <c r="GE26" s="265">
        <v>0</v>
      </c>
      <c r="GF26" s="265">
        <v>0</v>
      </c>
      <c r="GG26" s="265">
        <v>0</v>
      </c>
      <c r="GH26" s="265">
        <v>0</v>
      </c>
      <c r="GI26" s="265">
        <v>0</v>
      </c>
      <c r="GJ26" s="265">
        <v>0</v>
      </c>
      <c r="GK26" s="265">
        <v>0</v>
      </c>
      <c r="GL26" s="265">
        <v>0</v>
      </c>
      <c r="GM26" s="265">
        <v>0</v>
      </c>
      <c r="GN26" s="265">
        <v>0</v>
      </c>
      <c r="GO26" s="269">
        <v>0</v>
      </c>
      <c r="GP26" s="278">
        <v>0</v>
      </c>
      <c r="GQ26" s="265">
        <v>0</v>
      </c>
      <c r="GR26" s="265">
        <v>0</v>
      </c>
      <c r="GS26" s="265">
        <v>0</v>
      </c>
      <c r="GT26" s="265">
        <v>0</v>
      </c>
      <c r="GU26" s="265">
        <v>0</v>
      </c>
      <c r="GV26" s="265">
        <v>0</v>
      </c>
      <c r="GW26" s="265">
        <v>0</v>
      </c>
      <c r="GX26" s="265">
        <v>0</v>
      </c>
      <c r="GY26" s="265">
        <v>0</v>
      </c>
      <c r="GZ26" s="265">
        <v>0</v>
      </c>
      <c r="HA26" s="265">
        <v>0</v>
      </c>
      <c r="HB26" s="265">
        <v>0</v>
      </c>
      <c r="HC26" s="265">
        <v>0</v>
      </c>
      <c r="HD26" s="265">
        <v>0</v>
      </c>
      <c r="HE26" s="265">
        <v>0</v>
      </c>
      <c r="HF26" s="265">
        <v>0</v>
      </c>
      <c r="HG26" s="265">
        <v>0</v>
      </c>
      <c r="HH26" s="265">
        <v>0</v>
      </c>
      <c r="HI26" s="265"/>
      <c r="HJ26" s="265"/>
      <c r="HK26" s="265"/>
      <c r="HL26" s="265"/>
      <c r="HM26" s="265"/>
      <c r="HN26" s="265"/>
      <c r="HO26" s="265"/>
      <c r="HP26" s="265"/>
      <c r="HQ26" s="265"/>
      <c r="HR26" s="265"/>
      <c r="HS26" s="265"/>
      <c r="HT26" s="368"/>
      <c r="HU26" s="326">
        <f t="shared" si="48"/>
        <v>3268</v>
      </c>
    </row>
    <row r="27" spans="1:229" x14ac:dyDescent="0.25">
      <c r="A27" s="2">
        <v>6</v>
      </c>
      <c r="B27" s="474"/>
      <c r="C27" s="3" t="s">
        <v>6</v>
      </c>
      <c r="D27" s="4" t="s">
        <v>20</v>
      </c>
      <c r="E27" s="5"/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09">
        <f t="shared" si="47"/>
        <v>0</v>
      </c>
      <c r="N27" s="139"/>
      <c r="O27" s="7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01">
        <v>0</v>
      </c>
      <c r="AQ27" s="183"/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83"/>
      <c r="BX27" s="68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265">
        <v>0</v>
      </c>
      <c r="CO27" s="265">
        <v>0</v>
      </c>
      <c r="CP27" s="265">
        <v>0</v>
      </c>
      <c r="CQ27" s="265">
        <v>0</v>
      </c>
      <c r="CR27" s="265">
        <v>0</v>
      </c>
      <c r="CS27" s="265">
        <v>0</v>
      </c>
      <c r="CT27" s="265">
        <v>1850</v>
      </c>
      <c r="CU27" s="265">
        <v>0</v>
      </c>
      <c r="CV27" s="265">
        <v>0</v>
      </c>
      <c r="CW27" s="265">
        <v>0</v>
      </c>
      <c r="CX27" s="265">
        <v>0</v>
      </c>
      <c r="CY27" s="265">
        <v>0</v>
      </c>
      <c r="CZ27" s="265">
        <v>0</v>
      </c>
      <c r="DA27" s="269">
        <v>0</v>
      </c>
      <c r="DB27" s="278">
        <v>0</v>
      </c>
      <c r="DC27" s="265">
        <v>0</v>
      </c>
      <c r="DD27" s="265">
        <v>0</v>
      </c>
      <c r="DE27" s="265">
        <v>0</v>
      </c>
      <c r="DF27" s="265">
        <v>0</v>
      </c>
      <c r="DG27" s="265">
        <v>0</v>
      </c>
      <c r="DH27" s="265">
        <v>0</v>
      </c>
      <c r="DI27" s="265">
        <v>0</v>
      </c>
      <c r="DJ27" s="265">
        <v>0</v>
      </c>
      <c r="DK27" s="265">
        <v>0</v>
      </c>
      <c r="DL27" s="265">
        <v>0</v>
      </c>
      <c r="DM27" s="265">
        <v>0</v>
      </c>
      <c r="DN27" s="265">
        <v>0</v>
      </c>
      <c r="DO27" s="265">
        <v>0</v>
      </c>
      <c r="DP27" s="265">
        <v>0</v>
      </c>
      <c r="DQ27" s="265">
        <v>0</v>
      </c>
      <c r="DR27" s="265">
        <v>0</v>
      </c>
      <c r="DS27" s="265">
        <v>0</v>
      </c>
      <c r="DT27" s="265">
        <v>0</v>
      </c>
      <c r="DU27" s="265">
        <v>0</v>
      </c>
      <c r="DV27" s="265">
        <v>0</v>
      </c>
      <c r="DW27" s="265">
        <v>0</v>
      </c>
      <c r="DX27" s="265">
        <v>0</v>
      </c>
      <c r="DY27" s="265">
        <v>0</v>
      </c>
      <c r="DZ27" s="265">
        <v>0</v>
      </c>
      <c r="EA27" s="265">
        <v>0</v>
      </c>
      <c r="EB27" s="265">
        <v>0</v>
      </c>
      <c r="EC27" s="265">
        <v>0</v>
      </c>
      <c r="ED27" s="265">
        <v>0</v>
      </c>
      <c r="EE27" s="265">
        <v>0</v>
      </c>
      <c r="EF27" s="269">
        <v>0</v>
      </c>
      <c r="EG27" s="278">
        <v>0</v>
      </c>
      <c r="EH27" s="269">
        <v>0</v>
      </c>
      <c r="EI27" s="265">
        <v>0</v>
      </c>
      <c r="EJ27" s="265">
        <v>0</v>
      </c>
      <c r="EK27" s="265">
        <v>0</v>
      </c>
      <c r="EL27" s="265">
        <v>0</v>
      </c>
      <c r="EM27" s="265">
        <v>0</v>
      </c>
      <c r="EN27" s="265">
        <v>0</v>
      </c>
      <c r="EO27" s="265">
        <v>0</v>
      </c>
      <c r="EP27" s="265">
        <v>0</v>
      </c>
      <c r="EQ27" s="265">
        <v>0</v>
      </c>
      <c r="ER27" s="265">
        <v>0</v>
      </c>
      <c r="ES27" s="265">
        <v>0</v>
      </c>
      <c r="ET27" s="265">
        <v>0</v>
      </c>
      <c r="EU27" s="265">
        <v>0</v>
      </c>
      <c r="EV27" s="265">
        <v>0</v>
      </c>
      <c r="EW27" s="265">
        <v>0</v>
      </c>
      <c r="EX27" s="265">
        <v>0</v>
      </c>
      <c r="EY27" s="265">
        <v>0</v>
      </c>
      <c r="EZ27" s="265">
        <v>0</v>
      </c>
      <c r="FA27" s="265">
        <v>0</v>
      </c>
      <c r="FB27" s="265">
        <v>0</v>
      </c>
      <c r="FC27" s="265">
        <v>0</v>
      </c>
      <c r="FD27" s="265">
        <v>0</v>
      </c>
      <c r="FE27" s="265">
        <v>0</v>
      </c>
      <c r="FF27" s="265">
        <v>0</v>
      </c>
      <c r="FG27" s="265">
        <v>0</v>
      </c>
      <c r="FH27" s="265">
        <v>0</v>
      </c>
      <c r="FI27" s="265">
        <v>0</v>
      </c>
      <c r="FJ27" s="368">
        <v>0</v>
      </c>
      <c r="FK27" s="278">
        <v>0</v>
      </c>
      <c r="FL27" s="265">
        <v>0</v>
      </c>
      <c r="FM27" s="265">
        <v>0</v>
      </c>
      <c r="FN27" s="265">
        <v>0</v>
      </c>
      <c r="FO27" s="265">
        <v>0</v>
      </c>
      <c r="FP27" s="265">
        <v>0</v>
      </c>
      <c r="FQ27" s="265">
        <v>0</v>
      </c>
      <c r="FR27" s="265">
        <v>0</v>
      </c>
      <c r="FS27" s="265">
        <v>0</v>
      </c>
      <c r="FT27" s="265">
        <v>0</v>
      </c>
      <c r="FU27" s="265">
        <v>0</v>
      </c>
      <c r="FV27" s="265">
        <v>0</v>
      </c>
      <c r="FW27" s="265">
        <v>0</v>
      </c>
      <c r="FX27" s="265">
        <v>0</v>
      </c>
      <c r="FY27" s="265">
        <v>0</v>
      </c>
      <c r="FZ27" s="265">
        <v>0</v>
      </c>
      <c r="GA27" s="265">
        <v>0</v>
      </c>
      <c r="GB27" s="265">
        <v>0</v>
      </c>
      <c r="GC27" s="265">
        <v>0</v>
      </c>
      <c r="GD27" s="265">
        <v>0</v>
      </c>
      <c r="GE27" s="265">
        <v>0</v>
      </c>
      <c r="GF27" s="265">
        <v>0</v>
      </c>
      <c r="GG27" s="265">
        <v>0</v>
      </c>
      <c r="GH27" s="265">
        <v>0</v>
      </c>
      <c r="GI27" s="265">
        <v>0</v>
      </c>
      <c r="GJ27" s="265">
        <v>0</v>
      </c>
      <c r="GK27" s="265">
        <v>0</v>
      </c>
      <c r="GL27" s="265">
        <v>0</v>
      </c>
      <c r="GM27" s="265">
        <v>0</v>
      </c>
      <c r="GN27" s="265">
        <v>0</v>
      </c>
      <c r="GO27" s="269">
        <v>0</v>
      </c>
      <c r="GP27" s="278">
        <v>0</v>
      </c>
      <c r="GQ27" s="265">
        <v>0</v>
      </c>
      <c r="GR27" s="265">
        <v>0</v>
      </c>
      <c r="GS27" s="265">
        <v>0</v>
      </c>
      <c r="GT27" s="265">
        <v>0</v>
      </c>
      <c r="GU27" s="265">
        <v>0</v>
      </c>
      <c r="GV27" s="265">
        <v>0</v>
      </c>
      <c r="GW27" s="265">
        <v>0</v>
      </c>
      <c r="GX27" s="265">
        <v>0</v>
      </c>
      <c r="GY27" s="265">
        <v>0</v>
      </c>
      <c r="GZ27" s="265">
        <v>0</v>
      </c>
      <c r="HA27" s="265">
        <v>0</v>
      </c>
      <c r="HB27" s="265">
        <v>0</v>
      </c>
      <c r="HC27" s="265">
        <v>0</v>
      </c>
      <c r="HD27" s="265">
        <v>0</v>
      </c>
      <c r="HE27" s="265">
        <v>0</v>
      </c>
      <c r="HF27" s="265">
        <v>0</v>
      </c>
      <c r="HG27" s="265">
        <v>0</v>
      </c>
      <c r="HH27" s="265">
        <v>0</v>
      </c>
      <c r="HI27" s="265"/>
      <c r="HJ27" s="265"/>
      <c r="HK27" s="265"/>
      <c r="HL27" s="265"/>
      <c r="HM27" s="265"/>
      <c r="HN27" s="265"/>
      <c r="HO27" s="265"/>
      <c r="HP27" s="265"/>
      <c r="HQ27" s="265"/>
      <c r="HR27" s="265"/>
      <c r="HS27" s="265"/>
      <c r="HT27" s="368"/>
      <c r="HU27" s="326">
        <f t="shared" si="48"/>
        <v>1850</v>
      </c>
    </row>
    <row r="28" spans="1:229" x14ac:dyDescent="0.25">
      <c r="A28" s="2">
        <v>7</v>
      </c>
      <c r="B28" s="474"/>
      <c r="C28" s="3" t="s">
        <v>7</v>
      </c>
      <c r="D28" s="4" t="s">
        <v>20</v>
      </c>
      <c r="E28" s="5"/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09">
        <f t="shared" si="47"/>
        <v>0</v>
      </c>
      <c r="N28" s="139"/>
      <c r="O28" s="7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01">
        <v>0</v>
      </c>
      <c r="AQ28" s="183"/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83"/>
      <c r="BX28" s="68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265">
        <v>0</v>
      </c>
      <c r="CO28" s="265">
        <v>0</v>
      </c>
      <c r="CP28" s="265">
        <v>0</v>
      </c>
      <c r="CQ28" s="265">
        <v>0</v>
      </c>
      <c r="CR28" s="265">
        <v>0</v>
      </c>
      <c r="CS28" s="265">
        <v>0</v>
      </c>
      <c r="CT28" s="265">
        <v>0</v>
      </c>
      <c r="CU28" s="265">
        <v>0</v>
      </c>
      <c r="CV28" s="265">
        <v>0</v>
      </c>
      <c r="CW28" s="265">
        <v>0</v>
      </c>
      <c r="CX28" s="265">
        <v>0</v>
      </c>
      <c r="CY28" s="265">
        <v>0</v>
      </c>
      <c r="CZ28" s="265">
        <v>0</v>
      </c>
      <c r="DA28" s="269">
        <v>0</v>
      </c>
      <c r="DB28" s="278">
        <v>0</v>
      </c>
      <c r="DC28" s="265">
        <v>0</v>
      </c>
      <c r="DD28" s="265">
        <v>0</v>
      </c>
      <c r="DE28" s="265">
        <v>0</v>
      </c>
      <c r="DF28" s="265">
        <v>0</v>
      </c>
      <c r="DG28" s="265">
        <v>0</v>
      </c>
      <c r="DH28" s="265">
        <v>0</v>
      </c>
      <c r="DI28" s="265">
        <v>0</v>
      </c>
      <c r="DJ28" s="265">
        <v>0</v>
      </c>
      <c r="DK28" s="265">
        <v>0</v>
      </c>
      <c r="DL28" s="265">
        <v>0</v>
      </c>
      <c r="DM28" s="265">
        <v>0</v>
      </c>
      <c r="DN28" s="265">
        <v>0</v>
      </c>
      <c r="DO28" s="265">
        <v>0</v>
      </c>
      <c r="DP28" s="265">
        <v>0</v>
      </c>
      <c r="DQ28" s="265">
        <v>0</v>
      </c>
      <c r="DR28" s="265">
        <v>1211</v>
      </c>
      <c r="DS28" s="265">
        <v>0</v>
      </c>
      <c r="DT28" s="265">
        <v>0</v>
      </c>
      <c r="DU28" s="265">
        <v>0</v>
      </c>
      <c r="DV28" s="265">
        <v>0</v>
      </c>
      <c r="DW28" s="265">
        <v>0</v>
      </c>
      <c r="DX28" s="265">
        <v>0</v>
      </c>
      <c r="DY28" s="265">
        <v>0</v>
      </c>
      <c r="DZ28" s="265">
        <v>0</v>
      </c>
      <c r="EA28" s="265">
        <v>0</v>
      </c>
      <c r="EB28" s="265">
        <v>0</v>
      </c>
      <c r="EC28" s="265">
        <v>0</v>
      </c>
      <c r="ED28" s="265">
        <v>0</v>
      </c>
      <c r="EE28" s="265">
        <v>0</v>
      </c>
      <c r="EF28" s="269">
        <v>0</v>
      </c>
      <c r="EG28" s="278">
        <v>0</v>
      </c>
      <c r="EH28" s="269">
        <v>0</v>
      </c>
      <c r="EI28" s="265">
        <v>0</v>
      </c>
      <c r="EJ28" s="265">
        <v>0</v>
      </c>
      <c r="EK28" s="265">
        <v>0</v>
      </c>
      <c r="EL28" s="265">
        <v>0</v>
      </c>
      <c r="EM28" s="265">
        <v>0</v>
      </c>
      <c r="EN28" s="265">
        <v>0</v>
      </c>
      <c r="EO28" s="265">
        <v>0</v>
      </c>
      <c r="EP28" s="265">
        <v>0</v>
      </c>
      <c r="EQ28" s="265">
        <v>0</v>
      </c>
      <c r="ER28" s="265">
        <v>0</v>
      </c>
      <c r="ES28" s="265">
        <v>0</v>
      </c>
      <c r="ET28" s="265">
        <v>0</v>
      </c>
      <c r="EU28" s="265">
        <v>0</v>
      </c>
      <c r="EV28" s="265">
        <v>0</v>
      </c>
      <c r="EW28" s="265">
        <v>0</v>
      </c>
      <c r="EX28" s="265">
        <v>0</v>
      </c>
      <c r="EY28" s="265">
        <v>0</v>
      </c>
      <c r="EZ28" s="265">
        <v>0</v>
      </c>
      <c r="FA28" s="265">
        <v>0</v>
      </c>
      <c r="FB28" s="265">
        <v>0</v>
      </c>
      <c r="FC28" s="265">
        <v>0</v>
      </c>
      <c r="FD28" s="265">
        <v>0</v>
      </c>
      <c r="FE28" s="265">
        <v>0</v>
      </c>
      <c r="FF28" s="265">
        <v>0</v>
      </c>
      <c r="FG28" s="265">
        <v>0</v>
      </c>
      <c r="FH28" s="265">
        <v>0</v>
      </c>
      <c r="FI28" s="265">
        <v>0</v>
      </c>
      <c r="FJ28" s="368">
        <v>0</v>
      </c>
      <c r="FK28" s="278">
        <v>0</v>
      </c>
      <c r="FL28" s="265">
        <v>0</v>
      </c>
      <c r="FM28" s="265">
        <v>0</v>
      </c>
      <c r="FN28" s="265">
        <v>0</v>
      </c>
      <c r="FO28" s="265">
        <v>0</v>
      </c>
      <c r="FP28" s="265">
        <v>0</v>
      </c>
      <c r="FQ28" s="265">
        <v>0</v>
      </c>
      <c r="FR28" s="265">
        <v>0</v>
      </c>
      <c r="FS28" s="265">
        <v>0</v>
      </c>
      <c r="FT28" s="265">
        <v>0</v>
      </c>
      <c r="FU28" s="265">
        <v>0</v>
      </c>
      <c r="FV28" s="265">
        <v>0</v>
      </c>
      <c r="FW28" s="265">
        <v>0</v>
      </c>
      <c r="FX28" s="265">
        <v>0</v>
      </c>
      <c r="FY28" s="265">
        <v>0</v>
      </c>
      <c r="FZ28" s="265">
        <v>0</v>
      </c>
      <c r="GA28" s="265">
        <v>0</v>
      </c>
      <c r="GB28" s="265">
        <v>0</v>
      </c>
      <c r="GC28" s="265">
        <v>0</v>
      </c>
      <c r="GD28" s="265">
        <v>0</v>
      </c>
      <c r="GE28" s="265">
        <v>0</v>
      </c>
      <c r="GF28" s="265">
        <v>0</v>
      </c>
      <c r="GG28" s="265">
        <v>0</v>
      </c>
      <c r="GH28" s="265">
        <v>0</v>
      </c>
      <c r="GI28" s="265">
        <v>0</v>
      </c>
      <c r="GJ28" s="265">
        <v>0</v>
      </c>
      <c r="GK28" s="265">
        <v>0</v>
      </c>
      <c r="GL28" s="265">
        <v>0</v>
      </c>
      <c r="GM28" s="265">
        <v>0</v>
      </c>
      <c r="GN28" s="265">
        <v>0</v>
      </c>
      <c r="GO28" s="269">
        <v>0</v>
      </c>
      <c r="GP28" s="278">
        <v>0</v>
      </c>
      <c r="GQ28" s="265">
        <v>0</v>
      </c>
      <c r="GR28" s="265">
        <v>0</v>
      </c>
      <c r="GS28" s="265">
        <v>0</v>
      </c>
      <c r="GT28" s="265">
        <v>0</v>
      </c>
      <c r="GU28" s="265">
        <v>0</v>
      </c>
      <c r="GV28" s="265">
        <v>0</v>
      </c>
      <c r="GW28" s="265">
        <v>0</v>
      </c>
      <c r="GX28" s="265">
        <v>0</v>
      </c>
      <c r="GY28" s="265">
        <v>0</v>
      </c>
      <c r="GZ28" s="265">
        <v>0</v>
      </c>
      <c r="HA28" s="265">
        <v>0</v>
      </c>
      <c r="HB28" s="265">
        <v>0</v>
      </c>
      <c r="HC28" s="265">
        <v>0</v>
      </c>
      <c r="HD28" s="265">
        <v>0</v>
      </c>
      <c r="HE28" s="265">
        <v>0</v>
      </c>
      <c r="HF28" s="265">
        <v>0</v>
      </c>
      <c r="HG28" s="265">
        <v>0</v>
      </c>
      <c r="HH28" s="265">
        <v>0</v>
      </c>
      <c r="HI28" s="265"/>
      <c r="HJ28" s="265"/>
      <c r="HK28" s="265"/>
      <c r="HL28" s="265"/>
      <c r="HM28" s="265"/>
      <c r="HN28" s="265"/>
      <c r="HO28" s="265"/>
      <c r="HP28" s="265"/>
      <c r="HQ28" s="265"/>
      <c r="HR28" s="265"/>
      <c r="HS28" s="265"/>
      <c r="HT28" s="368"/>
      <c r="HU28" s="326">
        <f t="shared" si="48"/>
        <v>1211</v>
      </c>
    </row>
    <row r="29" spans="1:229" x14ac:dyDescent="0.25">
      <c r="A29" s="2">
        <v>8</v>
      </c>
      <c r="B29" s="474"/>
      <c r="C29" s="3" t="s">
        <v>8</v>
      </c>
      <c r="D29" s="4" t="s">
        <v>20</v>
      </c>
      <c r="E29" s="5"/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09">
        <f t="shared" si="47"/>
        <v>0</v>
      </c>
      <c r="N29" s="139"/>
      <c r="O29" s="7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01">
        <v>0</v>
      </c>
      <c r="AQ29" s="183"/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83"/>
      <c r="BX29" s="68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265">
        <v>0</v>
      </c>
      <c r="CO29" s="265">
        <v>0</v>
      </c>
      <c r="CP29" s="265">
        <v>0</v>
      </c>
      <c r="CQ29" s="265">
        <v>0</v>
      </c>
      <c r="CR29" s="265">
        <v>1350</v>
      </c>
      <c r="CS29" s="265">
        <v>0</v>
      </c>
      <c r="CT29" s="265">
        <v>0</v>
      </c>
      <c r="CU29" s="265">
        <v>0</v>
      </c>
      <c r="CV29" s="265">
        <v>0</v>
      </c>
      <c r="CW29" s="265">
        <v>0</v>
      </c>
      <c r="CX29" s="265">
        <v>0</v>
      </c>
      <c r="CY29" s="265">
        <v>0</v>
      </c>
      <c r="CZ29" s="265">
        <v>0</v>
      </c>
      <c r="DA29" s="269">
        <v>0</v>
      </c>
      <c r="DB29" s="278">
        <v>0</v>
      </c>
      <c r="DC29" s="265">
        <v>0</v>
      </c>
      <c r="DD29" s="265">
        <v>0</v>
      </c>
      <c r="DE29" s="265">
        <v>0</v>
      </c>
      <c r="DF29" s="265">
        <v>0</v>
      </c>
      <c r="DG29" s="265">
        <v>0</v>
      </c>
      <c r="DH29" s="265">
        <v>0</v>
      </c>
      <c r="DI29" s="265">
        <v>0</v>
      </c>
      <c r="DJ29" s="265">
        <v>400</v>
      </c>
      <c r="DK29" s="265">
        <v>0</v>
      </c>
      <c r="DL29" s="265">
        <v>0</v>
      </c>
      <c r="DM29" s="265">
        <v>0</v>
      </c>
      <c r="DN29" s="265">
        <v>0</v>
      </c>
      <c r="DO29" s="265">
        <v>0</v>
      </c>
      <c r="DP29" s="265">
        <v>0</v>
      </c>
      <c r="DQ29" s="265">
        <v>0</v>
      </c>
      <c r="DR29" s="265">
        <v>0</v>
      </c>
      <c r="DS29" s="265">
        <v>0</v>
      </c>
      <c r="DT29" s="265">
        <v>0</v>
      </c>
      <c r="DU29" s="265">
        <v>0</v>
      </c>
      <c r="DV29" s="265">
        <v>0</v>
      </c>
      <c r="DW29" s="265">
        <v>0</v>
      </c>
      <c r="DX29" s="265">
        <v>0</v>
      </c>
      <c r="DY29" s="265">
        <v>400</v>
      </c>
      <c r="DZ29" s="265">
        <v>275</v>
      </c>
      <c r="EA29" s="265">
        <v>0</v>
      </c>
      <c r="EB29" s="265">
        <v>0</v>
      </c>
      <c r="EC29" s="265">
        <v>0</v>
      </c>
      <c r="ED29" s="265">
        <v>0</v>
      </c>
      <c r="EE29" s="265">
        <v>0</v>
      </c>
      <c r="EF29" s="269">
        <v>0</v>
      </c>
      <c r="EG29" s="278">
        <v>0</v>
      </c>
      <c r="EH29" s="269">
        <v>0</v>
      </c>
      <c r="EI29" s="265">
        <v>0</v>
      </c>
      <c r="EJ29" s="265">
        <v>0</v>
      </c>
      <c r="EK29" s="265">
        <v>0</v>
      </c>
      <c r="EL29" s="265">
        <v>0</v>
      </c>
      <c r="EM29" s="265">
        <v>0</v>
      </c>
      <c r="EN29" s="265">
        <v>0</v>
      </c>
      <c r="EO29" s="265">
        <v>0</v>
      </c>
      <c r="EP29" s="265">
        <v>0</v>
      </c>
      <c r="EQ29" s="265">
        <v>525</v>
      </c>
      <c r="ER29" s="265">
        <v>0</v>
      </c>
      <c r="ES29" s="265">
        <v>0</v>
      </c>
      <c r="ET29" s="265">
        <v>0</v>
      </c>
      <c r="EU29" s="265">
        <v>0</v>
      </c>
      <c r="EV29" s="265">
        <v>0</v>
      </c>
      <c r="EW29" s="265">
        <v>0</v>
      </c>
      <c r="EX29" s="265">
        <v>0</v>
      </c>
      <c r="EY29" s="265">
        <v>0</v>
      </c>
      <c r="EZ29" s="265">
        <v>0</v>
      </c>
      <c r="FA29" s="265">
        <v>0</v>
      </c>
      <c r="FB29" s="265">
        <v>0</v>
      </c>
      <c r="FC29" s="265">
        <v>0</v>
      </c>
      <c r="FD29" s="265">
        <v>0</v>
      </c>
      <c r="FE29" s="265">
        <v>0</v>
      </c>
      <c r="FF29" s="265">
        <v>0</v>
      </c>
      <c r="FG29" s="265">
        <v>0</v>
      </c>
      <c r="FH29" s="265">
        <v>0</v>
      </c>
      <c r="FI29" s="265">
        <v>0</v>
      </c>
      <c r="FJ29" s="368">
        <v>0</v>
      </c>
      <c r="FK29" s="278">
        <v>0</v>
      </c>
      <c r="FL29" s="265">
        <v>0</v>
      </c>
      <c r="FM29" s="265">
        <v>0</v>
      </c>
      <c r="FN29" s="265">
        <v>0</v>
      </c>
      <c r="FO29" s="265">
        <v>0</v>
      </c>
      <c r="FP29" s="265">
        <v>0</v>
      </c>
      <c r="FQ29" s="265">
        <v>0</v>
      </c>
      <c r="FR29" s="265">
        <v>0</v>
      </c>
      <c r="FS29" s="265">
        <v>0</v>
      </c>
      <c r="FT29" s="265">
        <v>0</v>
      </c>
      <c r="FU29" s="265">
        <v>0</v>
      </c>
      <c r="FV29" s="265">
        <v>0</v>
      </c>
      <c r="FW29" s="265">
        <v>0</v>
      </c>
      <c r="FX29" s="265">
        <v>0</v>
      </c>
      <c r="FY29" s="265">
        <v>0</v>
      </c>
      <c r="FZ29" s="265">
        <v>0</v>
      </c>
      <c r="GA29" s="265">
        <v>0</v>
      </c>
      <c r="GB29" s="265">
        <v>0</v>
      </c>
      <c r="GC29" s="265">
        <v>0</v>
      </c>
      <c r="GD29" s="265">
        <v>0</v>
      </c>
      <c r="GE29" s="265">
        <v>0</v>
      </c>
      <c r="GF29" s="265">
        <v>0</v>
      </c>
      <c r="GG29" s="265">
        <v>0</v>
      </c>
      <c r="GH29" s="265">
        <v>0</v>
      </c>
      <c r="GI29" s="265">
        <v>0</v>
      </c>
      <c r="GJ29" s="265">
        <v>0</v>
      </c>
      <c r="GK29" s="265">
        <v>0</v>
      </c>
      <c r="GL29" s="265">
        <v>0</v>
      </c>
      <c r="GM29" s="265">
        <v>0</v>
      </c>
      <c r="GN29" s="265">
        <v>0</v>
      </c>
      <c r="GO29" s="269">
        <v>0</v>
      </c>
      <c r="GP29" s="278">
        <v>0</v>
      </c>
      <c r="GQ29" s="265">
        <v>0</v>
      </c>
      <c r="GR29" s="265">
        <v>0</v>
      </c>
      <c r="GS29" s="265">
        <v>0</v>
      </c>
      <c r="GT29" s="265">
        <v>0</v>
      </c>
      <c r="GU29" s="265">
        <v>0</v>
      </c>
      <c r="GV29" s="265">
        <v>0</v>
      </c>
      <c r="GW29" s="265">
        <v>0</v>
      </c>
      <c r="GX29" s="265">
        <v>0</v>
      </c>
      <c r="GY29" s="265">
        <v>0</v>
      </c>
      <c r="GZ29" s="265">
        <v>0</v>
      </c>
      <c r="HA29" s="265">
        <v>0</v>
      </c>
      <c r="HB29" s="265">
        <v>0</v>
      </c>
      <c r="HC29" s="265">
        <v>0</v>
      </c>
      <c r="HD29" s="265">
        <v>243</v>
      </c>
      <c r="HE29" s="265">
        <v>0</v>
      </c>
      <c r="HF29" s="265">
        <v>0</v>
      </c>
      <c r="HG29" s="265">
        <v>0</v>
      </c>
      <c r="HH29" s="265">
        <v>0</v>
      </c>
      <c r="HI29" s="265"/>
      <c r="HJ29" s="265"/>
      <c r="HK29" s="265"/>
      <c r="HL29" s="265"/>
      <c r="HM29" s="265"/>
      <c r="HN29" s="265"/>
      <c r="HO29" s="265"/>
      <c r="HP29" s="265"/>
      <c r="HQ29" s="265"/>
      <c r="HR29" s="265"/>
      <c r="HS29" s="265"/>
      <c r="HT29" s="368"/>
      <c r="HU29" s="326">
        <f t="shared" si="48"/>
        <v>3193</v>
      </c>
    </row>
    <row r="30" spans="1:229" x14ac:dyDescent="0.25">
      <c r="A30" s="2">
        <v>9</v>
      </c>
      <c r="B30" s="474"/>
      <c r="C30" s="3" t="s">
        <v>9</v>
      </c>
      <c r="D30" s="4" t="s">
        <v>20</v>
      </c>
      <c r="E30" s="5"/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09">
        <f t="shared" si="47"/>
        <v>0</v>
      </c>
      <c r="N30" s="139"/>
      <c r="O30" s="7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01">
        <v>0</v>
      </c>
      <c r="AQ30" s="183"/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83"/>
      <c r="BX30" s="68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265">
        <v>0</v>
      </c>
      <c r="CO30" s="265">
        <v>0</v>
      </c>
      <c r="CP30" s="265">
        <v>0</v>
      </c>
      <c r="CQ30" s="265">
        <v>0</v>
      </c>
      <c r="CR30" s="265">
        <v>0</v>
      </c>
      <c r="CS30" s="265">
        <v>0</v>
      </c>
      <c r="CT30" s="265">
        <v>0</v>
      </c>
      <c r="CU30" s="265">
        <v>0</v>
      </c>
      <c r="CV30" s="265">
        <v>0</v>
      </c>
      <c r="CW30" s="265">
        <v>0</v>
      </c>
      <c r="CX30" s="265">
        <v>0</v>
      </c>
      <c r="CY30" s="265">
        <v>0</v>
      </c>
      <c r="CZ30" s="265">
        <v>0</v>
      </c>
      <c r="DA30" s="269">
        <v>0</v>
      </c>
      <c r="DB30" s="278">
        <v>0</v>
      </c>
      <c r="DC30" s="265">
        <v>0</v>
      </c>
      <c r="DD30" s="265">
        <v>0</v>
      </c>
      <c r="DE30" s="265">
        <v>0</v>
      </c>
      <c r="DF30" s="265">
        <v>0</v>
      </c>
      <c r="DG30" s="265">
        <v>0</v>
      </c>
      <c r="DH30" s="265">
        <v>0</v>
      </c>
      <c r="DI30" s="265">
        <v>0</v>
      </c>
      <c r="DJ30" s="265">
        <v>0</v>
      </c>
      <c r="DK30" s="265">
        <v>0</v>
      </c>
      <c r="DL30" s="265">
        <v>0</v>
      </c>
      <c r="DM30" s="265">
        <v>0</v>
      </c>
      <c r="DN30" s="265">
        <v>0</v>
      </c>
      <c r="DO30" s="265">
        <v>0</v>
      </c>
      <c r="DP30" s="265">
        <v>0</v>
      </c>
      <c r="DQ30" s="265">
        <v>0</v>
      </c>
      <c r="DR30" s="265">
        <v>0</v>
      </c>
      <c r="DS30" s="265">
        <v>0</v>
      </c>
      <c r="DT30" s="265">
        <v>0</v>
      </c>
      <c r="DU30" s="265">
        <v>0</v>
      </c>
      <c r="DV30" s="265">
        <v>0</v>
      </c>
      <c r="DW30" s="265">
        <v>0</v>
      </c>
      <c r="DX30" s="265">
        <v>0</v>
      </c>
      <c r="DY30" s="265">
        <v>0</v>
      </c>
      <c r="DZ30" s="265">
        <v>0</v>
      </c>
      <c r="EA30" s="265">
        <v>0</v>
      </c>
      <c r="EB30" s="265">
        <v>0</v>
      </c>
      <c r="EC30" s="265">
        <v>0</v>
      </c>
      <c r="ED30" s="265">
        <v>0</v>
      </c>
      <c r="EE30" s="265">
        <v>0</v>
      </c>
      <c r="EF30" s="269">
        <v>0</v>
      </c>
      <c r="EG30" s="278">
        <v>0</v>
      </c>
      <c r="EH30" s="269">
        <v>0</v>
      </c>
      <c r="EI30" s="265">
        <v>0</v>
      </c>
      <c r="EJ30" s="265">
        <v>0</v>
      </c>
      <c r="EK30" s="265">
        <v>0</v>
      </c>
      <c r="EL30" s="265">
        <v>0</v>
      </c>
      <c r="EM30" s="265">
        <v>0</v>
      </c>
      <c r="EN30" s="265">
        <v>0</v>
      </c>
      <c r="EO30" s="265">
        <v>0</v>
      </c>
      <c r="EP30" s="265">
        <v>0</v>
      </c>
      <c r="EQ30" s="265">
        <v>0</v>
      </c>
      <c r="ER30" s="265">
        <v>0</v>
      </c>
      <c r="ES30" s="265">
        <v>0</v>
      </c>
      <c r="ET30" s="265">
        <v>0</v>
      </c>
      <c r="EU30" s="265">
        <v>0</v>
      </c>
      <c r="EV30" s="265">
        <v>0</v>
      </c>
      <c r="EW30" s="265">
        <v>0</v>
      </c>
      <c r="EX30" s="265">
        <v>0</v>
      </c>
      <c r="EY30" s="265">
        <v>0</v>
      </c>
      <c r="EZ30" s="265">
        <v>0</v>
      </c>
      <c r="FA30" s="265">
        <v>0</v>
      </c>
      <c r="FB30" s="265">
        <v>0</v>
      </c>
      <c r="FC30" s="265">
        <v>0</v>
      </c>
      <c r="FD30" s="265">
        <v>0</v>
      </c>
      <c r="FE30" s="265">
        <v>0</v>
      </c>
      <c r="FF30" s="265">
        <v>0</v>
      </c>
      <c r="FG30" s="265">
        <v>0</v>
      </c>
      <c r="FH30" s="265">
        <v>0</v>
      </c>
      <c r="FI30" s="265">
        <v>0</v>
      </c>
      <c r="FJ30" s="368">
        <v>0</v>
      </c>
      <c r="FK30" s="278">
        <v>0</v>
      </c>
      <c r="FL30" s="265">
        <v>0</v>
      </c>
      <c r="FM30" s="265">
        <v>0</v>
      </c>
      <c r="FN30" s="265">
        <v>0</v>
      </c>
      <c r="FO30" s="265">
        <v>0</v>
      </c>
      <c r="FP30" s="265">
        <v>0</v>
      </c>
      <c r="FQ30" s="265">
        <v>0</v>
      </c>
      <c r="FR30" s="265">
        <v>0</v>
      </c>
      <c r="FS30" s="265">
        <v>0</v>
      </c>
      <c r="FT30" s="265">
        <v>0</v>
      </c>
      <c r="FU30" s="265">
        <v>0</v>
      </c>
      <c r="FV30" s="265">
        <v>0</v>
      </c>
      <c r="FW30" s="265">
        <v>0</v>
      </c>
      <c r="FX30" s="265">
        <v>0</v>
      </c>
      <c r="FY30" s="265">
        <v>0</v>
      </c>
      <c r="FZ30" s="265">
        <v>0</v>
      </c>
      <c r="GA30" s="265">
        <v>0</v>
      </c>
      <c r="GB30" s="265">
        <v>0</v>
      </c>
      <c r="GC30" s="265">
        <v>0</v>
      </c>
      <c r="GD30" s="265">
        <v>0</v>
      </c>
      <c r="GE30" s="265">
        <v>0</v>
      </c>
      <c r="GF30" s="265">
        <v>0</v>
      </c>
      <c r="GG30" s="265">
        <v>0</v>
      </c>
      <c r="GH30" s="265">
        <v>0</v>
      </c>
      <c r="GI30" s="265">
        <v>0</v>
      </c>
      <c r="GJ30" s="265">
        <v>0</v>
      </c>
      <c r="GK30" s="265">
        <v>0</v>
      </c>
      <c r="GL30" s="265">
        <v>0</v>
      </c>
      <c r="GM30" s="265">
        <v>0</v>
      </c>
      <c r="GN30" s="265">
        <v>0</v>
      </c>
      <c r="GO30" s="269">
        <v>0</v>
      </c>
      <c r="GP30" s="278">
        <v>0</v>
      </c>
      <c r="GQ30" s="265">
        <v>0</v>
      </c>
      <c r="GR30" s="265">
        <v>0</v>
      </c>
      <c r="GS30" s="265">
        <v>0</v>
      </c>
      <c r="GT30" s="265">
        <v>0</v>
      </c>
      <c r="GU30" s="265">
        <v>0</v>
      </c>
      <c r="GV30" s="265">
        <v>0</v>
      </c>
      <c r="GW30" s="265">
        <v>0</v>
      </c>
      <c r="GX30" s="265">
        <v>0</v>
      </c>
      <c r="GY30" s="265">
        <v>0</v>
      </c>
      <c r="GZ30" s="265">
        <v>0</v>
      </c>
      <c r="HA30" s="265">
        <v>0</v>
      </c>
      <c r="HB30" s="265">
        <v>0</v>
      </c>
      <c r="HC30" s="265">
        <v>0</v>
      </c>
      <c r="HD30" s="265">
        <v>0</v>
      </c>
      <c r="HE30" s="265">
        <v>0</v>
      </c>
      <c r="HF30" s="265">
        <v>0</v>
      </c>
      <c r="HG30" s="265">
        <v>0</v>
      </c>
      <c r="HH30" s="265">
        <v>0</v>
      </c>
      <c r="HI30" s="265"/>
      <c r="HJ30" s="265"/>
      <c r="HK30" s="265"/>
      <c r="HL30" s="265"/>
      <c r="HM30" s="265"/>
      <c r="HN30" s="265"/>
      <c r="HO30" s="265"/>
      <c r="HP30" s="265"/>
      <c r="HQ30" s="265"/>
      <c r="HR30" s="265"/>
      <c r="HS30" s="265"/>
      <c r="HT30" s="368"/>
      <c r="HU30" s="326">
        <f t="shared" si="48"/>
        <v>0</v>
      </c>
    </row>
    <row r="31" spans="1:229" x14ac:dyDescent="0.25">
      <c r="A31" s="2">
        <v>10</v>
      </c>
      <c r="B31" s="474"/>
      <c r="C31" s="3" t="s">
        <v>10</v>
      </c>
      <c r="D31" s="4" t="s">
        <v>20</v>
      </c>
      <c r="E31" s="5"/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09">
        <f t="shared" si="47"/>
        <v>0</v>
      </c>
      <c r="N31" s="139"/>
      <c r="O31" s="7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01">
        <v>0</v>
      </c>
      <c r="AQ31" s="183"/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83"/>
      <c r="BX31" s="68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265">
        <v>0</v>
      </c>
      <c r="CO31" s="265">
        <v>0</v>
      </c>
      <c r="CP31" s="265">
        <v>0</v>
      </c>
      <c r="CQ31" s="265">
        <v>0</v>
      </c>
      <c r="CR31" s="265">
        <v>0</v>
      </c>
      <c r="CS31" s="265">
        <v>0</v>
      </c>
      <c r="CT31" s="265">
        <v>0</v>
      </c>
      <c r="CU31" s="265">
        <v>0</v>
      </c>
      <c r="CV31" s="265">
        <v>0</v>
      </c>
      <c r="CW31" s="265">
        <v>0</v>
      </c>
      <c r="CX31" s="265">
        <v>0</v>
      </c>
      <c r="CY31" s="265">
        <v>0</v>
      </c>
      <c r="CZ31" s="265">
        <v>0</v>
      </c>
      <c r="DA31" s="269">
        <v>0</v>
      </c>
      <c r="DB31" s="278">
        <v>0</v>
      </c>
      <c r="DC31" s="265">
        <v>0</v>
      </c>
      <c r="DD31" s="265">
        <v>0</v>
      </c>
      <c r="DE31" s="265">
        <v>0</v>
      </c>
      <c r="DF31" s="265">
        <v>0</v>
      </c>
      <c r="DG31" s="265">
        <v>0</v>
      </c>
      <c r="DH31" s="265">
        <v>0</v>
      </c>
      <c r="DI31" s="265">
        <v>0</v>
      </c>
      <c r="DJ31" s="265">
        <v>0</v>
      </c>
      <c r="DK31" s="265">
        <v>0</v>
      </c>
      <c r="DL31" s="265">
        <v>0</v>
      </c>
      <c r="DM31" s="265">
        <v>0</v>
      </c>
      <c r="DN31" s="265">
        <v>0</v>
      </c>
      <c r="DO31" s="265">
        <v>0</v>
      </c>
      <c r="DP31" s="265">
        <v>0</v>
      </c>
      <c r="DQ31" s="265">
        <v>0</v>
      </c>
      <c r="DR31" s="265">
        <v>0</v>
      </c>
      <c r="DS31" s="265">
        <v>0</v>
      </c>
      <c r="DT31" s="265">
        <v>0</v>
      </c>
      <c r="DU31" s="265">
        <v>0</v>
      </c>
      <c r="DV31" s="265">
        <v>0</v>
      </c>
      <c r="DW31" s="265">
        <v>0</v>
      </c>
      <c r="DX31" s="265">
        <v>0</v>
      </c>
      <c r="DY31" s="265">
        <v>0</v>
      </c>
      <c r="DZ31" s="265">
        <v>0</v>
      </c>
      <c r="EA31" s="265">
        <v>0</v>
      </c>
      <c r="EB31" s="265">
        <v>0</v>
      </c>
      <c r="EC31" s="265">
        <v>0</v>
      </c>
      <c r="ED31" s="265">
        <v>0</v>
      </c>
      <c r="EE31" s="265">
        <v>0</v>
      </c>
      <c r="EF31" s="269">
        <v>0</v>
      </c>
      <c r="EG31" s="278">
        <v>0</v>
      </c>
      <c r="EH31" s="269">
        <v>0</v>
      </c>
      <c r="EI31" s="265">
        <v>0</v>
      </c>
      <c r="EJ31" s="265">
        <v>0</v>
      </c>
      <c r="EK31" s="265">
        <v>0</v>
      </c>
      <c r="EL31" s="265">
        <v>0</v>
      </c>
      <c r="EM31" s="265">
        <v>0</v>
      </c>
      <c r="EN31" s="265">
        <v>0</v>
      </c>
      <c r="EO31" s="265">
        <v>0</v>
      </c>
      <c r="EP31" s="265">
        <v>0</v>
      </c>
      <c r="EQ31" s="265">
        <v>0</v>
      </c>
      <c r="ER31" s="265">
        <v>0</v>
      </c>
      <c r="ES31" s="265">
        <v>0</v>
      </c>
      <c r="ET31" s="265">
        <v>0</v>
      </c>
      <c r="EU31" s="265">
        <v>0</v>
      </c>
      <c r="EV31" s="265">
        <v>0</v>
      </c>
      <c r="EW31" s="265">
        <v>0</v>
      </c>
      <c r="EX31" s="265">
        <v>0</v>
      </c>
      <c r="EY31" s="265">
        <v>0</v>
      </c>
      <c r="EZ31" s="265">
        <v>0</v>
      </c>
      <c r="FA31" s="265">
        <v>0</v>
      </c>
      <c r="FB31" s="265">
        <v>0</v>
      </c>
      <c r="FC31" s="265">
        <v>0</v>
      </c>
      <c r="FD31" s="265">
        <v>0</v>
      </c>
      <c r="FE31" s="265">
        <v>0</v>
      </c>
      <c r="FF31" s="265">
        <v>0</v>
      </c>
      <c r="FG31" s="265">
        <v>0</v>
      </c>
      <c r="FH31" s="265">
        <v>0</v>
      </c>
      <c r="FI31" s="265">
        <v>0</v>
      </c>
      <c r="FJ31" s="368">
        <v>0</v>
      </c>
      <c r="FK31" s="278">
        <v>0</v>
      </c>
      <c r="FL31" s="265">
        <v>0</v>
      </c>
      <c r="FM31" s="265">
        <v>0</v>
      </c>
      <c r="FN31" s="265">
        <v>0</v>
      </c>
      <c r="FO31" s="265">
        <v>0</v>
      </c>
      <c r="FP31" s="265">
        <v>0</v>
      </c>
      <c r="FQ31" s="265">
        <v>0</v>
      </c>
      <c r="FR31" s="265">
        <v>0</v>
      </c>
      <c r="FS31" s="265">
        <v>0</v>
      </c>
      <c r="FT31" s="265">
        <v>0</v>
      </c>
      <c r="FU31" s="265">
        <v>0</v>
      </c>
      <c r="FV31" s="265">
        <v>0</v>
      </c>
      <c r="FW31" s="265">
        <v>0</v>
      </c>
      <c r="FX31" s="265">
        <v>0</v>
      </c>
      <c r="FY31" s="265">
        <v>0</v>
      </c>
      <c r="FZ31" s="265">
        <v>0</v>
      </c>
      <c r="GA31" s="265">
        <v>0</v>
      </c>
      <c r="GB31" s="265">
        <v>0</v>
      </c>
      <c r="GC31" s="265">
        <v>0</v>
      </c>
      <c r="GD31" s="265">
        <v>0</v>
      </c>
      <c r="GE31" s="265">
        <v>0</v>
      </c>
      <c r="GF31" s="265">
        <v>0</v>
      </c>
      <c r="GG31" s="265">
        <v>0</v>
      </c>
      <c r="GH31" s="265">
        <v>0</v>
      </c>
      <c r="GI31" s="265">
        <v>0</v>
      </c>
      <c r="GJ31" s="265">
        <v>0</v>
      </c>
      <c r="GK31" s="265">
        <v>0</v>
      </c>
      <c r="GL31" s="265">
        <v>0</v>
      </c>
      <c r="GM31" s="265">
        <v>0</v>
      </c>
      <c r="GN31" s="265">
        <v>0</v>
      </c>
      <c r="GO31" s="269">
        <v>0</v>
      </c>
      <c r="GP31" s="278">
        <v>0</v>
      </c>
      <c r="GQ31" s="265">
        <v>0</v>
      </c>
      <c r="GR31" s="265">
        <v>0</v>
      </c>
      <c r="GS31" s="265">
        <v>0</v>
      </c>
      <c r="GT31" s="265">
        <v>0</v>
      </c>
      <c r="GU31" s="265">
        <v>0</v>
      </c>
      <c r="GV31" s="265">
        <v>0</v>
      </c>
      <c r="GW31" s="265">
        <v>0</v>
      </c>
      <c r="GX31" s="265">
        <v>0</v>
      </c>
      <c r="GY31" s="265">
        <v>0</v>
      </c>
      <c r="GZ31" s="265">
        <v>0</v>
      </c>
      <c r="HA31" s="265">
        <v>0</v>
      </c>
      <c r="HB31" s="265">
        <v>0</v>
      </c>
      <c r="HC31" s="265">
        <v>0</v>
      </c>
      <c r="HD31" s="265">
        <v>0</v>
      </c>
      <c r="HE31" s="265">
        <v>0</v>
      </c>
      <c r="HF31" s="265">
        <v>0</v>
      </c>
      <c r="HG31" s="265">
        <v>0</v>
      </c>
      <c r="HH31" s="265">
        <v>0</v>
      </c>
      <c r="HI31" s="265"/>
      <c r="HJ31" s="265"/>
      <c r="HK31" s="265"/>
      <c r="HL31" s="265"/>
      <c r="HM31" s="265"/>
      <c r="HN31" s="265"/>
      <c r="HO31" s="265"/>
      <c r="HP31" s="265"/>
      <c r="HQ31" s="265"/>
      <c r="HR31" s="265"/>
      <c r="HS31" s="265"/>
      <c r="HT31" s="368"/>
      <c r="HU31" s="326">
        <f t="shared" si="48"/>
        <v>0</v>
      </c>
    </row>
    <row r="32" spans="1:229" x14ac:dyDescent="0.25">
      <c r="A32" s="2">
        <v>11</v>
      </c>
      <c r="B32" s="496"/>
      <c r="C32" s="3" t="s">
        <v>11</v>
      </c>
      <c r="D32" s="4" t="s">
        <v>20</v>
      </c>
      <c r="E32" s="5"/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09">
        <f t="shared" si="47"/>
        <v>0</v>
      </c>
      <c r="N32" s="139"/>
      <c r="O32" s="7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01">
        <v>0</v>
      </c>
      <c r="AQ32" s="183"/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83"/>
      <c r="BX32" s="68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265">
        <v>0</v>
      </c>
      <c r="CO32" s="265">
        <v>0</v>
      </c>
      <c r="CP32" s="265">
        <v>0</v>
      </c>
      <c r="CQ32" s="265">
        <v>0</v>
      </c>
      <c r="CR32" s="265">
        <v>0</v>
      </c>
      <c r="CS32" s="265">
        <v>0</v>
      </c>
      <c r="CT32" s="265">
        <v>0</v>
      </c>
      <c r="CU32" s="265">
        <v>0</v>
      </c>
      <c r="CV32" s="265">
        <v>0</v>
      </c>
      <c r="CW32" s="265">
        <v>0</v>
      </c>
      <c r="CX32" s="265">
        <v>0</v>
      </c>
      <c r="CY32" s="265">
        <v>0</v>
      </c>
      <c r="CZ32" s="265">
        <v>0</v>
      </c>
      <c r="DA32" s="269">
        <v>0</v>
      </c>
      <c r="DB32" s="278">
        <v>0</v>
      </c>
      <c r="DC32" s="265">
        <v>0</v>
      </c>
      <c r="DD32" s="265">
        <v>0</v>
      </c>
      <c r="DE32" s="265">
        <v>0</v>
      </c>
      <c r="DF32" s="265">
        <v>0</v>
      </c>
      <c r="DG32" s="265">
        <v>0</v>
      </c>
      <c r="DH32" s="265">
        <v>0</v>
      </c>
      <c r="DI32" s="265">
        <v>0</v>
      </c>
      <c r="DJ32" s="265">
        <v>0</v>
      </c>
      <c r="DK32" s="265">
        <v>0</v>
      </c>
      <c r="DL32" s="265">
        <v>0</v>
      </c>
      <c r="DM32" s="265">
        <v>0</v>
      </c>
      <c r="DN32" s="265">
        <v>0</v>
      </c>
      <c r="DO32" s="265">
        <v>0</v>
      </c>
      <c r="DP32" s="265">
        <v>0</v>
      </c>
      <c r="DQ32" s="265">
        <v>0</v>
      </c>
      <c r="DR32" s="265">
        <v>0</v>
      </c>
      <c r="DS32" s="265">
        <v>0</v>
      </c>
      <c r="DT32" s="265">
        <v>0</v>
      </c>
      <c r="DU32" s="265">
        <v>0</v>
      </c>
      <c r="DV32" s="265">
        <v>0</v>
      </c>
      <c r="DW32" s="265">
        <v>0</v>
      </c>
      <c r="DX32" s="265">
        <v>0</v>
      </c>
      <c r="DY32" s="265">
        <v>0</v>
      </c>
      <c r="DZ32" s="265">
        <v>0</v>
      </c>
      <c r="EA32" s="265">
        <v>0</v>
      </c>
      <c r="EB32" s="265">
        <v>0</v>
      </c>
      <c r="EC32" s="265">
        <v>0</v>
      </c>
      <c r="ED32" s="265">
        <v>0</v>
      </c>
      <c r="EE32" s="265">
        <v>0</v>
      </c>
      <c r="EF32" s="269">
        <v>0</v>
      </c>
      <c r="EG32" s="278">
        <v>0</v>
      </c>
      <c r="EH32" s="269">
        <v>0</v>
      </c>
      <c r="EI32" s="265">
        <v>0</v>
      </c>
      <c r="EJ32" s="265">
        <v>0</v>
      </c>
      <c r="EK32" s="265">
        <v>0</v>
      </c>
      <c r="EL32" s="265">
        <v>0</v>
      </c>
      <c r="EM32" s="265">
        <v>0</v>
      </c>
      <c r="EN32" s="265">
        <v>0</v>
      </c>
      <c r="EO32" s="265">
        <v>0</v>
      </c>
      <c r="EP32" s="265">
        <v>0</v>
      </c>
      <c r="EQ32" s="265">
        <v>0</v>
      </c>
      <c r="ER32" s="265">
        <v>0</v>
      </c>
      <c r="ES32" s="265">
        <v>0</v>
      </c>
      <c r="ET32" s="265">
        <v>0</v>
      </c>
      <c r="EU32" s="265">
        <v>0</v>
      </c>
      <c r="EV32" s="265">
        <v>0</v>
      </c>
      <c r="EW32" s="265">
        <v>0</v>
      </c>
      <c r="EX32" s="265">
        <v>0</v>
      </c>
      <c r="EY32" s="265">
        <v>0</v>
      </c>
      <c r="EZ32" s="265">
        <v>0</v>
      </c>
      <c r="FA32" s="265">
        <v>0</v>
      </c>
      <c r="FB32" s="265">
        <v>0</v>
      </c>
      <c r="FC32" s="265">
        <v>0</v>
      </c>
      <c r="FD32" s="265">
        <v>0</v>
      </c>
      <c r="FE32" s="265">
        <v>0</v>
      </c>
      <c r="FF32" s="265">
        <v>0</v>
      </c>
      <c r="FG32" s="265">
        <v>0</v>
      </c>
      <c r="FH32" s="265">
        <v>0</v>
      </c>
      <c r="FI32" s="265">
        <v>0</v>
      </c>
      <c r="FJ32" s="368">
        <v>0</v>
      </c>
      <c r="FK32" s="278">
        <v>0</v>
      </c>
      <c r="FL32" s="265">
        <v>0</v>
      </c>
      <c r="FM32" s="265">
        <v>0</v>
      </c>
      <c r="FN32" s="265">
        <v>0</v>
      </c>
      <c r="FO32" s="265">
        <v>0</v>
      </c>
      <c r="FP32" s="265">
        <v>0</v>
      </c>
      <c r="FQ32" s="265">
        <v>0</v>
      </c>
      <c r="FR32" s="265">
        <v>0</v>
      </c>
      <c r="FS32" s="265">
        <v>0</v>
      </c>
      <c r="FT32" s="265">
        <v>0</v>
      </c>
      <c r="FU32" s="265">
        <v>0</v>
      </c>
      <c r="FV32" s="265">
        <v>0</v>
      </c>
      <c r="FW32" s="265">
        <v>0</v>
      </c>
      <c r="FX32" s="265">
        <v>0</v>
      </c>
      <c r="FY32" s="265">
        <v>0</v>
      </c>
      <c r="FZ32" s="265">
        <v>0</v>
      </c>
      <c r="GA32" s="265">
        <v>0</v>
      </c>
      <c r="GB32" s="265">
        <v>0</v>
      </c>
      <c r="GC32" s="265">
        <v>0</v>
      </c>
      <c r="GD32" s="265">
        <v>0</v>
      </c>
      <c r="GE32" s="265">
        <v>0</v>
      </c>
      <c r="GF32" s="265">
        <v>0</v>
      </c>
      <c r="GG32" s="265">
        <v>0</v>
      </c>
      <c r="GH32" s="265">
        <v>0</v>
      </c>
      <c r="GI32" s="265">
        <v>0</v>
      </c>
      <c r="GJ32" s="265">
        <v>0</v>
      </c>
      <c r="GK32" s="265">
        <v>0</v>
      </c>
      <c r="GL32" s="265">
        <v>0</v>
      </c>
      <c r="GM32" s="265">
        <v>0</v>
      </c>
      <c r="GN32" s="265">
        <v>0</v>
      </c>
      <c r="GO32" s="269">
        <v>0</v>
      </c>
      <c r="GP32" s="278">
        <v>0</v>
      </c>
      <c r="GQ32" s="265">
        <v>0</v>
      </c>
      <c r="GR32" s="265">
        <v>0</v>
      </c>
      <c r="GS32" s="265">
        <v>0</v>
      </c>
      <c r="GT32" s="265">
        <v>0</v>
      </c>
      <c r="GU32" s="265">
        <v>0</v>
      </c>
      <c r="GV32" s="265">
        <v>0</v>
      </c>
      <c r="GW32" s="265">
        <v>0</v>
      </c>
      <c r="GX32" s="265">
        <v>0</v>
      </c>
      <c r="GY32" s="265">
        <v>0</v>
      </c>
      <c r="GZ32" s="265">
        <v>0</v>
      </c>
      <c r="HA32" s="265">
        <v>0</v>
      </c>
      <c r="HB32" s="265">
        <v>0</v>
      </c>
      <c r="HC32" s="265">
        <v>0</v>
      </c>
      <c r="HD32" s="265">
        <v>0</v>
      </c>
      <c r="HE32" s="265">
        <v>0</v>
      </c>
      <c r="HF32" s="265">
        <v>0</v>
      </c>
      <c r="HG32" s="265">
        <v>0</v>
      </c>
      <c r="HH32" s="265">
        <v>0</v>
      </c>
      <c r="HI32" s="265"/>
      <c r="HJ32" s="265"/>
      <c r="HK32" s="265"/>
      <c r="HL32" s="265"/>
      <c r="HM32" s="265"/>
      <c r="HN32" s="265"/>
      <c r="HO32" s="265"/>
      <c r="HP32" s="265"/>
      <c r="HQ32" s="265"/>
      <c r="HR32" s="265"/>
      <c r="HS32" s="265"/>
      <c r="HT32" s="368"/>
      <c r="HU32" s="326">
        <f t="shared" si="48"/>
        <v>0</v>
      </c>
    </row>
    <row r="33" spans="1:229" s="7" customFormat="1" ht="24.75" customHeight="1" thickBot="1" x14ac:dyDescent="0.3">
      <c r="A33" s="15"/>
      <c r="B33" s="15"/>
      <c r="C33" s="16" t="s">
        <v>12</v>
      </c>
      <c r="D33" s="84" t="s">
        <v>74</v>
      </c>
      <c r="E33" s="20">
        <f t="shared" ref="E33:L33" si="49">SUM(E22:E32)</f>
        <v>0</v>
      </c>
      <c r="F33" s="20">
        <f t="shared" si="49"/>
        <v>0</v>
      </c>
      <c r="G33" s="20">
        <f t="shared" si="49"/>
        <v>0</v>
      </c>
      <c r="H33" s="20">
        <f t="shared" si="49"/>
        <v>0</v>
      </c>
      <c r="I33" s="20">
        <f t="shared" si="49"/>
        <v>0</v>
      </c>
      <c r="J33" s="20">
        <f t="shared" si="49"/>
        <v>0</v>
      </c>
      <c r="K33" s="20">
        <f t="shared" si="49"/>
        <v>0</v>
      </c>
      <c r="L33" s="20">
        <f t="shared" si="49"/>
        <v>0</v>
      </c>
      <c r="M33" s="110">
        <f>SUM(M22:M32)</f>
        <v>0</v>
      </c>
      <c r="N33" s="132"/>
      <c r="O33" s="313">
        <f t="shared" ref="O33:AP33" si="50">SUM(O22:O32)</f>
        <v>0</v>
      </c>
      <c r="P33" s="115">
        <f t="shared" si="50"/>
        <v>0</v>
      </c>
      <c r="Q33" s="115">
        <f t="shared" si="50"/>
        <v>0</v>
      </c>
      <c r="R33" s="115">
        <f t="shared" si="50"/>
        <v>0</v>
      </c>
      <c r="S33" s="115">
        <f t="shared" si="50"/>
        <v>0</v>
      </c>
      <c r="T33" s="115">
        <f t="shared" si="50"/>
        <v>0</v>
      </c>
      <c r="U33" s="115">
        <f t="shared" si="50"/>
        <v>0</v>
      </c>
      <c r="V33" s="115">
        <f t="shared" si="50"/>
        <v>0</v>
      </c>
      <c r="W33" s="115">
        <f t="shared" si="50"/>
        <v>0</v>
      </c>
      <c r="X33" s="115">
        <f t="shared" si="50"/>
        <v>0</v>
      </c>
      <c r="Y33" s="115">
        <f t="shared" si="50"/>
        <v>0</v>
      </c>
      <c r="Z33" s="115">
        <f t="shared" si="50"/>
        <v>0</v>
      </c>
      <c r="AA33" s="115">
        <f t="shared" si="50"/>
        <v>0</v>
      </c>
      <c r="AB33" s="314">
        <f t="shared" si="50"/>
        <v>1906</v>
      </c>
      <c r="AC33" s="115">
        <f t="shared" si="50"/>
        <v>0</v>
      </c>
      <c r="AD33" s="115">
        <f t="shared" si="50"/>
        <v>0</v>
      </c>
      <c r="AE33" s="115">
        <f t="shared" si="50"/>
        <v>0</v>
      </c>
      <c r="AF33" s="115">
        <f t="shared" si="50"/>
        <v>0</v>
      </c>
      <c r="AG33" s="115">
        <f t="shared" si="50"/>
        <v>0</v>
      </c>
      <c r="AH33" s="115">
        <f t="shared" si="50"/>
        <v>0</v>
      </c>
      <c r="AI33" s="115">
        <f t="shared" si="50"/>
        <v>0</v>
      </c>
      <c r="AJ33" s="115">
        <f t="shared" si="50"/>
        <v>0</v>
      </c>
      <c r="AK33" s="115">
        <f t="shared" si="50"/>
        <v>0</v>
      </c>
      <c r="AL33" s="115">
        <f t="shared" si="50"/>
        <v>0</v>
      </c>
      <c r="AM33" s="115">
        <f t="shared" si="50"/>
        <v>0</v>
      </c>
      <c r="AN33" s="115">
        <f t="shared" si="50"/>
        <v>0</v>
      </c>
      <c r="AO33" s="115">
        <f t="shared" si="50"/>
        <v>0</v>
      </c>
      <c r="AP33" s="310">
        <f t="shared" si="50"/>
        <v>0</v>
      </c>
      <c r="AQ33" s="169"/>
      <c r="AR33" s="115">
        <f t="shared" ref="AR33:BF33" si="51">SUM(AR22:AR32)</f>
        <v>0</v>
      </c>
      <c r="AS33" s="115">
        <f t="shared" si="51"/>
        <v>0</v>
      </c>
      <c r="AT33" s="115">
        <f t="shared" si="51"/>
        <v>0</v>
      </c>
      <c r="AU33" s="115">
        <f t="shared" si="51"/>
        <v>0</v>
      </c>
      <c r="AV33" s="115">
        <f t="shared" si="51"/>
        <v>0</v>
      </c>
      <c r="AW33" s="115">
        <f t="shared" si="51"/>
        <v>0</v>
      </c>
      <c r="AX33" s="115">
        <f t="shared" si="51"/>
        <v>0</v>
      </c>
      <c r="AY33" s="115">
        <f t="shared" si="51"/>
        <v>0</v>
      </c>
      <c r="AZ33" s="115">
        <f t="shared" si="51"/>
        <v>0</v>
      </c>
      <c r="BA33" s="115">
        <f t="shared" si="51"/>
        <v>0</v>
      </c>
      <c r="BB33" s="115">
        <f t="shared" si="51"/>
        <v>0</v>
      </c>
      <c r="BC33" s="115">
        <f t="shared" si="51"/>
        <v>0</v>
      </c>
      <c r="BD33" s="115">
        <f t="shared" si="51"/>
        <v>0</v>
      </c>
      <c r="BE33" s="115">
        <f t="shared" si="51"/>
        <v>0</v>
      </c>
      <c r="BF33" s="115">
        <f t="shared" si="51"/>
        <v>0</v>
      </c>
      <c r="BG33" s="256">
        <f t="shared" ref="BG33:BV33" si="52">SUM(BG22:BG32)</f>
        <v>1340</v>
      </c>
      <c r="BH33" s="115">
        <f t="shared" si="52"/>
        <v>0</v>
      </c>
      <c r="BI33" s="115">
        <f t="shared" si="52"/>
        <v>0</v>
      </c>
      <c r="BJ33" s="115">
        <f t="shared" si="52"/>
        <v>0</v>
      </c>
      <c r="BK33" s="115">
        <f t="shared" si="52"/>
        <v>0</v>
      </c>
      <c r="BL33" s="115">
        <f t="shared" si="52"/>
        <v>0</v>
      </c>
      <c r="BM33" s="115">
        <f t="shared" si="52"/>
        <v>0</v>
      </c>
      <c r="BN33" s="115">
        <f t="shared" si="52"/>
        <v>0</v>
      </c>
      <c r="BO33" s="115">
        <f t="shared" si="52"/>
        <v>0</v>
      </c>
      <c r="BP33" s="115">
        <f t="shared" si="52"/>
        <v>0</v>
      </c>
      <c r="BQ33" s="115">
        <f t="shared" si="52"/>
        <v>0</v>
      </c>
      <c r="BR33" s="115">
        <f t="shared" si="52"/>
        <v>0</v>
      </c>
      <c r="BS33" s="115">
        <f t="shared" si="52"/>
        <v>0</v>
      </c>
      <c r="BT33" s="115">
        <f t="shared" si="52"/>
        <v>0</v>
      </c>
      <c r="BU33" s="115">
        <f t="shared" si="52"/>
        <v>0</v>
      </c>
      <c r="BV33" s="115">
        <f t="shared" si="52"/>
        <v>0</v>
      </c>
      <c r="BW33" s="169"/>
      <c r="BX33" s="115">
        <f>SUM(BX22:BX32)</f>
        <v>0</v>
      </c>
      <c r="BY33" s="115">
        <f>SUM(BY22:BY32)</f>
        <v>0</v>
      </c>
      <c r="BZ33" s="115">
        <f>SUM(BZ22:BZ32)</f>
        <v>0</v>
      </c>
      <c r="CA33" s="115">
        <f>SUM(CA22:CA32)</f>
        <v>0</v>
      </c>
      <c r="CB33" s="115">
        <f>SUM(CB22:CB32)</f>
        <v>0</v>
      </c>
      <c r="CC33" s="115">
        <f t="shared" ref="CC33:CZ33" si="53">SUM(CC22:CC32)</f>
        <v>0</v>
      </c>
      <c r="CD33" s="115">
        <f t="shared" si="53"/>
        <v>0</v>
      </c>
      <c r="CE33" s="115">
        <f t="shared" si="53"/>
        <v>0</v>
      </c>
      <c r="CF33" s="115">
        <v>0</v>
      </c>
      <c r="CG33" s="115">
        <f t="shared" si="53"/>
        <v>0</v>
      </c>
      <c r="CH33" s="115">
        <f t="shared" si="53"/>
        <v>0</v>
      </c>
      <c r="CI33" s="115">
        <f t="shared" si="53"/>
        <v>0</v>
      </c>
      <c r="CJ33" s="115">
        <f t="shared" si="53"/>
        <v>0</v>
      </c>
      <c r="CK33" s="115">
        <f t="shared" si="53"/>
        <v>0</v>
      </c>
      <c r="CL33" s="115">
        <f t="shared" si="53"/>
        <v>0</v>
      </c>
      <c r="CM33" s="256">
        <f t="shared" si="53"/>
        <v>0</v>
      </c>
      <c r="CN33" s="115">
        <v>0</v>
      </c>
      <c r="CO33" s="115">
        <f t="shared" si="53"/>
        <v>0</v>
      </c>
      <c r="CP33" s="115">
        <f t="shared" si="53"/>
        <v>0</v>
      </c>
      <c r="CQ33" s="115">
        <f t="shared" si="53"/>
        <v>0</v>
      </c>
      <c r="CR33" s="115">
        <f t="shared" si="53"/>
        <v>1350</v>
      </c>
      <c r="CS33" s="115">
        <f t="shared" si="53"/>
        <v>0</v>
      </c>
      <c r="CT33" s="115">
        <f t="shared" si="53"/>
        <v>1850</v>
      </c>
      <c r="CU33" s="115">
        <f t="shared" si="53"/>
        <v>0</v>
      </c>
      <c r="CV33" s="115">
        <f t="shared" si="53"/>
        <v>0</v>
      </c>
      <c r="CW33" s="115">
        <f t="shared" si="53"/>
        <v>0</v>
      </c>
      <c r="CX33" s="115">
        <f t="shared" si="53"/>
        <v>0</v>
      </c>
      <c r="CY33" s="115">
        <f t="shared" si="53"/>
        <v>0</v>
      </c>
      <c r="CZ33" s="115">
        <f t="shared" si="53"/>
        <v>745</v>
      </c>
      <c r="DA33" s="310">
        <f t="shared" ref="DA33:HU33" si="54">SUM(DA22:DA32)</f>
        <v>0</v>
      </c>
      <c r="DB33" s="313">
        <f t="shared" si="54"/>
        <v>0</v>
      </c>
      <c r="DC33" s="115">
        <f t="shared" si="54"/>
        <v>0</v>
      </c>
      <c r="DD33" s="115">
        <f t="shared" si="54"/>
        <v>0</v>
      </c>
      <c r="DE33" s="115">
        <f t="shared" si="54"/>
        <v>0</v>
      </c>
      <c r="DF33" s="115">
        <f t="shared" ref="DF33:DG33" si="55">SUM(DF22:DF32)</f>
        <v>0</v>
      </c>
      <c r="DG33" s="115">
        <f t="shared" si="55"/>
        <v>0</v>
      </c>
      <c r="DH33" s="115">
        <f t="shared" ref="DH33:DJ33" si="56">SUM(DH22:DH32)</f>
        <v>0</v>
      </c>
      <c r="DI33" s="115">
        <f t="shared" si="56"/>
        <v>0</v>
      </c>
      <c r="DJ33" s="115">
        <f t="shared" si="56"/>
        <v>400</v>
      </c>
      <c r="DK33" s="115">
        <f t="shared" ref="DK33:DL33" si="57">SUM(DK22:DK32)</f>
        <v>0</v>
      </c>
      <c r="DL33" s="115">
        <f t="shared" si="57"/>
        <v>0</v>
      </c>
      <c r="DM33" s="115">
        <f t="shared" ref="DM33:DN33" si="58">SUM(DM22:DM32)</f>
        <v>0</v>
      </c>
      <c r="DN33" s="115">
        <f t="shared" si="58"/>
        <v>0</v>
      </c>
      <c r="DO33" s="115">
        <f t="shared" ref="DO33:DP33" si="59">SUM(DO22:DO32)</f>
        <v>0</v>
      </c>
      <c r="DP33" s="115">
        <f t="shared" si="59"/>
        <v>0</v>
      </c>
      <c r="DQ33" s="115">
        <f t="shared" ref="DQ33:DR33" si="60">SUM(DQ22:DQ32)</f>
        <v>0</v>
      </c>
      <c r="DR33" s="94">
        <f t="shared" si="60"/>
        <v>1211</v>
      </c>
      <c r="DS33" s="115">
        <f t="shared" ref="DS33:DT33" si="61">SUM(DS22:DS32)</f>
        <v>0</v>
      </c>
      <c r="DT33" s="115">
        <f t="shared" si="61"/>
        <v>0</v>
      </c>
      <c r="DU33" s="115">
        <f>SUM(DU22:DU32)</f>
        <v>710</v>
      </c>
      <c r="DV33" s="115">
        <f t="shared" ref="DV33:DW33" si="62">SUM(DV22:DV32)</f>
        <v>275</v>
      </c>
      <c r="DW33" s="115">
        <f t="shared" si="62"/>
        <v>0</v>
      </c>
      <c r="DX33" s="115">
        <f t="shared" ref="DX33" si="63">SUM(DX22:DX32)</f>
        <v>0</v>
      </c>
      <c r="DY33" s="115">
        <f t="shared" ref="DY33:EF33" si="64">SUM(DY22:DY32)</f>
        <v>400</v>
      </c>
      <c r="DZ33" s="94">
        <f t="shared" si="64"/>
        <v>1055</v>
      </c>
      <c r="EA33" s="115">
        <f t="shared" si="64"/>
        <v>0</v>
      </c>
      <c r="EB33" s="115">
        <f t="shared" si="64"/>
        <v>0</v>
      </c>
      <c r="EC33" s="115">
        <f t="shared" si="64"/>
        <v>0</v>
      </c>
      <c r="ED33" s="115">
        <f t="shared" si="64"/>
        <v>0</v>
      </c>
      <c r="EE33" s="115">
        <f t="shared" si="64"/>
        <v>0</v>
      </c>
      <c r="EF33" s="310">
        <f t="shared" si="64"/>
        <v>0</v>
      </c>
      <c r="EG33" s="83">
        <f t="shared" ref="EG33:EI33" si="65">SUM(EG22:EG32)</f>
        <v>40</v>
      </c>
      <c r="EH33" s="349">
        <f t="shared" si="65"/>
        <v>1600</v>
      </c>
      <c r="EI33" s="20">
        <f t="shared" si="65"/>
        <v>0</v>
      </c>
      <c r="EJ33" s="20">
        <f t="shared" ref="EJ33:EL33" si="66">SUM(EJ22:EJ32)</f>
        <v>210</v>
      </c>
      <c r="EK33" s="20">
        <f t="shared" si="66"/>
        <v>0</v>
      </c>
      <c r="EL33" s="20">
        <f t="shared" si="66"/>
        <v>0</v>
      </c>
      <c r="EM33" s="20">
        <f t="shared" ref="EM33:EN33" si="67">SUM(EM22:EM32)</f>
        <v>0</v>
      </c>
      <c r="EN33" s="20">
        <f t="shared" si="67"/>
        <v>0</v>
      </c>
      <c r="EO33" s="20">
        <f t="shared" ref="EO33:EP33" si="68">SUM(EO22:EO32)</f>
        <v>0</v>
      </c>
      <c r="EP33" s="20">
        <f t="shared" si="68"/>
        <v>0</v>
      </c>
      <c r="EQ33" s="20">
        <f t="shared" ref="EQ33:ET33" si="69">SUM(EQ22:EQ32)</f>
        <v>525</v>
      </c>
      <c r="ER33" s="20">
        <f t="shared" si="69"/>
        <v>0</v>
      </c>
      <c r="ES33" s="20">
        <f t="shared" si="69"/>
        <v>63</v>
      </c>
      <c r="ET33" s="20">
        <f t="shared" si="69"/>
        <v>0</v>
      </c>
      <c r="EU33" s="20">
        <f t="shared" ref="EU33:EV33" si="70">SUM(EU22:EU32)</f>
        <v>0</v>
      </c>
      <c r="EV33" s="20">
        <f t="shared" si="70"/>
        <v>0</v>
      </c>
      <c r="EW33" s="20">
        <f t="shared" ref="EW33:EY33" si="71">SUM(EW22:EW32)</f>
        <v>0</v>
      </c>
      <c r="EX33" s="20">
        <f t="shared" si="71"/>
        <v>0</v>
      </c>
      <c r="EY33" s="20">
        <f t="shared" si="71"/>
        <v>0</v>
      </c>
      <c r="EZ33" s="20">
        <f t="shared" ref="EZ33:FA33" si="72">SUM(EZ22:EZ32)</f>
        <v>0</v>
      </c>
      <c r="FA33" s="20">
        <f t="shared" si="72"/>
        <v>0</v>
      </c>
      <c r="FB33" s="20">
        <f t="shared" ref="FB33:FC33" si="73">SUM(FB22:FB32)</f>
        <v>0</v>
      </c>
      <c r="FC33" s="20">
        <f t="shared" si="73"/>
        <v>0</v>
      </c>
      <c r="FD33" s="20">
        <f t="shared" ref="FD33:FG33" si="74">SUM(FD22:FD32)</f>
        <v>0</v>
      </c>
      <c r="FE33" s="20">
        <f t="shared" si="74"/>
        <v>106</v>
      </c>
      <c r="FF33" s="20">
        <f t="shared" si="74"/>
        <v>0</v>
      </c>
      <c r="FG33" s="20">
        <f t="shared" si="74"/>
        <v>0</v>
      </c>
      <c r="FH33" s="20">
        <f t="shared" ref="FH33:FN33" si="75">SUM(FH22:FH32)</f>
        <v>230</v>
      </c>
      <c r="FI33" s="20">
        <f t="shared" si="75"/>
        <v>0</v>
      </c>
      <c r="FJ33" s="369">
        <f t="shared" si="75"/>
        <v>0</v>
      </c>
      <c r="FK33" s="313">
        <f t="shared" si="75"/>
        <v>0</v>
      </c>
      <c r="FL33" s="115">
        <f t="shared" si="75"/>
        <v>575</v>
      </c>
      <c r="FM33" s="20">
        <f t="shared" si="75"/>
        <v>0</v>
      </c>
      <c r="FN33" s="20">
        <f t="shared" si="75"/>
        <v>0</v>
      </c>
      <c r="FO33" s="20">
        <f t="shared" ref="FO33:FQ33" si="76">SUM(FO22:FO32)</f>
        <v>0</v>
      </c>
      <c r="FP33" s="20">
        <f t="shared" si="76"/>
        <v>0</v>
      </c>
      <c r="FQ33" s="20">
        <f t="shared" si="76"/>
        <v>0</v>
      </c>
      <c r="FR33" s="20">
        <f t="shared" ref="FR33:FS33" si="77">SUM(FR22:FR32)</f>
        <v>0</v>
      </c>
      <c r="FS33" s="20">
        <f t="shared" si="77"/>
        <v>0</v>
      </c>
      <c r="FT33" s="20">
        <f t="shared" ref="FT33:FU33" si="78">SUM(FT22:FT32)</f>
        <v>0</v>
      </c>
      <c r="FU33" s="20">
        <f t="shared" si="78"/>
        <v>0</v>
      </c>
      <c r="FV33" s="20">
        <f t="shared" ref="FV33:FW33" si="79">SUM(FV22:FV32)</f>
        <v>0</v>
      </c>
      <c r="FW33" s="20">
        <f t="shared" si="79"/>
        <v>0</v>
      </c>
      <c r="FX33" s="20">
        <f t="shared" ref="FX33:GB33" si="80">SUM(FX22:FX32)</f>
        <v>400</v>
      </c>
      <c r="FY33" s="20">
        <f t="shared" si="80"/>
        <v>280</v>
      </c>
      <c r="FZ33" s="20">
        <f t="shared" si="80"/>
        <v>300</v>
      </c>
      <c r="GA33" s="20">
        <f t="shared" si="80"/>
        <v>0</v>
      </c>
      <c r="GB33" s="20">
        <f t="shared" si="80"/>
        <v>0</v>
      </c>
      <c r="GC33" s="20">
        <f t="shared" ref="GC33:GD33" si="81">SUM(GC22:GC32)</f>
        <v>0</v>
      </c>
      <c r="GD33" s="20">
        <f t="shared" si="81"/>
        <v>150</v>
      </c>
      <c r="GE33" s="20">
        <f t="shared" ref="GE33:GF33" si="82">SUM(GE22:GE32)</f>
        <v>0</v>
      </c>
      <c r="GF33" s="20">
        <f t="shared" si="82"/>
        <v>260</v>
      </c>
      <c r="GG33" s="20">
        <f t="shared" ref="GG33:GH33" si="83">SUM(GG22:GG32)</f>
        <v>0</v>
      </c>
      <c r="GH33" s="20">
        <f t="shared" si="83"/>
        <v>0</v>
      </c>
      <c r="GI33" s="20">
        <f t="shared" ref="GI33:GJ33" si="84">SUM(GI22:GI32)</f>
        <v>250</v>
      </c>
      <c r="GJ33" s="20">
        <f t="shared" si="84"/>
        <v>0</v>
      </c>
      <c r="GK33" s="20">
        <f t="shared" ref="GK33:GL33" si="85">SUM(GK22:GK32)</f>
        <v>0</v>
      </c>
      <c r="GL33" s="20">
        <f t="shared" si="85"/>
        <v>670</v>
      </c>
      <c r="GM33" s="20">
        <f t="shared" ref="GM33:GN33" si="86">SUM(GM22:GM32)</f>
        <v>300</v>
      </c>
      <c r="GN33" s="20">
        <f t="shared" si="86"/>
        <v>0</v>
      </c>
      <c r="GO33" s="159">
        <f t="shared" ref="GO33:GP33" si="87">SUM(GO22:GO32)</f>
        <v>0</v>
      </c>
      <c r="GP33" s="313">
        <f t="shared" si="87"/>
        <v>0</v>
      </c>
      <c r="GQ33" s="115">
        <f t="shared" ref="GQ33:GW33" si="88">SUM(GQ22:GQ32)</f>
        <v>0</v>
      </c>
      <c r="GR33" s="20">
        <f t="shared" si="88"/>
        <v>0</v>
      </c>
      <c r="GS33" s="20">
        <f t="shared" si="88"/>
        <v>46</v>
      </c>
      <c r="GT33" s="20">
        <f t="shared" si="88"/>
        <v>120</v>
      </c>
      <c r="GU33" s="20">
        <f t="shared" si="88"/>
        <v>70</v>
      </c>
      <c r="GV33" s="20">
        <f t="shared" si="88"/>
        <v>0</v>
      </c>
      <c r="GW33" s="20">
        <f t="shared" si="88"/>
        <v>0</v>
      </c>
      <c r="GX33" s="20">
        <f t="shared" ref="GX33:GY33" si="89">SUM(GX22:GX32)</f>
        <v>0</v>
      </c>
      <c r="GY33" s="20">
        <f t="shared" si="89"/>
        <v>0</v>
      </c>
      <c r="GZ33" s="20">
        <f t="shared" ref="GZ33:HA33" si="90">SUM(GZ22:GZ32)</f>
        <v>0</v>
      </c>
      <c r="HA33" s="20">
        <f t="shared" si="90"/>
        <v>0</v>
      </c>
      <c r="HB33" s="20">
        <f t="shared" ref="HB33:HE33" si="91">SUM(HB22:HB32)</f>
        <v>0</v>
      </c>
      <c r="HC33" s="20">
        <f t="shared" si="91"/>
        <v>0</v>
      </c>
      <c r="HD33" s="20">
        <f t="shared" si="91"/>
        <v>243</v>
      </c>
      <c r="HE33" s="20">
        <f t="shared" si="91"/>
        <v>58</v>
      </c>
      <c r="HF33" s="20">
        <f t="shared" ref="HF33:HG33" si="92">SUM(HF22:HF32)</f>
        <v>0</v>
      </c>
      <c r="HG33" s="20">
        <f t="shared" si="92"/>
        <v>0</v>
      </c>
      <c r="HH33" s="20">
        <f t="shared" ref="HH33" si="93">SUM(HH22:HH32)</f>
        <v>0</v>
      </c>
      <c r="HI33" s="115"/>
      <c r="HJ33" s="115"/>
      <c r="HK33" s="115"/>
      <c r="HL33" s="115"/>
      <c r="HM33" s="115"/>
      <c r="HN33" s="115"/>
      <c r="HO33" s="115"/>
      <c r="HP33" s="115"/>
      <c r="HQ33" s="115"/>
      <c r="HR33" s="115"/>
      <c r="HS33" s="115"/>
      <c r="HT33" s="421"/>
      <c r="HU33" s="330">
        <f t="shared" si="54"/>
        <v>17738</v>
      </c>
    </row>
    <row r="34" spans="1:229" s="7" customFormat="1" ht="15" customHeight="1" x14ac:dyDescent="0.25">
      <c r="A34" s="32">
        <v>1</v>
      </c>
      <c r="B34" s="481" t="s">
        <v>110</v>
      </c>
      <c r="C34" s="34" t="s">
        <v>1</v>
      </c>
      <c r="D34" s="35" t="s">
        <v>20</v>
      </c>
      <c r="E34" s="36"/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119">
        <f>SUM(E34:L34)</f>
        <v>0</v>
      </c>
      <c r="N34" s="147"/>
      <c r="O34" s="71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276">
        <v>0</v>
      </c>
      <c r="AQ34" s="165">
        <v>0</v>
      </c>
      <c r="AR34" s="71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  <c r="BC34" s="37">
        <v>0</v>
      </c>
      <c r="BD34" s="37">
        <v>0</v>
      </c>
      <c r="BE34" s="37">
        <v>0</v>
      </c>
      <c r="BF34" s="37">
        <v>0</v>
      </c>
      <c r="BG34" s="37">
        <v>0</v>
      </c>
      <c r="BH34" s="37">
        <v>0</v>
      </c>
      <c r="BI34" s="37">
        <v>0</v>
      </c>
      <c r="BJ34" s="37">
        <v>0</v>
      </c>
      <c r="BK34" s="37">
        <v>0</v>
      </c>
      <c r="BL34" s="37">
        <v>0</v>
      </c>
      <c r="BM34" s="37">
        <v>0</v>
      </c>
      <c r="BN34" s="37">
        <v>0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276">
        <v>0</v>
      </c>
      <c r="BW34" s="165">
        <v>0</v>
      </c>
      <c r="BX34" s="71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37">
        <v>0</v>
      </c>
      <c r="CE34" s="37">
        <v>0</v>
      </c>
      <c r="CF34" s="37">
        <v>0</v>
      </c>
      <c r="CG34" s="37">
        <v>0</v>
      </c>
      <c r="CH34" s="37">
        <v>0</v>
      </c>
      <c r="CI34" s="37">
        <v>0</v>
      </c>
      <c r="CJ34" s="37">
        <v>0</v>
      </c>
      <c r="CK34" s="37">
        <v>0</v>
      </c>
      <c r="CL34" s="37">
        <v>0</v>
      </c>
      <c r="CM34" s="37">
        <v>0</v>
      </c>
      <c r="CN34" s="37">
        <v>0</v>
      </c>
      <c r="CO34" s="267">
        <v>0</v>
      </c>
      <c r="CP34" s="267">
        <v>0</v>
      </c>
      <c r="CQ34" s="267">
        <v>0</v>
      </c>
      <c r="CR34" s="267">
        <v>0</v>
      </c>
      <c r="CS34" s="267">
        <v>0</v>
      </c>
      <c r="CT34" s="267">
        <v>0</v>
      </c>
      <c r="CU34" s="267">
        <v>0</v>
      </c>
      <c r="CV34" s="267">
        <v>0</v>
      </c>
      <c r="CW34" s="267">
        <v>0</v>
      </c>
      <c r="CX34" s="267">
        <v>0</v>
      </c>
      <c r="CY34" s="267">
        <v>0</v>
      </c>
      <c r="CZ34" s="267">
        <v>0</v>
      </c>
      <c r="DA34" s="268">
        <v>0</v>
      </c>
      <c r="DB34" s="279">
        <v>0</v>
      </c>
      <c r="DC34" s="267">
        <v>0</v>
      </c>
      <c r="DD34" s="267">
        <v>0</v>
      </c>
      <c r="DE34" s="267">
        <v>0</v>
      </c>
      <c r="DF34" s="267">
        <v>0</v>
      </c>
      <c r="DG34" s="267">
        <v>0</v>
      </c>
      <c r="DH34" s="267">
        <v>0</v>
      </c>
      <c r="DI34" s="267">
        <v>0</v>
      </c>
      <c r="DJ34" s="267">
        <v>0</v>
      </c>
      <c r="DK34" s="267">
        <v>0</v>
      </c>
      <c r="DL34" s="267">
        <v>0</v>
      </c>
      <c r="DM34" s="267">
        <v>0</v>
      </c>
      <c r="DN34" s="267">
        <v>0</v>
      </c>
      <c r="DO34" s="267">
        <v>0</v>
      </c>
      <c r="DP34" s="267">
        <v>0</v>
      </c>
      <c r="DQ34" s="267">
        <v>0</v>
      </c>
      <c r="DR34" s="267">
        <v>0</v>
      </c>
      <c r="DS34" s="267">
        <v>0</v>
      </c>
      <c r="DT34" s="267">
        <v>0</v>
      </c>
      <c r="DU34" s="267">
        <v>0</v>
      </c>
      <c r="DV34" s="267">
        <v>0</v>
      </c>
      <c r="DW34" s="267">
        <v>0</v>
      </c>
      <c r="DX34" s="267">
        <v>0</v>
      </c>
      <c r="DY34" s="267">
        <v>0</v>
      </c>
      <c r="DZ34" s="267">
        <v>0</v>
      </c>
      <c r="EA34" s="267">
        <v>0</v>
      </c>
      <c r="EB34" s="267">
        <v>0</v>
      </c>
      <c r="EC34" s="267">
        <v>0</v>
      </c>
      <c r="ED34" s="267">
        <v>0</v>
      </c>
      <c r="EE34" s="267">
        <v>0</v>
      </c>
      <c r="EF34" s="268">
        <v>0</v>
      </c>
      <c r="EG34" s="279">
        <v>0</v>
      </c>
      <c r="EH34" s="268">
        <v>0</v>
      </c>
      <c r="EI34" s="267">
        <v>0</v>
      </c>
      <c r="EJ34" s="267">
        <v>0</v>
      </c>
      <c r="EK34" s="267">
        <v>0</v>
      </c>
      <c r="EL34" s="267">
        <v>0</v>
      </c>
      <c r="EM34" s="267">
        <v>0</v>
      </c>
      <c r="EN34" s="267">
        <v>0</v>
      </c>
      <c r="EO34" s="267">
        <v>0</v>
      </c>
      <c r="EP34" s="267">
        <v>0</v>
      </c>
      <c r="EQ34" s="267">
        <v>0</v>
      </c>
      <c r="ER34" s="267">
        <v>0</v>
      </c>
      <c r="ES34" s="267">
        <v>0</v>
      </c>
      <c r="ET34" s="267">
        <v>0</v>
      </c>
      <c r="EU34" s="267">
        <v>0</v>
      </c>
      <c r="EV34" s="267">
        <v>0</v>
      </c>
      <c r="EW34" s="267">
        <v>0</v>
      </c>
      <c r="EX34" s="267">
        <v>0</v>
      </c>
      <c r="EY34" s="267">
        <v>0</v>
      </c>
      <c r="EZ34" s="267">
        <v>0</v>
      </c>
      <c r="FA34" s="267">
        <v>0</v>
      </c>
      <c r="FB34" s="267">
        <v>0</v>
      </c>
      <c r="FC34" s="267">
        <v>0</v>
      </c>
      <c r="FD34" s="267">
        <v>0</v>
      </c>
      <c r="FE34" s="267">
        <v>0</v>
      </c>
      <c r="FF34" s="267">
        <v>0</v>
      </c>
      <c r="FG34" s="267">
        <v>0</v>
      </c>
      <c r="FH34" s="267">
        <v>0</v>
      </c>
      <c r="FI34" s="267">
        <v>0</v>
      </c>
      <c r="FJ34" s="268">
        <v>0</v>
      </c>
      <c r="FK34" s="279">
        <v>0</v>
      </c>
      <c r="FL34" s="267">
        <v>0</v>
      </c>
      <c r="FM34" s="267">
        <v>0</v>
      </c>
      <c r="FN34" s="267">
        <v>0</v>
      </c>
      <c r="FO34" s="267">
        <v>0</v>
      </c>
      <c r="FP34" s="267">
        <v>0</v>
      </c>
      <c r="FQ34" s="267">
        <v>0</v>
      </c>
      <c r="FR34" s="267">
        <v>0</v>
      </c>
      <c r="FS34" s="267">
        <v>0</v>
      </c>
      <c r="FT34" s="267">
        <v>0</v>
      </c>
      <c r="FU34" s="267">
        <v>0</v>
      </c>
      <c r="FV34" s="267">
        <v>0</v>
      </c>
      <c r="FW34" s="267">
        <v>0</v>
      </c>
      <c r="FX34" s="267">
        <v>0</v>
      </c>
      <c r="FY34" s="267">
        <v>0</v>
      </c>
      <c r="FZ34" s="267">
        <v>0</v>
      </c>
      <c r="GA34" s="267">
        <v>0</v>
      </c>
      <c r="GB34" s="267">
        <v>0</v>
      </c>
      <c r="GC34" s="267">
        <v>0</v>
      </c>
      <c r="GD34" s="267">
        <v>0</v>
      </c>
      <c r="GE34" s="267">
        <v>0</v>
      </c>
      <c r="GF34" s="267">
        <v>0</v>
      </c>
      <c r="GG34" s="267">
        <v>0</v>
      </c>
      <c r="GH34" s="267">
        <v>0</v>
      </c>
      <c r="GI34" s="267">
        <v>0</v>
      </c>
      <c r="GJ34" s="267">
        <v>0</v>
      </c>
      <c r="GK34" s="267">
        <v>0</v>
      </c>
      <c r="GL34" s="267">
        <v>0</v>
      </c>
      <c r="GM34" s="267">
        <v>0</v>
      </c>
      <c r="GN34" s="267">
        <v>0</v>
      </c>
      <c r="GO34" s="268">
        <v>0</v>
      </c>
      <c r="GP34" s="279">
        <v>0</v>
      </c>
      <c r="GQ34" s="267">
        <v>0</v>
      </c>
      <c r="GR34" s="267">
        <v>0</v>
      </c>
      <c r="GS34" s="267">
        <v>0</v>
      </c>
      <c r="GT34" s="267">
        <v>0</v>
      </c>
      <c r="GU34" s="267">
        <v>0</v>
      </c>
      <c r="GV34" s="267">
        <v>0</v>
      </c>
      <c r="GW34" s="267">
        <v>175</v>
      </c>
      <c r="GX34" s="267">
        <v>0</v>
      </c>
      <c r="GY34" s="267">
        <v>0</v>
      </c>
      <c r="GZ34" s="267">
        <v>0</v>
      </c>
      <c r="HA34" s="267">
        <v>0</v>
      </c>
      <c r="HB34" s="267">
        <v>0</v>
      </c>
      <c r="HC34" s="267">
        <v>0</v>
      </c>
      <c r="HD34" s="267">
        <v>10</v>
      </c>
      <c r="HE34" s="267">
        <v>0</v>
      </c>
      <c r="HF34" s="267">
        <v>0</v>
      </c>
      <c r="HG34" s="267">
        <v>0</v>
      </c>
      <c r="HH34" s="267">
        <v>0</v>
      </c>
      <c r="HI34" s="267"/>
      <c r="HJ34" s="267"/>
      <c r="HK34" s="267"/>
      <c r="HL34" s="267"/>
      <c r="HM34" s="267"/>
      <c r="HN34" s="267"/>
      <c r="HO34" s="267"/>
      <c r="HP34" s="267"/>
      <c r="HQ34" s="267"/>
      <c r="HR34" s="267"/>
      <c r="HS34" s="267"/>
      <c r="HT34" s="367"/>
      <c r="HU34" s="329">
        <f>SUM(AU34:HT34)</f>
        <v>185</v>
      </c>
    </row>
    <row r="35" spans="1:229" s="7" customFormat="1" ht="15" customHeight="1" x14ac:dyDescent="0.25">
      <c r="A35" s="2">
        <v>2</v>
      </c>
      <c r="B35" s="474"/>
      <c r="C35" s="3" t="s">
        <v>2</v>
      </c>
      <c r="D35" s="4" t="s">
        <v>20</v>
      </c>
      <c r="E35" s="5"/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09">
        <f t="shared" ref="M35:M44" si="94">SUM(E35:L35)</f>
        <v>0</v>
      </c>
      <c r="N35" s="139"/>
      <c r="O35" s="7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274">
        <v>0</v>
      </c>
      <c r="AQ35" s="162">
        <v>0</v>
      </c>
      <c r="AR35" s="7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274">
        <v>0</v>
      </c>
      <c r="BW35" s="162">
        <v>0</v>
      </c>
      <c r="BX35" s="7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265">
        <v>0</v>
      </c>
      <c r="CP35" s="265">
        <v>0</v>
      </c>
      <c r="CQ35" s="265">
        <v>0</v>
      </c>
      <c r="CR35" s="265">
        <v>0</v>
      </c>
      <c r="CS35" s="265">
        <v>0</v>
      </c>
      <c r="CT35" s="265">
        <v>0</v>
      </c>
      <c r="CU35" s="265">
        <v>0</v>
      </c>
      <c r="CV35" s="265">
        <v>62</v>
      </c>
      <c r="CW35" s="265">
        <v>0</v>
      </c>
      <c r="CX35" s="265">
        <v>0</v>
      </c>
      <c r="CY35" s="265">
        <v>40</v>
      </c>
      <c r="CZ35" s="265">
        <v>0</v>
      </c>
      <c r="DA35" s="269">
        <v>0</v>
      </c>
      <c r="DB35" s="278">
        <v>0</v>
      </c>
      <c r="DC35" s="265">
        <v>0</v>
      </c>
      <c r="DD35" s="265">
        <v>0</v>
      </c>
      <c r="DE35" s="265">
        <v>0</v>
      </c>
      <c r="DF35" s="265">
        <v>0</v>
      </c>
      <c r="DG35" s="265">
        <v>0</v>
      </c>
      <c r="DH35" s="265">
        <v>0</v>
      </c>
      <c r="DI35" s="265">
        <v>0</v>
      </c>
      <c r="DJ35" s="265">
        <v>0</v>
      </c>
      <c r="DK35" s="265">
        <v>0</v>
      </c>
      <c r="DL35" s="265">
        <v>0</v>
      </c>
      <c r="DM35" s="265">
        <v>0</v>
      </c>
      <c r="DN35" s="265">
        <v>0</v>
      </c>
      <c r="DO35" s="265">
        <v>0</v>
      </c>
      <c r="DP35" s="265">
        <v>0</v>
      </c>
      <c r="DQ35" s="265">
        <v>0</v>
      </c>
      <c r="DR35" s="265">
        <v>0</v>
      </c>
      <c r="DS35" s="265">
        <v>0</v>
      </c>
      <c r="DT35" s="265">
        <v>0</v>
      </c>
      <c r="DU35" s="265">
        <v>0</v>
      </c>
      <c r="DV35" s="265">
        <v>0</v>
      </c>
      <c r="DW35" s="265">
        <v>0</v>
      </c>
      <c r="DX35" s="265">
        <v>0</v>
      </c>
      <c r="DY35" s="265">
        <v>0</v>
      </c>
      <c r="DZ35" s="265">
        <v>0</v>
      </c>
      <c r="EA35" s="265">
        <v>0</v>
      </c>
      <c r="EB35" s="265">
        <v>0</v>
      </c>
      <c r="EC35" s="265">
        <v>0</v>
      </c>
      <c r="ED35" s="265">
        <v>0</v>
      </c>
      <c r="EE35" s="265">
        <v>0</v>
      </c>
      <c r="EF35" s="269">
        <v>0</v>
      </c>
      <c r="EG35" s="278">
        <v>0</v>
      </c>
      <c r="EH35" s="269">
        <v>0</v>
      </c>
      <c r="EI35" s="265">
        <v>0</v>
      </c>
      <c r="EJ35" s="265">
        <v>0</v>
      </c>
      <c r="EK35" s="265">
        <v>0</v>
      </c>
      <c r="EL35" s="265">
        <v>0</v>
      </c>
      <c r="EM35" s="265">
        <v>0</v>
      </c>
      <c r="EN35" s="265">
        <v>0</v>
      </c>
      <c r="EO35" s="265">
        <v>0</v>
      </c>
      <c r="EP35" s="265">
        <v>0</v>
      </c>
      <c r="EQ35" s="265">
        <v>0</v>
      </c>
      <c r="ER35" s="265">
        <v>0</v>
      </c>
      <c r="ES35" s="265">
        <v>0</v>
      </c>
      <c r="ET35" s="265">
        <v>0</v>
      </c>
      <c r="EU35" s="265">
        <v>0</v>
      </c>
      <c r="EV35" s="265">
        <v>0</v>
      </c>
      <c r="EW35" s="265">
        <v>0</v>
      </c>
      <c r="EX35" s="265">
        <v>0</v>
      </c>
      <c r="EY35" s="265">
        <v>0</v>
      </c>
      <c r="EZ35" s="265">
        <v>0</v>
      </c>
      <c r="FA35" s="265">
        <v>0</v>
      </c>
      <c r="FB35" s="265">
        <v>0</v>
      </c>
      <c r="FC35" s="265">
        <v>0</v>
      </c>
      <c r="FD35" s="265">
        <v>0</v>
      </c>
      <c r="FE35" s="265">
        <v>0</v>
      </c>
      <c r="FF35" s="265">
        <v>0</v>
      </c>
      <c r="FG35" s="265">
        <v>0</v>
      </c>
      <c r="FH35" s="265">
        <v>0</v>
      </c>
      <c r="FI35" s="265">
        <v>0</v>
      </c>
      <c r="FJ35" s="269">
        <v>0</v>
      </c>
      <c r="FK35" s="278">
        <v>0</v>
      </c>
      <c r="FL35" s="265">
        <v>0</v>
      </c>
      <c r="FM35" s="265">
        <v>0</v>
      </c>
      <c r="FN35" s="265">
        <v>0</v>
      </c>
      <c r="FO35" s="265">
        <v>0</v>
      </c>
      <c r="FP35" s="265">
        <v>0</v>
      </c>
      <c r="FQ35" s="265">
        <v>0</v>
      </c>
      <c r="FR35" s="265">
        <v>0</v>
      </c>
      <c r="FS35" s="265">
        <v>0</v>
      </c>
      <c r="FT35" s="265">
        <v>0</v>
      </c>
      <c r="FU35" s="265">
        <v>0</v>
      </c>
      <c r="FV35" s="265">
        <v>0</v>
      </c>
      <c r="FW35" s="265">
        <v>0</v>
      </c>
      <c r="FX35" s="265">
        <v>0</v>
      </c>
      <c r="FY35" s="265">
        <v>0</v>
      </c>
      <c r="FZ35" s="265">
        <v>0</v>
      </c>
      <c r="GA35" s="265">
        <v>0</v>
      </c>
      <c r="GB35" s="265">
        <v>0</v>
      </c>
      <c r="GC35" s="265">
        <v>0</v>
      </c>
      <c r="GD35" s="265">
        <v>0</v>
      </c>
      <c r="GE35" s="265">
        <v>0</v>
      </c>
      <c r="GF35" s="265">
        <v>0</v>
      </c>
      <c r="GG35" s="265">
        <v>0</v>
      </c>
      <c r="GH35" s="265">
        <v>0</v>
      </c>
      <c r="GI35" s="265">
        <v>0</v>
      </c>
      <c r="GJ35" s="265">
        <v>0</v>
      </c>
      <c r="GK35" s="265">
        <v>0</v>
      </c>
      <c r="GL35" s="265">
        <v>0</v>
      </c>
      <c r="GM35" s="265">
        <v>0</v>
      </c>
      <c r="GN35" s="265">
        <v>0</v>
      </c>
      <c r="GO35" s="269">
        <v>0</v>
      </c>
      <c r="GP35" s="278">
        <v>0</v>
      </c>
      <c r="GQ35" s="265">
        <v>0</v>
      </c>
      <c r="GR35" s="265">
        <v>0</v>
      </c>
      <c r="GS35" s="265">
        <v>0</v>
      </c>
      <c r="GT35" s="265">
        <v>0</v>
      </c>
      <c r="GU35" s="265">
        <v>0</v>
      </c>
      <c r="GV35" s="265">
        <v>0</v>
      </c>
      <c r="GW35" s="265">
        <v>0</v>
      </c>
      <c r="GX35" s="265">
        <v>0</v>
      </c>
      <c r="GY35" s="265">
        <v>0</v>
      </c>
      <c r="GZ35" s="265">
        <v>0</v>
      </c>
      <c r="HA35" s="265">
        <v>0</v>
      </c>
      <c r="HB35" s="265">
        <v>0</v>
      </c>
      <c r="HC35" s="265">
        <v>0</v>
      </c>
      <c r="HD35" s="265">
        <v>0</v>
      </c>
      <c r="HE35" s="265">
        <v>0</v>
      </c>
      <c r="HF35" s="265">
        <v>0</v>
      </c>
      <c r="HG35" s="265">
        <v>0</v>
      </c>
      <c r="HH35" s="265">
        <v>0</v>
      </c>
      <c r="HI35" s="265"/>
      <c r="HJ35" s="265"/>
      <c r="HK35" s="265"/>
      <c r="HL35" s="265"/>
      <c r="HM35" s="265"/>
      <c r="HN35" s="265"/>
      <c r="HO35" s="265"/>
      <c r="HP35" s="265"/>
      <c r="HQ35" s="265"/>
      <c r="HR35" s="265"/>
      <c r="HS35" s="265"/>
      <c r="HT35" s="368"/>
      <c r="HU35" s="55">
        <f>SUM(O35:HT35)</f>
        <v>102</v>
      </c>
    </row>
    <row r="36" spans="1:229" s="7" customFormat="1" ht="15" customHeight="1" x14ac:dyDescent="0.25">
      <c r="A36" s="2">
        <v>3</v>
      </c>
      <c r="B36" s="474"/>
      <c r="C36" s="3" t="s">
        <v>3</v>
      </c>
      <c r="D36" s="4" t="s">
        <v>20</v>
      </c>
      <c r="E36" s="5"/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09">
        <f t="shared" si="94"/>
        <v>0</v>
      </c>
      <c r="N36" s="139"/>
      <c r="O36" s="7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274">
        <v>0</v>
      </c>
      <c r="AQ36" s="162"/>
      <c r="AR36" s="7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274">
        <v>0</v>
      </c>
      <c r="BW36" s="162"/>
      <c r="BX36" s="7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265">
        <v>0</v>
      </c>
      <c r="CP36" s="265">
        <v>0</v>
      </c>
      <c r="CQ36" s="265">
        <v>0</v>
      </c>
      <c r="CR36" s="265">
        <v>0</v>
      </c>
      <c r="CS36" s="265">
        <v>0</v>
      </c>
      <c r="CT36" s="265">
        <v>0</v>
      </c>
      <c r="CU36" s="265">
        <v>0</v>
      </c>
      <c r="CV36" s="265">
        <v>0</v>
      </c>
      <c r="CW36" s="265">
        <v>0</v>
      </c>
      <c r="CX36" s="265">
        <v>0</v>
      </c>
      <c r="CY36" s="265">
        <v>0</v>
      </c>
      <c r="CZ36" s="265">
        <v>0</v>
      </c>
      <c r="DA36" s="269">
        <v>0</v>
      </c>
      <c r="DB36" s="278">
        <v>0</v>
      </c>
      <c r="DC36" s="265">
        <v>0</v>
      </c>
      <c r="DD36" s="265">
        <v>0</v>
      </c>
      <c r="DE36" s="265">
        <v>0</v>
      </c>
      <c r="DF36" s="265">
        <v>0</v>
      </c>
      <c r="DG36" s="265">
        <v>0</v>
      </c>
      <c r="DH36" s="265">
        <v>0</v>
      </c>
      <c r="DI36" s="265">
        <v>0</v>
      </c>
      <c r="DJ36" s="265">
        <v>0</v>
      </c>
      <c r="DK36" s="265">
        <v>0</v>
      </c>
      <c r="DL36" s="265">
        <v>0</v>
      </c>
      <c r="DM36" s="265">
        <v>0</v>
      </c>
      <c r="DN36" s="265">
        <v>0</v>
      </c>
      <c r="DO36" s="265">
        <v>0</v>
      </c>
      <c r="DP36" s="265">
        <v>0</v>
      </c>
      <c r="DQ36" s="265">
        <v>0</v>
      </c>
      <c r="DR36" s="265">
        <v>0</v>
      </c>
      <c r="DS36" s="265">
        <v>0</v>
      </c>
      <c r="DT36" s="265">
        <v>0</v>
      </c>
      <c r="DU36" s="265">
        <v>0</v>
      </c>
      <c r="DV36" s="265">
        <v>0</v>
      </c>
      <c r="DW36" s="265">
        <v>0</v>
      </c>
      <c r="DX36" s="265">
        <v>0</v>
      </c>
      <c r="DY36" s="265">
        <v>0</v>
      </c>
      <c r="DZ36" s="265">
        <v>0</v>
      </c>
      <c r="EA36" s="265">
        <v>0</v>
      </c>
      <c r="EB36" s="265">
        <v>0</v>
      </c>
      <c r="EC36" s="265">
        <v>0</v>
      </c>
      <c r="ED36" s="265">
        <v>0</v>
      </c>
      <c r="EE36" s="265">
        <v>0</v>
      </c>
      <c r="EF36" s="269">
        <v>0</v>
      </c>
      <c r="EG36" s="278">
        <v>0</v>
      </c>
      <c r="EH36" s="269">
        <v>0</v>
      </c>
      <c r="EI36" s="265">
        <v>0</v>
      </c>
      <c r="EJ36" s="265">
        <v>0</v>
      </c>
      <c r="EK36" s="265">
        <v>0</v>
      </c>
      <c r="EL36" s="265">
        <v>0</v>
      </c>
      <c r="EM36" s="265">
        <v>0</v>
      </c>
      <c r="EN36" s="265">
        <v>0</v>
      </c>
      <c r="EO36" s="265">
        <v>0</v>
      </c>
      <c r="EP36" s="265">
        <v>0</v>
      </c>
      <c r="EQ36" s="265">
        <v>0</v>
      </c>
      <c r="ER36" s="265">
        <v>0</v>
      </c>
      <c r="ES36" s="265">
        <v>0</v>
      </c>
      <c r="ET36" s="265">
        <v>0</v>
      </c>
      <c r="EU36" s="265">
        <v>0</v>
      </c>
      <c r="EV36" s="265">
        <v>0</v>
      </c>
      <c r="EW36" s="265">
        <v>0</v>
      </c>
      <c r="EX36" s="265">
        <v>0</v>
      </c>
      <c r="EY36" s="265">
        <v>0</v>
      </c>
      <c r="EZ36" s="265">
        <v>0</v>
      </c>
      <c r="FA36" s="265">
        <v>0</v>
      </c>
      <c r="FB36" s="265">
        <v>0</v>
      </c>
      <c r="FC36" s="265">
        <v>0</v>
      </c>
      <c r="FD36" s="265">
        <v>0</v>
      </c>
      <c r="FE36" s="265">
        <v>0</v>
      </c>
      <c r="FF36" s="265">
        <v>0</v>
      </c>
      <c r="FG36" s="265">
        <v>0</v>
      </c>
      <c r="FH36" s="265">
        <v>0</v>
      </c>
      <c r="FI36" s="265">
        <v>0</v>
      </c>
      <c r="FJ36" s="269">
        <v>0</v>
      </c>
      <c r="FK36" s="278">
        <v>0</v>
      </c>
      <c r="FL36" s="265">
        <v>0</v>
      </c>
      <c r="FM36" s="265">
        <v>0</v>
      </c>
      <c r="FN36" s="265">
        <v>0</v>
      </c>
      <c r="FO36" s="265">
        <v>0</v>
      </c>
      <c r="FP36" s="265">
        <v>0</v>
      </c>
      <c r="FQ36" s="265">
        <v>0</v>
      </c>
      <c r="FR36" s="265">
        <v>0</v>
      </c>
      <c r="FS36" s="265">
        <v>0</v>
      </c>
      <c r="FT36" s="265">
        <v>0</v>
      </c>
      <c r="FU36" s="265">
        <v>0</v>
      </c>
      <c r="FV36" s="265">
        <v>0</v>
      </c>
      <c r="FW36" s="265">
        <v>0</v>
      </c>
      <c r="FX36" s="265">
        <v>0</v>
      </c>
      <c r="FY36" s="265">
        <v>0</v>
      </c>
      <c r="FZ36" s="265">
        <v>0</v>
      </c>
      <c r="GA36" s="265">
        <v>0</v>
      </c>
      <c r="GB36" s="265">
        <v>0</v>
      </c>
      <c r="GC36" s="265">
        <v>0</v>
      </c>
      <c r="GD36" s="265">
        <v>0</v>
      </c>
      <c r="GE36" s="265">
        <v>0</v>
      </c>
      <c r="GF36" s="265">
        <v>0</v>
      </c>
      <c r="GG36" s="265">
        <v>0</v>
      </c>
      <c r="GH36" s="265">
        <v>0</v>
      </c>
      <c r="GI36" s="265">
        <v>0</v>
      </c>
      <c r="GJ36" s="265">
        <v>0</v>
      </c>
      <c r="GK36" s="265">
        <v>0</v>
      </c>
      <c r="GL36" s="265">
        <v>0</v>
      </c>
      <c r="GM36" s="265">
        <v>0</v>
      </c>
      <c r="GN36" s="265">
        <v>0</v>
      </c>
      <c r="GO36" s="269">
        <v>0</v>
      </c>
      <c r="GP36" s="278">
        <v>0</v>
      </c>
      <c r="GQ36" s="265">
        <v>0</v>
      </c>
      <c r="GR36" s="265">
        <v>0</v>
      </c>
      <c r="GS36" s="265">
        <v>0</v>
      </c>
      <c r="GT36" s="265">
        <v>0</v>
      </c>
      <c r="GU36" s="265">
        <v>0</v>
      </c>
      <c r="GV36" s="265">
        <v>0</v>
      </c>
      <c r="GW36" s="265">
        <v>0</v>
      </c>
      <c r="GX36" s="265">
        <v>0</v>
      </c>
      <c r="GY36" s="265">
        <v>0</v>
      </c>
      <c r="GZ36" s="265">
        <v>0</v>
      </c>
      <c r="HA36" s="265">
        <v>0</v>
      </c>
      <c r="HB36" s="265">
        <v>0</v>
      </c>
      <c r="HC36" s="265">
        <v>0</v>
      </c>
      <c r="HD36" s="265">
        <v>0</v>
      </c>
      <c r="HE36" s="265">
        <v>0</v>
      </c>
      <c r="HF36" s="265">
        <v>0</v>
      </c>
      <c r="HG36" s="265">
        <v>0</v>
      </c>
      <c r="HH36" s="265">
        <v>0</v>
      </c>
      <c r="HI36" s="265"/>
      <c r="HJ36" s="265"/>
      <c r="HK36" s="265"/>
      <c r="HL36" s="265"/>
      <c r="HM36" s="265"/>
      <c r="HN36" s="265"/>
      <c r="HO36" s="265"/>
      <c r="HP36" s="265"/>
      <c r="HQ36" s="265"/>
      <c r="HR36" s="265"/>
      <c r="HS36" s="265"/>
      <c r="HT36" s="368"/>
      <c r="HU36" s="55">
        <f t="shared" ref="HU36:HU44" si="95">SUM(O36:HT36)</f>
        <v>0</v>
      </c>
    </row>
    <row r="37" spans="1:229" s="7" customFormat="1" ht="15" customHeight="1" x14ac:dyDescent="0.25">
      <c r="A37" s="2">
        <v>4</v>
      </c>
      <c r="B37" s="474"/>
      <c r="C37" s="3" t="s">
        <v>4</v>
      </c>
      <c r="D37" s="4" t="s">
        <v>20</v>
      </c>
      <c r="E37" s="5"/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09">
        <f t="shared" si="94"/>
        <v>0</v>
      </c>
      <c r="N37" s="139"/>
      <c r="O37" s="7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274">
        <v>0</v>
      </c>
      <c r="AQ37" s="162"/>
      <c r="AR37" s="7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274">
        <v>0</v>
      </c>
      <c r="BW37" s="162"/>
      <c r="BX37" s="7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265">
        <v>0</v>
      </c>
      <c r="CP37" s="265">
        <v>0</v>
      </c>
      <c r="CQ37" s="265">
        <v>0</v>
      </c>
      <c r="CR37" s="265">
        <v>0</v>
      </c>
      <c r="CS37" s="265">
        <v>0</v>
      </c>
      <c r="CT37" s="265">
        <v>0</v>
      </c>
      <c r="CU37" s="265">
        <v>0</v>
      </c>
      <c r="CV37" s="265">
        <v>0</v>
      </c>
      <c r="CW37" s="265">
        <v>0</v>
      </c>
      <c r="CX37" s="265">
        <v>0</v>
      </c>
      <c r="CY37" s="265">
        <v>0</v>
      </c>
      <c r="CZ37" s="265">
        <v>0</v>
      </c>
      <c r="DA37" s="269">
        <v>0</v>
      </c>
      <c r="DB37" s="278">
        <v>0</v>
      </c>
      <c r="DC37" s="265">
        <v>0</v>
      </c>
      <c r="DD37" s="265">
        <v>0</v>
      </c>
      <c r="DE37" s="265">
        <v>0</v>
      </c>
      <c r="DF37" s="265">
        <v>0</v>
      </c>
      <c r="DG37" s="265">
        <v>0</v>
      </c>
      <c r="DH37" s="265">
        <v>0</v>
      </c>
      <c r="DI37" s="265">
        <v>0</v>
      </c>
      <c r="DJ37" s="265">
        <v>0</v>
      </c>
      <c r="DK37" s="265">
        <v>0</v>
      </c>
      <c r="DL37" s="265">
        <v>0</v>
      </c>
      <c r="DM37" s="265">
        <v>0</v>
      </c>
      <c r="DN37" s="265">
        <v>0</v>
      </c>
      <c r="DO37" s="265">
        <v>0</v>
      </c>
      <c r="DP37" s="265">
        <v>0</v>
      </c>
      <c r="DQ37" s="265">
        <v>0</v>
      </c>
      <c r="DR37" s="265">
        <v>0</v>
      </c>
      <c r="DS37" s="265">
        <v>0</v>
      </c>
      <c r="DT37" s="265">
        <v>0</v>
      </c>
      <c r="DU37" s="265">
        <v>0</v>
      </c>
      <c r="DV37" s="265">
        <v>0</v>
      </c>
      <c r="DW37" s="265">
        <v>0</v>
      </c>
      <c r="DX37" s="265">
        <v>0</v>
      </c>
      <c r="DY37" s="265">
        <v>0</v>
      </c>
      <c r="DZ37" s="265">
        <v>0</v>
      </c>
      <c r="EA37" s="265">
        <v>0</v>
      </c>
      <c r="EB37" s="265">
        <v>0</v>
      </c>
      <c r="EC37" s="265">
        <v>0</v>
      </c>
      <c r="ED37" s="265">
        <v>0</v>
      </c>
      <c r="EE37" s="265">
        <v>0</v>
      </c>
      <c r="EF37" s="269">
        <v>0</v>
      </c>
      <c r="EG37" s="278">
        <v>0</v>
      </c>
      <c r="EH37" s="269">
        <v>0</v>
      </c>
      <c r="EI37" s="265">
        <v>0</v>
      </c>
      <c r="EJ37" s="265">
        <v>0</v>
      </c>
      <c r="EK37" s="265">
        <v>0</v>
      </c>
      <c r="EL37" s="265">
        <v>0</v>
      </c>
      <c r="EM37" s="265">
        <v>0</v>
      </c>
      <c r="EN37" s="265">
        <v>0</v>
      </c>
      <c r="EO37" s="265">
        <v>0</v>
      </c>
      <c r="EP37" s="265">
        <v>0</v>
      </c>
      <c r="EQ37" s="265">
        <v>0</v>
      </c>
      <c r="ER37" s="265">
        <v>0</v>
      </c>
      <c r="ES37" s="265">
        <v>0</v>
      </c>
      <c r="ET37" s="265">
        <v>0</v>
      </c>
      <c r="EU37" s="265">
        <v>0</v>
      </c>
      <c r="EV37" s="265">
        <v>0</v>
      </c>
      <c r="EW37" s="265">
        <v>0</v>
      </c>
      <c r="EX37" s="265">
        <v>0</v>
      </c>
      <c r="EY37" s="265">
        <v>0</v>
      </c>
      <c r="EZ37" s="265">
        <v>0</v>
      </c>
      <c r="FA37" s="265">
        <v>0</v>
      </c>
      <c r="FB37" s="265">
        <v>0</v>
      </c>
      <c r="FC37" s="265">
        <v>0</v>
      </c>
      <c r="FD37" s="265">
        <v>0</v>
      </c>
      <c r="FE37" s="265">
        <v>0</v>
      </c>
      <c r="FF37" s="265">
        <v>0</v>
      </c>
      <c r="FG37" s="265">
        <v>0</v>
      </c>
      <c r="FH37" s="265">
        <v>0</v>
      </c>
      <c r="FI37" s="265">
        <v>0</v>
      </c>
      <c r="FJ37" s="269">
        <v>0</v>
      </c>
      <c r="FK37" s="278">
        <v>0</v>
      </c>
      <c r="FL37" s="265">
        <v>0</v>
      </c>
      <c r="FM37" s="265">
        <v>0</v>
      </c>
      <c r="FN37" s="265">
        <v>0</v>
      </c>
      <c r="FO37" s="265">
        <v>395</v>
      </c>
      <c r="FP37" s="265">
        <v>0</v>
      </c>
      <c r="FQ37" s="265">
        <v>0</v>
      </c>
      <c r="FR37" s="265">
        <v>0</v>
      </c>
      <c r="FS37" s="265">
        <v>0</v>
      </c>
      <c r="FT37" s="265">
        <v>0</v>
      </c>
      <c r="FU37" s="265">
        <v>0</v>
      </c>
      <c r="FV37" s="265">
        <v>0</v>
      </c>
      <c r="FW37" s="265">
        <v>0</v>
      </c>
      <c r="FX37" s="265">
        <v>0</v>
      </c>
      <c r="FY37" s="265">
        <v>0</v>
      </c>
      <c r="FZ37" s="265">
        <v>0</v>
      </c>
      <c r="GA37" s="265">
        <v>0</v>
      </c>
      <c r="GB37" s="265">
        <v>0</v>
      </c>
      <c r="GC37" s="265">
        <v>0</v>
      </c>
      <c r="GD37" s="265">
        <v>0</v>
      </c>
      <c r="GE37" s="265">
        <v>0</v>
      </c>
      <c r="GF37" s="265">
        <v>0</v>
      </c>
      <c r="GG37" s="265">
        <v>0</v>
      </c>
      <c r="GH37" s="265">
        <v>0</v>
      </c>
      <c r="GI37" s="265">
        <v>0</v>
      </c>
      <c r="GJ37" s="265">
        <v>0</v>
      </c>
      <c r="GK37" s="265">
        <v>0</v>
      </c>
      <c r="GL37" s="265">
        <v>0</v>
      </c>
      <c r="GM37" s="265">
        <v>0</v>
      </c>
      <c r="GN37" s="265">
        <v>0</v>
      </c>
      <c r="GO37" s="269">
        <v>0</v>
      </c>
      <c r="GP37" s="278">
        <v>0</v>
      </c>
      <c r="GQ37" s="265">
        <v>0</v>
      </c>
      <c r="GR37" s="265">
        <v>0</v>
      </c>
      <c r="GS37" s="265">
        <v>0</v>
      </c>
      <c r="GT37" s="265">
        <v>0</v>
      </c>
      <c r="GU37" s="265">
        <v>0</v>
      </c>
      <c r="GV37" s="265">
        <v>0</v>
      </c>
      <c r="GW37" s="265">
        <v>0</v>
      </c>
      <c r="GX37" s="265">
        <v>0</v>
      </c>
      <c r="GY37" s="265">
        <v>0</v>
      </c>
      <c r="GZ37" s="265">
        <v>0</v>
      </c>
      <c r="HA37" s="265">
        <v>0</v>
      </c>
      <c r="HB37" s="265">
        <v>0</v>
      </c>
      <c r="HC37" s="265">
        <v>0</v>
      </c>
      <c r="HD37" s="265">
        <v>0</v>
      </c>
      <c r="HE37" s="265">
        <v>0</v>
      </c>
      <c r="HF37" s="265">
        <v>0</v>
      </c>
      <c r="HG37" s="265">
        <v>0</v>
      </c>
      <c r="HH37" s="265">
        <v>0</v>
      </c>
      <c r="HI37" s="265"/>
      <c r="HJ37" s="265"/>
      <c r="HK37" s="265"/>
      <c r="HL37" s="265"/>
      <c r="HM37" s="265"/>
      <c r="HN37" s="265"/>
      <c r="HO37" s="265"/>
      <c r="HP37" s="265"/>
      <c r="HQ37" s="265"/>
      <c r="HR37" s="265"/>
      <c r="HS37" s="265"/>
      <c r="HT37" s="368"/>
      <c r="HU37" s="55">
        <f t="shared" si="95"/>
        <v>395</v>
      </c>
    </row>
    <row r="38" spans="1:229" s="7" customFormat="1" ht="15" customHeight="1" x14ac:dyDescent="0.25">
      <c r="A38" s="2">
        <v>5</v>
      </c>
      <c r="B38" s="474"/>
      <c r="C38" s="3" t="s">
        <v>5</v>
      </c>
      <c r="D38" s="4" t="s">
        <v>20</v>
      </c>
      <c r="E38" s="5"/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09">
        <f t="shared" si="94"/>
        <v>0</v>
      </c>
      <c r="N38" s="139"/>
      <c r="O38" s="7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274">
        <v>0</v>
      </c>
      <c r="AQ38" s="162"/>
      <c r="AR38" s="7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274">
        <v>0</v>
      </c>
      <c r="BW38" s="162"/>
      <c r="BX38" s="7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265">
        <v>0</v>
      </c>
      <c r="CP38" s="265">
        <v>0</v>
      </c>
      <c r="CQ38" s="265">
        <v>0</v>
      </c>
      <c r="CR38" s="265">
        <v>0</v>
      </c>
      <c r="CS38" s="265">
        <v>0</v>
      </c>
      <c r="CT38" s="265">
        <v>0</v>
      </c>
      <c r="CU38" s="265">
        <v>0</v>
      </c>
      <c r="CV38" s="265">
        <v>0</v>
      </c>
      <c r="CW38" s="265">
        <v>0</v>
      </c>
      <c r="CX38" s="265">
        <v>0</v>
      </c>
      <c r="CY38" s="265">
        <v>0</v>
      </c>
      <c r="CZ38" s="265">
        <v>0</v>
      </c>
      <c r="DA38" s="269">
        <v>0</v>
      </c>
      <c r="DB38" s="278">
        <v>0</v>
      </c>
      <c r="DC38" s="265">
        <v>0</v>
      </c>
      <c r="DD38" s="265">
        <v>0</v>
      </c>
      <c r="DE38" s="265">
        <v>0</v>
      </c>
      <c r="DF38" s="265">
        <v>0</v>
      </c>
      <c r="DG38" s="265">
        <v>0</v>
      </c>
      <c r="DH38" s="265">
        <v>0</v>
      </c>
      <c r="DI38" s="265">
        <v>0</v>
      </c>
      <c r="DJ38" s="265">
        <v>0</v>
      </c>
      <c r="DK38" s="265">
        <v>0</v>
      </c>
      <c r="DL38" s="265">
        <v>0</v>
      </c>
      <c r="DM38" s="265">
        <v>0</v>
      </c>
      <c r="DN38" s="265">
        <v>0</v>
      </c>
      <c r="DO38" s="265">
        <v>0</v>
      </c>
      <c r="DP38" s="265">
        <v>0</v>
      </c>
      <c r="DQ38" s="265">
        <v>0</v>
      </c>
      <c r="DR38" s="265">
        <v>0</v>
      </c>
      <c r="DS38" s="265">
        <v>0</v>
      </c>
      <c r="DT38" s="265">
        <v>0</v>
      </c>
      <c r="DU38" s="265">
        <v>0</v>
      </c>
      <c r="DV38" s="265">
        <v>0</v>
      </c>
      <c r="DW38" s="265">
        <v>0</v>
      </c>
      <c r="DX38" s="265">
        <v>0</v>
      </c>
      <c r="DY38" s="265">
        <v>0</v>
      </c>
      <c r="DZ38" s="265">
        <v>0</v>
      </c>
      <c r="EA38" s="265">
        <v>0</v>
      </c>
      <c r="EB38" s="265">
        <v>0</v>
      </c>
      <c r="EC38" s="265">
        <v>0</v>
      </c>
      <c r="ED38" s="265">
        <v>0</v>
      </c>
      <c r="EE38" s="265">
        <v>0</v>
      </c>
      <c r="EF38" s="269">
        <v>0</v>
      </c>
      <c r="EG38" s="278">
        <v>0</v>
      </c>
      <c r="EH38" s="269">
        <v>0</v>
      </c>
      <c r="EI38" s="265">
        <v>0</v>
      </c>
      <c r="EJ38" s="265">
        <v>0</v>
      </c>
      <c r="EK38" s="265">
        <v>0</v>
      </c>
      <c r="EL38" s="265">
        <v>0</v>
      </c>
      <c r="EM38" s="265">
        <v>0</v>
      </c>
      <c r="EN38" s="265">
        <v>0</v>
      </c>
      <c r="EO38" s="265">
        <v>0</v>
      </c>
      <c r="EP38" s="265">
        <v>0</v>
      </c>
      <c r="EQ38" s="265">
        <v>0</v>
      </c>
      <c r="ER38" s="265">
        <v>0</v>
      </c>
      <c r="ES38" s="265">
        <v>0</v>
      </c>
      <c r="ET38" s="265">
        <v>0</v>
      </c>
      <c r="EU38" s="265">
        <v>0</v>
      </c>
      <c r="EV38" s="265">
        <v>0</v>
      </c>
      <c r="EW38" s="265">
        <v>0</v>
      </c>
      <c r="EX38" s="265">
        <v>0</v>
      </c>
      <c r="EY38" s="265">
        <v>0</v>
      </c>
      <c r="EZ38" s="265">
        <v>0</v>
      </c>
      <c r="FA38" s="265">
        <v>0</v>
      </c>
      <c r="FB38" s="265">
        <v>0</v>
      </c>
      <c r="FC38" s="265">
        <v>0</v>
      </c>
      <c r="FD38" s="265">
        <v>0</v>
      </c>
      <c r="FE38" s="265">
        <v>0</v>
      </c>
      <c r="FF38" s="265">
        <v>0</v>
      </c>
      <c r="FG38" s="265">
        <v>0</v>
      </c>
      <c r="FH38" s="265">
        <v>0</v>
      </c>
      <c r="FI38" s="265">
        <v>0</v>
      </c>
      <c r="FJ38" s="269">
        <v>0</v>
      </c>
      <c r="FK38" s="278">
        <v>0</v>
      </c>
      <c r="FL38" s="265">
        <v>0</v>
      </c>
      <c r="FM38" s="265">
        <v>0</v>
      </c>
      <c r="FN38" s="265">
        <v>0</v>
      </c>
      <c r="FO38" s="265">
        <v>0</v>
      </c>
      <c r="FP38" s="265">
        <v>0</v>
      </c>
      <c r="FQ38" s="265">
        <v>0</v>
      </c>
      <c r="FR38" s="265">
        <v>0</v>
      </c>
      <c r="FS38" s="265">
        <v>0</v>
      </c>
      <c r="FT38" s="265">
        <v>0</v>
      </c>
      <c r="FU38" s="265">
        <v>0</v>
      </c>
      <c r="FV38" s="265">
        <v>0</v>
      </c>
      <c r="FW38" s="265">
        <v>0</v>
      </c>
      <c r="FX38" s="265">
        <v>0</v>
      </c>
      <c r="FY38" s="265">
        <v>0</v>
      </c>
      <c r="FZ38" s="265">
        <v>1112</v>
      </c>
      <c r="GA38" s="265">
        <v>0</v>
      </c>
      <c r="GB38" s="265">
        <v>0</v>
      </c>
      <c r="GC38" s="265">
        <v>0</v>
      </c>
      <c r="GD38" s="265">
        <v>0</v>
      </c>
      <c r="GE38" s="265">
        <v>0</v>
      </c>
      <c r="GF38" s="265">
        <v>0</v>
      </c>
      <c r="GG38" s="265">
        <v>0</v>
      </c>
      <c r="GH38" s="265">
        <v>0</v>
      </c>
      <c r="GI38" s="265">
        <v>0</v>
      </c>
      <c r="GJ38" s="265">
        <v>0</v>
      </c>
      <c r="GK38" s="265">
        <v>0</v>
      </c>
      <c r="GL38" s="265">
        <v>0</v>
      </c>
      <c r="GM38" s="265">
        <v>0</v>
      </c>
      <c r="GN38" s="265">
        <v>0</v>
      </c>
      <c r="GO38" s="269">
        <v>0</v>
      </c>
      <c r="GP38" s="278">
        <v>0</v>
      </c>
      <c r="GQ38" s="265">
        <v>0</v>
      </c>
      <c r="GR38" s="265">
        <v>0</v>
      </c>
      <c r="GS38" s="265">
        <v>0</v>
      </c>
      <c r="GT38" s="265">
        <v>0</v>
      </c>
      <c r="GU38" s="265">
        <v>0</v>
      </c>
      <c r="GV38" s="265">
        <v>0</v>
      </c>
      <c r="GW38" s="265">
        <v>15</v>
      </c>
      <c r="GX38" s="265">
        <v>0</v>
      </c>
      <c r="GY38" s="265">
        <v>0</v>
      </c>
      <c r="GZ38" s="265">
        <v>0</v>
      </c>
      <c r="HA38" s="265">
        <v>0</v>
      </c>
      <c r="HB38" s="265">
        <v>0</v>
      </c>
      <c r="HC38" s="265">
        <v>0</v>
      </c>
      <c r="HD38" s="265">
        <v>0</v>
      </c>
      <c r="HE38" s="265">
        <v>0</v>
      </c>
      <c r="HF38" s="265">
        <v>0</v>
      </c>
      <c r="HG38" s="265">
        <v>0</v>
      </c>
      <c r="HH38" s="265">
        <v>0</v>
      </c>
      <c r="HI38" s="265"/>
      <c r="HJ38" s="265"/>
      <c r="HK38" s="265"/>
      <c r="HL38" s="265"/>
      <c r="HM38" s="265"/>
      <c r="HN38" s="265"/>
      <c r="HO38" s="265"/>
      <c r="HP38" s="265"/>
      <c r="HQ38" s="265"/>
      <c r="HR38" s="265"/>
      <c r="HS38" s="265"/>
      <c r="HT38" s="368"/>
      <c r="HU38" s="55">
        <f t="shared" si="95"/>
        <v>1127</v>
      </c>
    </row>
    <row r="39" spans="1:229" s="7" customFormat="1" ht="15" customHeight="1" x14ac:dyDescent="0.25">
      <c r="A39" s="2">
        <v>6</v>
      </c>
      <c r="B39" s="474"/>
      <c r="C39" s="3" t="s">
        <v>6</v>
      </c>
      <c r="D39" s="4" t="s">
        <v>20</v>
      </c>
      <c r="E39" s="5"/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09">
        <f t="shared" si="94"/>
        <v>0</v>
      </c>
      <c r="N39" s="139"/>
      <c r="O39" s="7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274">
        <v>0</v>
      </c>
      <c r="AQ39" s="162"/>
      <c r="AR39" s="7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274">
        <v>0</v>
      </c>
      <c r="BW39" s="162"/>
      <c r="BX39" s="7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265">
        <v>0</v>
      </c>
      <c r="CP39" s="265">
        <v>0</v>
      </c>
      <c r="CQ39" s="265">
        <v>0</v>
      </c>
      <c r="CR39" s="265">
        <v>0</v>
      </c>
      <c r="CS39" s="265">
        <v>0</v>
      </c>
      <c r="CT39" s="265">
        <v>0</v>
      </c>
      <c r="CU39" s="265">
        <v>0</v>
      </c>
      <c r="CV39" s="265">
        <v>0</v>
      </c>
      <c r="CW39" s="265">
        <v>0</v>
      </c>
      <c r="CX39" s="265">
        <v>0</v>
      </c>
      <c r="CY39" s="265">
        <v>0</v>
      </c>
      <c r="CZ39" s="265">
        <v>0</v>
      </c>
      <c r="DA39" s="269">
        <v>0</v>
      </c>
      <c r="DB39" s="278">
        <v>0</v>
      </c>
      <c r="DC39" s="265">
        <v>0</v>
      </c>
      <c r="DD39" s="265">
        <v>0</v>
      </c>
      <c r="DE39" s="265">
        <v>0</v>
      </c>
      <c r="DF39" s="265">
        <v>0</v>
      </c>
      <c r="DG39" s="265">
        <v>0</v>
      </c>
      <c r="DH39" s="265">
        <v>0</v>
      </c>
      <c r="DI39" s="265">
        <v>0</v>
      </c>
      <c r="DJ39" s="265">
        <v>0</v>
      </c>
      <c r="DK39" s="265">
        <v>0</v>
      </c>
      <c r="DL39" s="265">
        <v>0</v>
      </c>
      <c r="DM39" s="265">
        <v>0</v>
      </c>
      <c r="DN39" s="265">
        <v>0</v>
      </c>
      <c r="DO39" s="265">
        <v>0</v>
      </c>
      <c r="DP39" s="265">
        <v>0</v>
      </c>
      <c r="DQ39" s="265">
        <v>0</v>
      </c>
      <c r="DR39" s="265">
        <v>0</v>
      </c>
      <c r="DS39" s="265">
        <v>0</v>
      </c>
      <c r="DT39" s="265">
        <v>0</v>
      </c>
      <c r="DU39" s="265">
        <v>0</v>
      </c>
      <c r="DV39" s="265">
        <v>0</v>
      </c>
      <c r="DW39" s="265">
        <v>0</v>
      </c>
      <c r="DX39" s="265">
        <v>0</v>
      </c>
      <c r="DY39" s="265">
        <v>0</v>
      </c>
      <c r="DZ39" s="265">
        <v>0</v>
      </c>
      <c r="EA39" s="265">
        <v>0</v>
      </c>
      <c r="EB39" s="265">
        <v>0</v>
      </c>
      <c r="EC39" s="265">
        <v>0</v>
      </c>
      <c r="ED39" s="265">
        <v>0</v>
      </c>
      <c r="EE39" s="265">
        <v>0</v>
      </c>
      <c r="EF39" s="269">
        <v>0</v>
      </c>
      <c r="EG39" s="278">
        <v>0</v>
      </c>
      <c r="EH39" s="269">
        <v>0</v>
      </c>
      <c r="EI39" s="265">
        <v>0</v>
      </c>
      <c r="EJ39" s="265">
        <v>0</v>
      </c>
      <c r="EK39" s="265">
        <v>0</v>
      </c>
      <c r="EL39" s="265">
        <v>0</v>
      </c>
      <c r="EM39" s="265">
        <v>0</v>
      </c>
      <c r="EN39" s="265">
        <v>0</v>
      </c>
      <c r="EO39" s="265">
        <v>0</v>
      </c>
      <c r="EP39" s="265">
        <v>0</v>
      </c>
      <c r="EQ39" s="265">
        <v>460</v>
      </c>
      <c r="ER39" s="265">
        <v>0</v>
      </c>
      <c r="ES39" s="265">
        <v>0</v>
      </c>
      <c r="ET39" s="265">
        <v>0</v>
      </c>
      <c r="EU39" s="265">
        <v>0</v>
      </c>
      <c r="EV39" s="265">
        <v>0</v>
      </c>
      <c r="EW39" s="265">
        <v>0</v>
      </c>
      <c r="EX39" s="265">
        <v>0</v>
      </c>
      <c r="EY39" s="265">
        <v>0</v>
      </c>
      <c r="EZ39" s="265">
        <v>0</v>
      </c>
      <c r="FA39" s="265">
        <v>0</v>
      </c>
      <c r="FB39" s="265">
        <v>0</v>
      </c>
      <c r="FC39" s="265">
        <v>0</v>
      </c>
      <c r="FD39" s="265">
        <v>0</v>
      </c>
      <c r="FE39" s="265">
        <v>0</v>
      </c>
      <c r="FF39" s="265">
        <v>0</v>
      </c>
      <c r="FG39" s="265">
        <v>0</v>
      </c>
      <c r="FH39" s="265">
        <v>0</v>
      </c>
      <c r="FI39" s="265">
        <v>0</v>
      </c>
      <c r="FJ39" s="269">
        <v>0</v>
      </c>
      <c r="FK39" s="278">
        <v>0</v>
      </c>
      <c r="FL39" s="265">
        <v>0</v>
      </c>
      <c r="FM39" s="265">
        <v>0</v>
      </c>
      <c r="FN39" s="265">
        <v>0</v>
      </c>
      <c r="FO39" s="265">
        <v>0</v>
      </c>
      <c r="FP39" s="265">
        <v>0</v>
      </c>
      <c r="FQ39" s="265">
        <v>0</v>
      </c>
      <c r="FR39" s="265">
        <v>0</v>
      </c>
      <c r="FS39" s="265">
        <v>0</v>
      </c>
      <c r="FT39" s="265">
        <v>0</v>
      </c>
      <c r="FU39" s="265">
        <v>0</v>
      </c>
      <c r="FV39" s="265">
        <v>0</v>
      </c>
      <c r="FW39" s="265">
        <v>0</v>
      </c>
      <c r="FX39" s="265">
        <v>0</v>
      </c>
      <c r="FY39" s="265">
        <v>0</v>
      </c>
      <c r="FZ39" s="265">
        <v>0</v>
      </c>
      <c r="GA39" s="265">
        <v>0</v>
      </c>
      <c r="GB39" s="265">
        <v>0</v>
      </c>
      <c r="GC39" s="265">
        <v>0</v>
      </c>
      <c r="GD39" s="265">
        <v>0</v>
      </c>
      <c r="GE39" s="265">
        <v>0</v>
      </c>
      <c r="GF39" s="265">
        <v>6</v>
      </c>
      <c r="GG39" s="265">
        <v>0</v>
      </c>
      <c r="GH39" s="265">
        <v>0</v>
      </c>
      <c r="GI39" s="265">
        <v>0</v>
      </c>
      <c r="GJ39" s="265">
        <v>0</v>
      </c>
      <c r="GK39" s="265">
        <v>0</v>
      </c>
      <c r="GL39" s="265">
        <v>0</v>
      </c>
      <c r="GM39" s="265">
        <v>0</v>
      </c>
      <c r="GN39" s="265">
        <v>0</v>
      </c>
      <c r="GO39" s="269">
        <v>0</v>
      </c>
      <c r="GP39" s="278">
        <v>0</v>
      </c>
      <c r="GQ39" s="265">
        <v>0</v>
      </c>
      <c r="GR39" s="265">
        <v>0</v>
      </c>
      <c r="GS39" s="265">
        <v>110</v>
      </c>
      <c r="GT39" s="265">
        <v>0</v>
      </c>
      <c r="GU39" s="265">
        <v>0</v>
      </c>
      <c r="GV39" s="265">
        <v>0</v>
      </c>
      <c r="GW39" s="265">
        <v>20</v>
      </c>
      <c r="GX39" s="265">
        <v>0</v>
      </c>
      <c r="GY39" s="265">
        <v>0</v>
      </c>
      <c r="GZ39" s="265">
        <v>0</v>
      </c>
      <c r="HA39" s="265">
        <v>0</v>
      </c>
      <c r="HB39" s="265">
        <v>0</v>
      </c>
      <c r="HC39" s="265">
        <v>0</v>
      </c>
      <c r="HD39" s="265">
        <v>0</v>
      </c>
      <c r="HE39" s="265">
        <v>0</v>
      </c>
      <c r="HF39" s="265">
        <v>0</v>
      </c>
      <c r="HG39" s="265">
        <v>0</v>
      </c>
      <c r="HH39" s="265">
        <v>0</v>
      </c>
      <c r="HI39" s="265"/>
      <c r="HJ39" s="265"/>
      <c r="HK39" s="265"/>
      <c r="HL39" s="265"/>
      <c r="HM39" s="265"/>
      <c r="HN39" s="265"/>
      <c r="HO39" s="265"/>
      <c r="HP39" s="265"/>
      <c r="HQ39" s="265"/>
      <c r="HR39" s="265"/>
      <c r="HS39" s="265"/>
      <c r="HT39" s="368"/>
      <c r="HU39" s="55">
        <f t="shared" si="95"/>
        <v>596</v>
      </c>
    </row>
    <row r="40" spans="1:229" s="7" customFormat="1" ht="15" customHeight="1" x14ac:dyDescent="0.25">
      <c r="A40" s="2">
        <v>7</v>
      </c>
      <c r="B40" s="474"/>
      <c r="C40" s="3" t="s">
        <v>7</v>
      </c>
      <c r="D40" s="4" t="s">
        <v>20</v>
      </c>
      <c r="E40" s="5"/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09">
        <f t="shared" si="94"/>
        <v>0</v>
      </c>
      <c r="N40" s="139"/>
      <c r="O40" s="7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274">
        <v>0</v>
      </c>
      <c r="AQ40" s="162"/>
      <c r="AR40" s="7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274">
        <v>0</v>
      </c>
      <c r="BW40" s="162"/>
      <c r="BX40" s="7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265">
        <v>0</v>
      </c>
      <c r="CP40" s="265">
        <v>0</v>
      </c>
      <c r="CQ40" s="265">
        <v>0</v>
      </c>
      <c r="CR40" s="265">
        <v>0</v>
      </c>
      <c r="CS40" s="265">
        <v>0</v>
      </c>
      <c r="CT40" s="265">
        <v>0</v>
      </c>
      <c r="CU40" s="265">
        <v>0</v>
      </c>
      <c r="CV40" s="265">
        <v>0</v>
      </c>
      <c r="CW40" s="265">
        <v>0</v>
      </c>
      <c r="CX40" s="265">
        <v>0</v>
      </c>
      <c r="CY40" s="265">
        <v>0</v>
      </c>
      <c r="CZ40" s="265">
        <v>0</v>
      </c>
      <c r="DA40" s="269">
        <v>0</v>
      </c>
      <c r="DB40" s="278">
        <v>0</v>
      </c>
      <c r="DC40" s="265">
        <v>0</v>
      </c>
      <c r="DD40" s="265">
        <v>0</v>
      </c>
      <c r="DE40" s="265">
        <v>0</v>
      </c>
      <c r="DF40" s="265">
        <v>0</v>
      </c>
      <c r="DG40" s="265">
        <v>0</v>
      </c>
      <c r="DH40" s="265">
        <v>0</v>
      </c>
      <c r="DI40" s="265">
        <v>0</v>
      </c>
      <c r="DJ40" s="265">
        <v>0</v>
      </c>
      <c r="DK40" s="265">
        <v>0</v>
      </c>
      <c r="DL40" s="265">
        <v>0</v>
      </c>
      <c r="DM40" s="265">
        <v>0</v>
      </c>
      <c r="DN40" s="265">
        <v>0</v>
      </c>
      <c r="DO40" s="265">
        <v>0</v>
      </c>
      <c r="DP40" s="265">
        <v>0</v>
      </c>
      <c r="DQ40" s="265">
        <v>0</v>
      </c>
      <c r="DR40" s="265">
        <v>0</v>
      </c>
      <c r="DS40" s="265">
        <v>0</v>
      </c>
      <c r="DT40" s="265">
        <v>0</v>
      </c>
      <c r="DU40" s="265">
        <v>0</v>
      </c>
      <c r="DV40" s="265">
        <v>0</v>
      </c>
      <c r="DW40" s="265">
        <v>0</v>
      </c>
      <c r="DX40" s="265">
        <v>0</v>
      </c>
      <c r="DY40" s="265">
        <v>0</v>
      </c>
      <c r="DZ40" s="265">
        <v>0</v>
      </c>
      <c r="EA40" s="265">
        <v>0</v>
      </c>
      <c r="EB40" s="265">
        <v>0</v>
      </c>
      <c r="EC40" s="265">
        <v>0</v>
      </c>
      <c r="ED40" s="265">
        <v>0</v>
      </c>
      <c r="EE40" s="265">
        <v>0</v>
      </c>
      <c r="EF40" s="269">
        <v>0</v>
      </c>
      <c r="EG40" s="278">
        <v>0</v>
      </c>
      <c r="EH40" s="269">
        <v>0</v>
      </c>
      <c r="EI40" s="265">
        <v>0</v>
      </c>
      <c r="EJ40" s="265">
        <v>0</v>
      </c>
      <c r="EK40" s="265">
        <v>0</v>
      </c>
      <c r="EL40" s="265">
        <v>0</v>
      </c>
      <c r="EM40" s="265">
        <v>0</v>
      </c>
      <c r="EN40" s="265">
        <v>0</v>
      </c>
      <c r="EO40" s="265">
        <v>0</v>
      </c>
      <c r="EP40" s="265">
        <v>0</v>
      </c>
      <c r="EQ40" s="265">
        <v>0</v>
      </c>
      <c r="ER40" s="265">
        <v>0</v>
      </c>
      <c r="ES40" s="265">
        <v>0</v>
      </c>
      <c r="ET40" s="265">
        <v>0</v>
      </c>
      <c r="EU40" s="265">
        <v>0</v>
      </c>
      <c r="EV40" s="265">
        <v>0</v>
      </c>
      <c r="EW40" s="265">
        <v>0</v>
      </c>
      <c r="EX40" s="265">
        <v>0</v>
      </c>
      <c r="EY40" s="265">
        <v>0</v>
      </c>
      <c r="EZ40" s="265">
        <v>0</v>
      </c>
      <c r="FA40" s="265">
        <v>470</v>
      </c>
      <c r="FB40" s="265">
        <v>0</v>
      </c>
      <c r="FC40" s="265">
        <v>0</v>
      </c>
      <c r="FD40" s="265">
        <v>0</v>
      </c>
      <c r="FE40" s="265">
        <v>0</v>
      </c>
      <c r="FF40" s="265">
        <v>0</v>
      </c>
      <c r="FG40" s="265">
        <v>0</v>
      </c>
      <c r="FH40" s="265">
        <v>0</v>
      </c>
      <c r="FI40" s="265">
        <v>0</v>
      </c>
      <c r="FJ40" s="269">
        <v>0</v>
      </c>
      <c r="FK40" s="278">
        <v>0</v>
      </c>
      <c r="FL40" s="265">
        <v>0</v>
      </c>
      <c r="FM40" s="265">
        <v>0</v>
      </c>
      <c r="FN40" s="265">
        <v>0</v>
      </c>
      <c r="FO40" s="265">
        <v>0</v>
      </c>
      <c r="FP40" s="265">
        <v>0</v>
      </c>
      <c r="FQ40" s="265">
        <v>0</v>
      </c>
      <c r="FR40" s="265">
        <v>0</v>
      </c>
      <c r="FS40" s="265">
        <v>0</v>
      </c>
      <c r="FT40" s="265">
        <v>0</v>
      </c>
      <c r="FU40" s="265">
        <v>0</v>
      </c>
      <c r="FV40" s="265">
        <v>0</v>
      </c>
      <c r="FW40" s="265">
        <v>0</v>
      </c>
      <c r="FX40" s="265">
        <v>0</v>
      </c>
      <c r="FY40" s="265">
        <v>0</v>
      </c>
      <c r="FZ40" s="265">
        <v>0</v>
      </c>
      <c r="GA40" s="265">
        <v>0</v>
      </c>
      <c r="GB40" s="265">
        <v>0</v>
      </c>
      <c r="GC40" s="265">
        <v>0</v>
      </c>
      <c r="GD40" s="265">
        <v>0</v>
      </c>
      <c r="GE40" s="265">
        <v>0</v>
      </c>
      <c r="GF40" s="265">
        <v>0</v>
      </c>
      <c r="GG40" s="265">
        <v>0</v>
      </c>
      <c r="GH40" s="265">
        <v>0</v>
      </c>
      <c r="GI40" s="265">
        <v>0</v>
      </c>
      <c r="GJ40" s="265">
        <v>0</v>
      </c>
      <c r="GK40" s="265">
        <v>0</v>
      </c>
      <c r="GL40" s="265">
        <v>0</v>
      </c>
      <c r="GM40" s="265">
        <v>0</v>
      </c>
      <c r="GN40" s="265">
        <v>0</v>
      </c>
      <c r="GO40" s="269">
        <v>0</v>
      </c>
      <c r="GP40" s="278">
        <v>0</v>
      </c>
      <c r="GQ40" s="265">
        <v>35</v>
      </c>
      <c r="GR40" s="265">
        <v>0</v>
      </c>
      <c r="GS40" s="265">
        <v>30</v>
      </c>
      <c r="GT40" s="265">
        <v>0</v>
      </c>
      <c r="GU40" s="265">
        <v>0</v>
      </c>
      <c r="GV40" s="265">
        <v>0</v>
      </c>
      <c r="GW40" s="265">
        <v>0</v>
      </c>
      <c r="GX40" s="265">
        <v>0</v>
      </c>
      <c r="GY40" s="265">
        <v>0</v>
      </c>
      <c r="GZ40" s="265">
        <v>0</v>
      </c>
      <c r="HA40" s="265">
        <v>0</v>
      </c>
      <c r="HB40" s="265">
        <v>0</v>
      </c>
      <c r="HC40" s="265">
        <v>0</v>
      </c>
      <c r="HD40" s="265">
        <v>0</v>
      </c>
      <c r="HE40" s="265">
        <v>0</v>
      </c>
      <c r="HF40" s="265">
        <v>0</v>
      </c>
      <c r="HG40" s="265">
        <v>0</v>
      </c>
      <c r="HH40" s="265">
        <v>0</v>
      </c>
      <c r="HI40" s="265"/>
      <c r="HJ40" s="265"/>
      <c r="HK40" s="265"/>
      <c r="HL40" s="265"/>
      <c r="HM40" s="265"/>
      <c r="HN40" s="265"/>
      <c r="HO40" s="265"/>
      <c r="HP40" s="265"/>
      <c r="HQ40" s="265"/>
      <c r="HR40" s="265"/>
      <c r="HS40" s="265"/>
      <c r="HT40" s="368"/>
      <c r="HU40" s="55">
        <f t="shared" si="95"/>
        <v>535</v>
      </c>
    </row>
    <row r="41" spans="1:229" s="7" customFormat="1" ht="15" customHeight="1" x14ac:dyDescent="0.25">
      <c r="A41" s="2">
        <v>8</v>
      </c>
      <c r="B41" s="474"/>
      <c r="C41" s="3" t="s">
        <v>8</v>
      </c>
      <c r="D41" s="4" t="s">
        <v>20</v>
      </c>
      <c r="E41" s="5"/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09">
        <f t="shared" si="94"/>
        <v>0</v>
      </c>
      <c r="N41" s="139"/>
      <c r="O41" s="7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274">
        <v>0</v>
      </c>
      <c r="AQ41" s="162"/>
      <c r="AR41" s="7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274">
        <v>0</v>
      </c>
      <c r="BW41" s="162"/>
      <c r="BX41" s="7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265">
        <v>0</v>
      </c>
      <c r="CP41" s="265">
        <v>0</v>
      </c>
      <c r="CQ41" s="265">
        <v>0</v>
      </c>
      <c r="CR41" s="265">
        <v>0</v>
      </c>
      <c r="CS41" s="265">
        <v>0</v>
      </c>
      <c r="CT41" s="265">
        <v>0</v>
      </c>
      <c r="CU41" s="265">
        <v>0</v>
      </c>
      <c r="CV41" s="265">
        <v>0</v>
      </c>
      <c r="CW41" s="265">
        <v>0</v>
      </c>
      <c r="CX41" s="265">
        <v>0</v>
      </c>
      <c r="CY41" s="265">
        <v>0</v>
      </c>
      <c r="CZ41" s="265">
        <v>0</v>
      </c>
      <c r="DA41" s="269">
        <v>0</v>
      </c>
      <c r="DB41" s="278">
        <v>0</v>
      </c>
      <c r="DC41" s="265">
        <v>0</v>
      </c>
      <c r="DD41" s="265">
        <v>0</v>
      </c>
      <c r="DE41" s="265">
        <v>0</v>
      </c>
      <c r="DF41" s="265">
        <v>0</v>
      </c>
      <c r="DG41" s="265">
        <v>0</v>
      </c>
      <c r="DH41" s="265">
        <v>0</v>
      </c>
      <c r="DI41" s="265">
        <v>0</v>
      </c>
      <c r="DJ41" s="265">
        <v>0</v>
      </c>
      <c r="DK41" s="265">
        <v>0</v>
      </c>
      <c r="DL41" s="265">
        <v>0</v>
      </c>
      <c r="DM41" s="265">
        <v>0</v>
      </c>
      <c r="DN41" s="265">
        <v>0</v>
      </c>
      <c r="DO41" s="265">
        <v>0</v>
      </c>
      <c r="DP41" s="265">
        <v>0</v>
      </c>
      <c r="DQ41" s="265">
        <v>0</v>
      </c>
      <c r="DR41" s="265">
        <v>0</v>
      </c>
      <c r="DS41" s="265">
        <v>0</v>
      </c>
      <c r="DT41" s="265">
        <v>0</v>
      </c>
      <c r="DU41" s="265">
        <v>0</v>
      </c>
      <c r="DV41" s="265">
        <v>0</v>
      </c>
      <c r="DW41" s="265">
        <v>0</v>
      </c>
      <c r="DX41" s="265">
        <v>0</v>
      </c>
      <c r="DY41" s="265">
        <v>0</v>
      </c>
      <c r="DZ41" s="265">
        <v>0</v>
      </c>
      <c r="EA41" s="265">
        <v>0</v>
      </c>
      <c r="EB41" s="265">
        <v>0</v>
      </c>
      <c r="EC41" s="265">
        <v>0</v>
      </c>
      <c r="ED41" s="265">
        <v>0</v>
      </c>
      <c r="EE41" s="265">
        <v>0</v>
      </c>
      <c r="EF41" s="269">
        <v>0</v>
      </c>
      <c r="EG41" s="278">
        <v>0</v>
      </c>
      <c r="EH41" s="269">
        <v>0</v>
      </c>
      <c r="EI41" s="265">
        <v>0</v>
      </c>
      <c r="EJ41" s="265">
        <v>0</v>
      </c>
      <c r="EK41" s="265">
        <v>0</v>
      </c>
      <c r="EL41" s="265">
        <v>0</v>
      </c>
      <c r="EM41" s="265">
        <v>0</v>
      </c>
      <c r="EN41" s="265">
        <v>0</v>
      </c>
      <c r="EO41" s="265">
        <v>0</v>
      </c>
      <c r="EP41" s="265">
        <v>0</v>
      </c>
      <c r="EQ41" s="265">
        <v>0</v>
      </c>
      <c r="ER41" s="265">
        <v>0</v>
      </c>
      <c r="ES41" s="265">
        <v>0</v>
      </c>
      <c r="ET41" s="265">
        <v>0</v>
      </c>
      <c r="EU41" s="265">
        <v>0</v>
      </c>
      <c r="EV41" s="265">
        <v>0</v>
      </c>
      <c r="EW41" s="265">
        <v>0</v>
      </c>
      <c r="EX41" s="265">
        <v>0</v>
      </c>
      <c r="EY41" s="265">
        <v>0</v>
      </c>
      <c r="EZ41" s="265">
        <v>0</v>
      </c>
      <c r="FA41" s="265">
        <v>0</v>
      </c>
      <c r="FB41" s="265">
        <v>0</v>
      </c>
      <c r="FC41" s="265">
        <v>0</v>
      </c>
      <c r="FD41" s="265">
        <v>0</v>
      </c>
      <c r="FE41" s="265">
        <v>0</v>
      </c>
      <c r="FF41" s="265">
        <v>0</v>
      </c>
      <c r="FG41" s="265">
        <v>0</v>
      </c>
      <c r="FH41" s="265">
        <v>0</v>
      </c>
      <c r="FI41" s="265">
        <v>0</v>
      </c>
      <c r="FJ41" s="269">
        <v>0</v>
      </c>
      <c r="FK41" s="278">
        <v>0</v>
      </c>
      <c r="FL41" s="265">
        <v>0</v>
      </c>
      <c r="FM41" s="265">
        <v>0</v>
      </c>
      <c r="FN41" s="265">
        <v>0</v>
      </c>
      <c r="FO41" s="265">
        <v>0</v>
      </c>
      <c r="FP41" s="265">
        <v>0</v>
      </c>
      <c r="FQ41" s="265">
        <v>0</v>
      </c>
      <c r="FR41" s="265">
        <v>0</v>
      </c>
      <c r="FS41" s="265">
        <v>0</v>
      </c>
      <c r="FT41" s="265">
        <v>0</v>
      </c>
      <c r="FU41" s="265">
        <v>0</v>
      </c>
      <c r="FV41" s="265">
        <v>0</v>
      </c>
      <c r="FW41" s="265">
        <v>0</v>
      </c>
      <c r="FX41" s="265">
        <v>0</v>
      </c>
      <c r="FY41" s="265">
        <v>0</v>
      </c>
      <c r="FZ41" s="265">
        <v>0</v>
      </c>
      <c r="GA41" s="265">
        <v>0</v>
      </c>
      <c r="GB41" s="265">
        <v>0</v>
      </c>
      <c r="GC41" s="265">
        <v>0</v>
      </c>
      <c r="GD41" s="265">
        <v>0</v>
      </c>
      <c r="GE41" s="265">
        <v>0</v>
      </c>
      <c r="GF41" s="265">
        <v>0</v>
      </c>
      <c r="GG41" s="265">
        <v>0</v>
      </c>
      <c r="GH41" s="265">
        <v>0</v>
      </c>
      <c r="GI41" s="265">
        <v>0</v>
      </c>
      <c r="GJ41" s="265">
        <v>0</v>
      </c>
      <c r="GK41" s="265">
        <v>0</v>
      </c>
      <c r="GL41" s="265">
        <v>0</v>
      </c>
      <c r="GM41" s="265">
        <v>0</v>
      </c>
      <c r="GN41" s="265">
        <v>0</v>
      </c>
      <c r="GO41" s="269">
        <v>0</v>
      </c>
      <c r="GP41" s="278">
        <v>0</v>
      </c>
      <c r="GQ41" s="265">
        <v>0</v>
      </c>
      <c r="GR41" s="265">
        <v>0</v>
      </c>
      <c r="GS41" s="265">
        <v>0</v>
      </c>
      <c r="GT41" s="265">
        <v>0</v>
      </c>
      <c r="GU41" s="265">
        <v>0</v>
      </c>
      <c r="GV41" s="265">
        <v>0</v>
      </c>
      <c r="GW41" s="265">
        <v>0</v>
      </c>
      <c r="GX41" s="265">
        <v>0</v>
      </c>
      <c r="GY41" s="265">
        <v>0</v>
      </c>
      <c r="GZ41" s="265">
        <v>0</v>
      </c>
      <c r="HA41" s="265">
        <v>0</v>
      </c>
      <c r="HB41" s="265">
        <v>0</v>
      </c>
      <c r="HC41" s="265">
        <v>0</v>
      </c>
      <c r="HD41" s="265">
        <v>0</v>
      </c>
      <c r="HE41" s="265">
        <v>0</v>
      </c>
      <c r="HF41" s="265">
        <v>0</v>
      </c>
      <c r="HG41" s="265">
        <v>0</v>
      </c>
      <c r="HH41" s="265">
        <v>0</v>
      </c>
      <c r="HI41" s="265"/>
      <c r="HJ41" s="265"/>
      <c r="HK41" s="265"/>
      <c r="HL41" s="265"/>
      <c r="HM41" s="265"/>
      <c r="HN41" s="265"/>
      <c r="HO41" s="265"/>
      <c r="HP41" s="265"/>
      <c r="HQ41" s="265"/>
      <c r="HR41" s="265"/>
      <c r="HS41" s="265"/>
      <c r="HT41" s="368"/>
      <c r="HU41" s="55">
        <f t="shared" si="95"/>
        <v>0</v>
      </c>
    </row>
    <row r="42" spans="1:229" s="7" customFormat="1" ht="15" customHeight="1" x14ac:dyDescent="0.25">
      <c r="A42" s="2">
        <v>9</v>
      </c>
      <c r="B42" s="474"/>
      <c r="C42" s="3" t="s">
        <v>9</v>
      </c>
      <c r="D42" s="4" t="s">
        <v>20</v>
      </c>
      <c r="E42" s="5"/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09">
        <f t="shared" si="94"/>
        <v>0</v>
      </c>
      <c r="N42" s="139"/>
      <c r="O42" s="7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274">
        <v>0</v>
      </c>
      <c r="AQ42" s="162"/>
      <c r="AR42" s="7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274">
        <v>0</v>
      </c>
      <c r="BW42" s="162"/>
      <c r="BX42" s="7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265">
        <v>0</v>
      </c>
      <c r="CP42" s="265">
        <v>0</v>
      </c>
      <c r="CQ42" s="265">
        <v>0</v>
      </c>
      <c r="CR42" s="265">
        <v>0</v>
      </c>
      <c r="CS42" s="265">
        <v>0</v>
      </c>
      <c r="CT42" s="265">
        <v>0</v>
      </c>
      <c r="CU42" s="265">
        <v>0</v>
      </c>
      <c r="CV42" s="265">
        <v>0</v>
      </c>
      <c r="CW42" s="265">
        <v>0</v>
      </c>
      <c r="CX42" s="265">
        <v>0</v>
      </c>
      <c r="CY42" s="265">
        <v>0</v>
      </c>
      <c r="CZ42" s="265">
        <v>0</v>
      </c>
      <c r="DA42" s="269">
        <v>0</v>
      </c>
      <c r="DB42" s="278">
        <v>0</v>
      </c>
      <c r="DC42" s="265">
        <v>0</v>
      </c>
      <c r="DD42" s="265">
        <v>0</v>
      </c>
      <c r="DE42" s="265">
        <v>0</v>
      </c>
      <c r="DF42" s="265">
        <v>0</v>
      </c>
      <c r="DG42" s="265">
        <v>0</v>
      </c>
      <c r="DH42" s="265">
        <v>0</v>
      </c>
      <c r="DI42" s="265">
        <v>0</v>
      </c>
      <c r="DJ42" s="265">
        <v>0</v>
      </c>
      <c r="DK42" s="265">
        <v>0</v>
      </c>
      <c r="DL42" s="265">
        <v>0</v>
      </c>
      <c r="DM42" s="265">
        <v>0</v>
      </c>
      <c r="DN42" s="265">
        <v>0</v>
      </c>
      <c r="DO42" s="265">
        <v>0</v>
      </c>
      <c r="DP42" s="265">
        <v>0</v>
      </c>
      <c r="DQ42" s="265">
        <v>0</v>
      </c>
      <c r="DR42" s="265">
        <v>0</v>
      </c>
      <c r="DS42" s="265">
        <v>0</v>
      </c>
      <c r="DT42" s="265">
        <v>0</v>
      </c>
      <c r="DU42" s="265">
        <v>0</v>
      </c>
      <c r="DV42" s="265">
        <v>0</v>
      </c>
      <c r="DW42" s="265">
        <v>0</v>
      </c>
      <c r="DX42" s="265">
        <v>0</v>
      </c>
      <c r="DY42" s="265">
        <v>0</v>
      </c>
      <c r="DZ42" s="265">
        <v>0</v>
      </c>
      <c r="EA42" s="265">
        <v>0</v>
      </c>
      <c r="EB42" s="265">
        <v>0</v>
      </c>
      <c r="EC42" s="265">
        <v>0</v>
      </c>
      <c r="ED42" s="265">
        <v>0</v>
      </c>
      <c r="EE42" s="265">
        <v>0</v>
      </c>
      <c r="EF42" s="269">
        <v>0</v>
      </c>
      <c r="EG42" s="278">
        <v>0</v>
      </c>
      <c r="EH42" s="269">
        <v>0</v>
      </c>
      <c r="EI42" s="265">
        <v>0</v>
      </c>
      <c r="EJ42" s="265">
        <v>0</v>
      </c>
      <c r="EK42" s="265">
        <v>0</v>
      </c>
      <c r="EL42" s="265">
        <v>0</v>
      </c>
      <c r="EM42" s="265">
        <v>0</v>
      </c>
      <c r="EN42" s="265">
        <v>0</v>
      </c>
      <c r="EO42" s="265">
        <v>0</v>
      </c>
      <c r="EP42" s="265">
        <v>0</v>
      </c>
      <c r="EQ42" s="265">
        <v>0</v>
      </c>
      <c r="ER42" s="265">
        <v>0</v>
      </c>
      <c r="ES42" s="265">
        <v>0</v>
      </c>
      <c r="ET42" s="265">
        <v>0</v>
      </c>
      <c r="EU42" s="265">
        <v>0</v>
      </c>
      <c r="EV42" s="265">
        <v>0</v>
      </c>
      <c r="EW42" s="265">
        <v>0</v>
      </c>
      <c r="EX42" s="265">
        <v>0</v>
      </c>
      <c r="EY42" s="265">
        <v>0</v>
      </c>
      <c r="EZ42" s="265">
        <v>0</v>
      </c>
      <c r="FA42" s="265">
        <v>0</v>
      </c>
      <c r="FB42" s="265">
        <v>0</v>
      </c>
      <c r="FC42" s="265">
        <v>0</v>
      </c>
      <c r="FD42" s="265">
        <v>0</v>
      </c>
      <c r="FE42" s="265">
        <v>0</v>
      </c>
      <c r="FF42" s="265">
        <v>0</v>
      </c>
      <c r="FG42" s="265">
        <v>0</v>
      </c>
      <c r="FH42" s="265">
        <v>0</v>
      </c>
      <c r="FI42" s="265">
        <v>0</v>
      </c>
      <c r="FJ42" s="269">
        <v>0</v>
      </c>
      <c r="FK42" s="278">
        <v>0</v>
      </c>
      <c r="FL42" s="265">
        <v>0</v>
      </c>
      <c r="FM42" s="265">
        <v>0</v>
      </c>
      <c r="FN42" s="265">
        <v>0</v>
      </c>
      <c r="FO42" s="265">
        <v>0</v>
      </c>
      <c r="FP42" s="265">
        <v>0</v>
      </c>
      <c r="FQ42" s="265">
        <v>0</v>
      </c>
      <c r="FR42" s="265">
        <v>0</v>
      </c>
      <c r="FS42" s="265">
        <v>0</v>
      </c>
      <c r="FT42" s="265">
        <v>0</v>
      </c>
      <c r="FU42" s="265">
        <v>0</v>
      </c>
      <c r="FV42" s="265">
        <v>0</v>
      </c>
      <c r="FW42" s="265">
        <v>0</v>
      </c>
      <c r="FX42" s="265">
        <v>0</v>
      </c>
      <c r="FY42" s="265">
        <v>0</v>
      </c>
      <c r="FZ42" s="265">
        <v>0</v>
      </c>
      <c r="GA42" s="265">
        <v>0</v>
      </c>
      <c r="GB42" s="265">
        <v>0</v>
      </c>
      <c r="GC42" s="265">
        <v>0</v>
      </c>
      <c r="GD42" s="265">
        <v>0</v>
      </c>
      <c r="GE42" s="265">
        <v>0</v>
      </c>
      <c r="GF42" s="265">
        <v>0</v>
      </c>
      <c r="GG42" s="265">
        <v>0</v>
      </c>
      <c r="GH42" s="265">
        <v>0</v>
      </c>
      <c r="GI42" s="265">
        <v>0</v>
      </c>
      <c r="GJ42" s="265">
        <v>0</v>
      </c>
      <c r="GK42" s="265">
        <v>0</v>
      </c>
      <c r="GL42" s="265">
        <v>0</v>
      </c>
      <c r="GM42" s="265">
        <v>0</v>
      </c>
      <c r="GN42" s="265">
        <v>0</v>
      </c>
      <c r="GO42" s="269">
        <v>0</v>
      </c>
      <c r="GP42" s="278">
        <v>0</v>
      </c>
      <c r="GQ42" s="265">
        <v>0</v>
      </c>
      <c r="GR42" s="265">
        <v>0</v>
      </c>
      <c r="GS42" s="265">
        <v>0</v>
      </c>
      <c r="GT42" s="265">
        <v>0</v>
      </c>
      <c r="GU42" s="265">
        <v>0</v>
      </c>
      <c r="GV42" s="265">
        <v>0</v>
      </c>
      <c r="GW42" s="265">
        <v>0</v>
      </c>
      <c r="GX42" s="265">
        <v>0</v>
      </c>
      <c r="GY42" s="265">
        <v>0</v>
      </c>
      <c r="GZ42" s="265">
        <v>0</v>
      </c>
      <c r="HA42" s="265">
        <v>0</v>
      </c>
      <c r="HB42" s="265">
        <v>0</v>
      </c>
      <c r="HC42" s="265">
        <v>0</v>
      </c>
      <c r="HD42" s="265">
        <v>0</v>
      </c>
      <c r="HE42" s="265">
        <v>0</v>
      </c>
      <c r="HF42" s="265">
        <v>0</v>
      </c>
      <c r="HG42" s="265">
        <v>0</v>
      </c>
      <c r="HH42" s="265">
        <v>0</v>
      </c>
      <c r="HI42" s="265"/>
      <c r="HJ42" s="265"/>
      <c r="HK42" s="265"/>
      <c r="HL42" s="265"/>
      <c r="HM42" s="265"/>
      <c r="HN42" s="265"/>
      <c r="HO42" s="265"/>
      <c r="HP42" s="265"/>
      <c r="HQ42" s="265"/>
      <c r="HR42" s="265"/>
      <c r="HS42" s="265"/>
      <c r="HT42" s="368"/>
      <c r="HU42" s="55">
        <f t="shared" si="95"/>
        <v>0</v>
      </c>
    </row>
    <row r="43" spans="1:229" s="7" customFormat="1" ht="15" customHeight="1" x14ac:dyDescent="0.25">
      <c r="A43" s="2">
        <v>10</v>
      </c>
      <c r="B43" s="474"/>
      <c r="C43" s="3" t="s">
        <v>10</v>
      </c>
      <c r="D43" s="4" t="s">
        <v>20</v>
      </c>
      <c r="E43" s="5"/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09">
        <f t="shared" si="94"/>
        <v>0</v>
      </c>
      <c r="N43" s="139"/>
      <c r="O43" s="7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274">
        <v>0</v>
      </c>
      <c r="AQ43" s="162"/>
      <c r="AR43" s="7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274">
        <v>0</v>
      </c>
      <c r="BW43" s="162"/>
      <c r="BX43" s="7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265">
        <v>0</v>
      </c>
      <c r="CP43" s="265">
        <v>0</v>
      </c>
      <c r="CQ43" s="265">
        <v>0</v>
      </c>
      <c r="CR43" s="265">
        <v>0</v>
      </c>
      <c r="CS43" s="265">
        <v>0</v>
      </c>
      <c r="CT43" s="265">
        <v>0</v>
      </c>
      <c r="CU43" s="265">
        <v>0</v>
      </c>
      <c r="CV43" s="265">
        <v>0</v>
      </c>
      <c r="CW43" s="265">
        <v>0</v>
      </c>
      <c r="CX43" s="265">
        <v>0</v>
      </c>
      <c r="CY43" s="265">
        <v>0</v>
      </c>
      <c r="CZ43" s="265">
        <v>0</v>
      </c>
      <c r="DA43" s="269">
        <v>0</v>
      </c>
      <c r="DB43" s="278">
        <v>0</v>
      </c>
      <c r="DC43" s="265">
        <v>0</v>
      </c>
      <c r="DD43" s="265">
        <v>0</v>
      </c>
      <c r="DE43" s="265">
        <v>0</v>
      </c>
      <c r="DF43" s="265">
        <v>0</v>
      </c>
      <c r="DG43" s="265">
        <v>0</v>
      </c>
      <c r="DH43" s="265">
        <v>0</v>
      </c>
      <c r="DI43" s="265">
        <v>0</v>
      </c>
      <c r="DJ43" s="265">
        <v>0</v>
      </c>
      <c r="DK43" s="265">
        <v>0</v>
      </c>
      <c r="DL43" s="265">
        <v>0</v>
      </c>
      <c r="DM43" s="265">
        <v>0</v>
      </c>
      <c r="DN43" s="265">
        <v>0</v>
      </c>
      <c r="DO43" s="265">
        <v>0</v>
      </c>
      <c r="DP43" s="265">
        <v>0</v>
      </c>
      <c r="DQ43" s="265">
        <v>0</v>
      </c>
      <c r="DR43" s="265">
        <v>0</v>
      </c>
      <c r="DS43" s="265">
        <v>0</v>
      </c>
      <c r="DT43" s="265">
        <v>0</v>
      </c>
      <c r="DU43" s="265">
        <v>0</v>
      </c>
      <c r="DV43" s="265">
        <v>0</v>
      </c>
      <c r="DW43" s="265">
        <v>0</v>
      </c>
      <c r="DX43" s="265">
        <v>0</v>
      </c>
      <c r="DY43" s="265">
        <v>0</v>
      </c>
      <c r="DZ43" s="265">
        <v>0</v>
      </c>
      <c r="EA43" s="265">
        <v>0</v>
      </c>
      <c r="EB43" s="265">
        <v>0</v>
      </c>
      <c r="EC43" s="265">
        <v>0</v>
      </c>
      <c r="ED43" s="265">
        <v>0</v>
      </c>
      <c r="EE43" s="265">
        <v>0</v>
      </c>
      <c r="EF43" s="269">
        <v>0</v>
      </c>
      <c r="EG43" s="278">
        <v>0</v>
      </c>
      <c r="EH43" s="269">
        <v>0</v>
      </c>
      <c r="EI43" s="265">
        <v>0</v>
      </c>
      <c r="EJ43" s="265">
        <v>0</v>
      </c>
      <c r="EK43" s="265">
        <v>0</v>
      </c>
      <c r="EL43" s="265">
        <v>0</v>
      </c>
      <c r="EM43" s="265">
        <v>0</v>
      </c>
      <c r="EN43" s="265">
        <v>0</v>
      </c>
      <c r="EO43" s="265">
        <v>0</v>
      </c>
      <c r="EP43" s="265">
        <v>0</v>
      </c>
      <c r="EQ43" s="265">
        <v>0</v>
      </c>
      <c r="ER43" s="265">
        <v>0</v>
      </c>
      <c r="ES43" s="265">
        <v>0</v>
      </c>
      <c r="ET43" s="265">
        <v>0</v>
      </c>
      <c r="EU43" s="265">
        <v>0</v>
      </c>
      <c r="EV43" s="265">
        <v>0</v>
      </c>
      <c r="EW43" s="265">
        <v>0</v>
      </c>
      <c r="EX43" s="265">
        <v>0</v>
      </c>
      <c r="EY43" s="265">
        <v>0</v>
      </c>
      <c r="EZ43" s="265">
        <v>0</v>
      </c>
      <c r="FA43" s="265">
        <v>0</v>
      </c>
      <c r="FB43" s="265">
        <v>0</v>
      </c>
      <c r="FC43" s="265">
        <v>0</v>
      </c>
      <c r="FD43" s="265">
        <v>0</v>
      </c>
      <c r="FE43" s="265">
        <v>0</v>
      </c>
      <c r="FF43" s="265">
        <v>0</v>
      </c>
      <c r="FG43" s="265">
        <v>0</v>
      </c>
      <c r="FH43" s="265">
        <v>0</v>
      </c>
      <c r="FI43" s="265">
        <v>0</v>
      </c>
      <c r="FJ43" s="269">
        <v>0</v>
      </c>
      <c r="FK43" s="278">
        <v>0</v>
      </c>
      <c r="FL43" s="265">
        <v>0</v>
      </c>
      <c r="FM43" s="265">
        <v>0</v>
      </c>
      <c r="FN43" s="265">
        <v>0</v>
      </c>
      <c r="FO43" s="265">
        <v>0</v>
      </c>
      <c r="FP43" s="265">
        <v>0</v>
      </c>
      <c r="FQ43" s="265">
        <v>0</v>
      </c>
      <c r="FR43" s="265">
        <v>0</v>
      </c>
      <c r="FS43" s="265">
        <v>0</v>
      </c>
      <c r="FT43" s="265">
        <v>0</v>
      </c>
      <c r="FU43" s="265">
        <v>0</v>
      </c>
      <c r="FV43" s="265">
        <v>0</v>
      </c>
      <c r="FW43" s="265">
        <v>0</v>
      </c>
      <c r="FX43" s="265">
        <v>0</v>
      </c>
      <c r="FY43" s="265">
        <v>0</v>
      </c>
      <c r="FZ43" s="265">
        <v>0</v>
      </c>
      <c r="GA43" s="265">
        <v>0</v>
      </c>
      <c r="GB43" s="265">
        <v>0</v>
      </c>
      <c r="GC43" s="265">
        <v>0</v>
      </c>
      <c r="GD43" s="265">
        <v>0</v>
      </c>
      <c r="GE43" s="265">
        <v>0</v>
      </c>
      <c r="GF43" s="265">
        <v>0</v>
      </c>
      <c r="GG43" s="265">
        <v>0</v>
      </c>
      <c r="GH43" s="265">
        <v>0</v>
      </c>
      <c r="GI43" s="265">
        <v>0</v>
      </c>
      <c r="GJ43" s="265">
        <v>0</v>
      </c>
      <c r="GK43" s="265">
        <v>0</v>
      </c>
      <c r="GL43" s="265">
        <v>0</v>
      </c>
      <c r="GM43" s="265">
        <v>0</v>
      </c>
      <c r="GN43" s="265">
        <v>0</v>
      </c>
      <c r="GO43" s="269">
        <v>0</v>
      </c>
      <c r="GP43" s="278">
        <v>0</v>
      </c>
      <c r="GQ43" s="265">
        <v>0</v>
      </c>
      <c r="GR43" s="265">
        <v>0</v>
      </c>
      <c r="GS43" s="265">
        <v>0</v>
      </c>
      <c r="GT43" s="265">
        <v>0</v>
      </c>
      <c r="GU43" s="265">
        <v>0</v>
      </c>
      <c r="GV43" s="265">
        <v>0</v>
      </c>
      <c r="GW43" s="265">
        <v>0</v>
      </c>
      <c r="GX43" s="265">
        <v>0</v>
      </c>
      <c r="GY43" s="265">
        <v>0</v>
      </c>
      <c r="GZ43" s="265">
        <v>0</v>
      </c>
      <c r="HA43" s="265">
        <v>0</v>
      </c>
      <c r="HB43" s="265">
        <v>0</v>
      </c>
      <c r="HC43" s="265">
        <v>0</v>
      </c>
      <c r="HD43" s="265">
        <v>0</v>
      </c>
      <c r="HE43" s="265">
        <v>0</v>
      </c>
      <c r="HF43" s="265">
        <v>0</v>
      </c>
      <c r="HG43" s="265">
        <v>0</v>
      </c>
      <c r="HH43" s="265">
        <v>0</v>
      </c>
      <c r="HI43" s="265"/>
      <c r="HJ43" s="265"/>
      <c r="HK43" s="265"/>
      <c r="HL43" s="265"/>
      <c r="HM43" s="265"/>
      <c r="HN43" s="265"/>
      <c r="HO43" s="265"/>
      <c r="HP43" s="265"/>
      <c r="HQ43" s="265"/>
      <c r="HR43" s="265"/>
      <c r="HS43" s="265"/>
      <c r="HT43" s="368"/>
      <c r="HU43" s="55">
        <f t="shared" si="95"/>
        <v>0</v>
      </c>
    </row>
    <row r="44" spans="1:229" s="7" customFormat="1" ht="15" customHeight="1" thickBot="1" x14ac:dyDescent="0.3">
      <c r="A44" s="2">
        <v>11</v>
      </c>
      <c r="B44" s="496"/>
      <c r="C44" s="3" t="s">
        <v>11</v>
      </c>
      <c r="D44" s="4" t="s">
        <v>20</v>
      </c>
      <c r="E44" s="5"/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09">
        <f t="shared" si="94"/>
        <v>0</v>
      </c>
      <c r="N44" s="139"/>
      <c r="O44" s="197">
        <v>0</v>
      </c>
      <c r="P44" s="198">
        <v>0</v>
      </c>
      <c r="Q44" s="198">
        <v>0</v>
      </c>
      <c r="R44" s="198">
        <v>0</v>
      </c>
      <c r="S44" s="198">
        <v>0</v>
      </c>
      <c r="T44" s="198">
        <v>0</v>
      </c>
      <c r="U44" s="198">
        <v>0</v>
      </c>
      <c r="V44" s="198">
        <v>0</v>
      </c>
      <c r="W44" s="198">
        <v>0</v>
      </c>
      <c r="X44" s="198">
        <v>0</v>
      </c>
      <c r="Y44" s="198">
        <v>0</v>
      </c>
      <c r="Z44" s="198">
        <v>0</v>
      </c>
      <c r="AA44" s="198">
        <v>0</v>
      </c>
      <c r="AB44" s="198">
        <v>0</v>
      </c>
      <c r="AC44" s="198">
        <v>0</v>
      </c>
      <c r="AD44" s="198">
        <v>0</v>
      </c>
      <c r="AE44" s="198">
        <v>0</v>
      </c>
      <c r="AF44" s="198">
        <v>0</v>
      </c>
      <c r="AG44" s="198">
        <v>0</v>
      </c>
      <c r="AH44" s="198">
        <v>0</v>
      </c>
      <c r="AI44" s="198">
        <v>0</v>
      </c>
      <c r="AJ44" s="198">
        <v>0</v>
      </c>
      <c r="AK44" s="198">
        <v>0</v>
      </c>
      <c r="AL44" s="198">
        <v>0</v>
      </c>
      <c r="AM44" s="198">
        <v>0</v>
      </c>
      <c r="AN44" s="198">
        <v>0</v>
      </c>
      <c r="AO44" s="198">
        <v>0</v>
      </c>
      <c r="AP44" s="287">
        <v>0</v>
      </c>
      <c r="AQ44" s="162"/>
      <c r="AR44" s="197">
        <v>0</v>
      </c>
      <c r="AS44" s="198">
        <v>0</v>
      </c>
      <c r="AT44" s="198">
        <v>0</v>
      </c>
      <c r="AU44" s="198">
        <v>0</v>
      </c>
      <c r="AV44" s="198">
        <v>0</v>
      </c>
      <c r="AW44" s="198">
        <v>0</v>
      </c>
      <c r="AX44" s="198">
        <v>0</v>
      </c>
      <c r="AY44" s="198">
        <v>0</v>
      </c>
      <c r="AZ44" s="198">
        <v>0</v>
      </c>
      <c r="BA44" s="198">
        <v>0</v>
      </c>
      <c r="BB44" s="198">
        <v>0</v>
      </c>
      <c r="BC44" s="198">
        <v>0</v>
      </c>
      <c r="BD44" s="198">
        <v>0</v>
      </c>
      <c r="BE44" s="198">
        <v>0</v>
      </c>
      <c r="BF44" s="198">
        <v>0</v>
      </c>
      <c r="BG44" s="198">
        <v>0</v>
      </c>
      <c r="BH44" s="198">
        <v>0</v>
      </c>
      <c r="BI44" s="198">
        <v>0</v>
      </c>
      <c r="BJ44" s="198">
        <v>0</v>
      </c>
      <c r="BK44" s="198">
        <v>0</v>
      </c>
      <c r="BL44" s="198">
        <v>0</v>
      </c>
      <c r="BM44" s="198">
        <v>0</v>
      </c>
      <c r="BN44" s="198">
        <v>0</v>
      </c>
      <c r="BO44" s="198">
        <v>0</v>
      </c>
      <c r="BP44" s="198">
        <v>0</v>
      </c>
      <c r="BQ44" s="198">
        <v>0</v>
      </c>
      <c r="BR44" s="198">
        <v>0</v>
      </c>
      <c r="BS44" s="198">
        <v>0</v>
      </c>
      <c r="BT44" s="198">
        <v>0</v>
      </c>
      <c r="BU44" s="198">
        <v>0</v>
      </c>
      <c r="BV44" s="287">
        <v>0</v>
      </c>
      <c r="BW44" s="162"/>
      <c r="BX44" s="197">
        <v>0</v>
      </c>
      <c r="BY44" s="198">
        <v>0</v>
      </c>
      <c r="BZ44" s="198">
        <v>0</v>
      </c>
      <c r="CA44" s="198">
        <v>0</v>
      </c>
      <c r="CB44" s="198">
        <v>0</v>
      </c>
      <c r="CC44" s="198">
        <v>0</v>
      </c>
      <c r="CD44" s="198">
        <v>0</v>
      </c>
      <c r="CE44" s="198">
        <v>0</v>
      </c>
      <c r="CF44" s="198">
        <v>0</v>
      </c>
      <c r="CG44" s="198">
        <v>0</v>
      </c>
      <c r="CH44" s="198">
        <v>0</v>
      </c>
      <c r="CI44" s="198">
        <v>0</v>
      </c>
      <c r="CJ44" s="198">
        <v>0</v>
      </c>
      <c r="CK44" s="198">
        <v>0</v>
      </c>
      <c r="CL44" s="198">
        <v>0</v>
      </c>
      <c r="CM44" s="198">
        <v>0</v>
      </c>
      <c r="CN44" s="198">
        <v>0</v>
      </c>
      <c r="CO44" s="311">
        <v>0</v>
      </c>
      <c r="CP44" s="311">
        <v>0</v>
      </c>
      <c r="CQ44" s="311">
        <v>0</v>
      </c>
      <c r="CR44" s="311">
        <v>0</v>
      </c>
      <c r="CS44" s="311">
        <v>0</v>
      </c>
      <c r="CT44" s="311">
        <v>0</v>
      </c>
      <c r="CU44" s="311">
        <v>0</v>
      </c>
      <c r="CV44" s="311">
        <v>0</v>
      </c>
      <c r="CW44" s="311">
        <v>0</v>
      </c>
      <c r="CX44" s="311">
        <v>0</v>
      </c>
      <c r="CY44" s="311">
        <v>0</v>
      </c>
      <c r="CZ44" s="311">
        <v>0</v>
      </c>
      <c r="DA44" s="331">
        <v>0</v>
      </c>
      <c r="DB44" s="278">
        <v>0</v>
      </c>
      <c r="DC44" s="265">
        <v>0</v>
      </c>
      <c r="DD44" s="265">
        <v>0</v>
      </c>
      <c r="DE44" s="265">
        <v>0</v>
      </c>
      <c r="DF44" s="265">
        <v>0</v>
      </c>
      <c r="DG44" s="265">
        <v>0</v>
      </c>
      <c r="DH44" s="265">
        <v>0</v>
      </c>
      <c r="DI44" s="265">
        <v>0</v>
      </c>
      <c r="DJ44" s="265">
        <v>0</v>
      </c>
      <c r="DK44" s="265">
        <v>0</v>
      </c>
      <c r="DL44" s="265">
        <v>0</v>
      </c>
      <c r="DM44" s="265">
        <v>0</v>
      </c>
      <c r="DN44" s="265">
        <v>0</v>
      </c>
      <c r="DO44" s="265">
        <v>0</v>
      </c>
      <c r="DP44" s="265">
        <v>0</v>
      </c>
      <c r="DQ44" s="265">
        <v>0</v>
      </c>
      <c r="DR44" s="265">
        <v>0</v>
      </c>
      <c r="DS44" s="265">
        <v>0</v>
      </c>
      <c r="DT44" s="265">
        <v>0</v>
      </c>
      <c r="DU44" s="265">
        <v>0</v>
      </c>
      <c r="DV44" s="265">
        <v>0</v>
      </c>
      <c r="DW44" s="265">
        <v>0</v>
      </c>
      <c r="DX44" s="265">
        <v>0</v>
      </c>
      <c r="DY44" s="265">
        <v>0</v>
      </c>
      <c r="DZ44" s="265">
        <v>0</v>
      </c>
      <c r="EA44" s="265">
        <v>0</v>
      </c>
      <c r="EB44" s="265">
        <v>0</v>
      </c>
      <c r="EC44" s="265">
        <v>0</v>
      </c>
      <c r="ED44" s="265">
        <v>0</v>
      </c>
      <c r="EE44" s="265">
        <v>0</v>
      </c>
      <c r="EF44" s="269">
        <v>0</v>
      </c>
      <c r="EG44" s="278">
        <v>0</v>
      </c>
      <c r="EH44" s="269">
        <v>0</v>
      </c>
      <c r="EI44" s="265">
        <v>0</v>
      </c>
      <c r="EJ44" s="265">
        <v>0</v>
      </c>
      <c r="EK44" s="265">
        <v>0</v>
      </c>
      <c r="EL44" s="265">
        <v>0</v>
      </c>
      <c r="EM44" s="265">
        <v>0</v>
      </c>
      <c r="EN44" s="265">
        <v>0</v>
      </c>
      <c r="EO44" s="265">
        <v>0</v>
      </c>
      <c r="EP44" s="265">
        <v>0</v>
      </c>
      <c r="EQ44" s="265">
        <v>0</v>
      </c>
      <c r="ER44" s="265">
        <v>0</v>
      </c>
      <c r="ES44" s="265">
        <v>0</v>
      </c>
      <c r="ET44" s="265">
        <v>0</v>
      </c>
      <c r="EU44" s="265">
        <v>0</v>
      </c>
      <c r="EV44" s="265">
        <v>0</v>
      </c>
      <c r="EW44" s="265">
        <v>0</v>
      </c>
      <c r="EX44" s="265">
        <v>0</v>
      </c>
      <c r="EY44" s="265">
        <v>0</v>
      </c>
      <c r="EZ44" s="265">
        <v>0</v>
      </c>
      <c r="FA44" s="265">
        <v>0</v>
      </c>
      <c r="FB44" s="265">
        <v>0</v>
      </c>
      <c r="FC44" s="265">
        <v>0</v>
      </c>
      <c r="FD44" s="265">
        <v>0</v>
      </c>
      <c r="FE44" s="265">
        <v>0</v>
      </c>
      <c r="FF44" s="265">
        <v>0</v>
      </c>
      <c r="FG44" s="265">
        <v>0</v>
      </c>
      <c r="FH44" s="265">
        <v>0</v>
      </c>
      <c r="FI44" s="265">
        <v>0</v>
      </c>
      <c r="FJ44" s="269">
        <v>0</v>
      </c>
      <c r="FK44" s="278">
        <v>0</v>
      </c>
      <c r="FL44" s="265">
        <v>0</v>
      </c>
      <c r="FM44" s="265">
        <v>0</v>
      </c>
      <c r="FN44" s="265">
        <v>0</v>
      </c>
      <c r="FO44" s="265">
        <v>0</v>
      </c>
      <c r="FP44" s="265">
        <v>0</v>
      </c>
      <c r="FQ44" s="265">
        <v>0</v>
      </c>
      <c r="FR44" s="265">
        <v>0</v>
      </c>
      <c r="FS44" s="265">
        <v>0</v>
      </c>
      <c r="FT44" s="265">
        <v>0</v>
      </c>
      <c r="FU44" s="265">
        <v>0</v>
      </c>
      <c r="FV44" s="265">
        <v>0</v>
      </c>
      <c r="FW44" s="265">
        <v>0</v>
      </c>
      <c r="FX44" s="265">
        <v>0</v>
      </c>
      <c r="FY44" s="265">
        <v>0</v>
      </c>
      <c r="FZ44" s="265">
        <v>0</v>
      </c>
      <c r="GA44" s="265">
        <v>0</v>
      </c>
      <c r="GB44" s="265">
        <v>0</v>
      </c>
      <c r="GC44" s="265">
        <v>0</v>
      </c>
      <c r="GD44" s="265">
        <v>0</v>
      </c>
      <c r="GE44" s="265">
        <v>0</v>
      </c>
      <c r="GF44" s="265">
        <v>0</v>
      </c>
      <c r="GG44" s="265">
        <v>0</v>
      </c>
      <c r="GH44" s="265">
        <v>0</v>
      </c>
      <c r="GI44" s="265">
        <v>0</v>
      </c>
      <c r="GJ44" s="265">
        <v>0</v>
      </c>
      <c r="GK44" s="265">
        <v>0</v>
      </c>
      <c r="GL44" s="265">
        <v>0</v>
      </c>
      <c r="GM44" s="265">
        <v>0</v>
      </c>
      <c r="GN44" s="265">
        <v>0</v>
      </c>
      <c r="GO44" s="269">
        <v>0</v>
      </c>
      <c r="GP44" s="278">
        <v>0</v>
      </c>
      <c r="GQ44" s="265">
        <v>0</v>
      </c>
      <c r="GR44" s="265">
        <v>0</v>
      </c>
      <c r="GS44" s="265">
        <v>0</v>
      </c>
      <c r="GT44" s="265">
        <v>0</v>
      </c>
      <c r="GU44" s="265">
        <v>0</v>
      </c>
      <c r="GV44" s="265">
        <v>0</v>
      </c>
      <c r="GW44" s="265">
        <v>0</v>
      </c>
      <c r="GX44" s="265">
        <v>0</v>
      </c>
      <c r="GY44" s="265">
        <v>0</v>
      </c>
      <c r="GZ44" s="265">
        <v>0</v>
      </c>
      <c r="HA44" s="265">
        <v>0</v>
      </c>
      <c r="HB44" s="265">
        <v>0</v>
      </c>
      <c r="HC44" s="265">
        <v>0</v>
      </c>
      <c r="HD44" s="265">
        <v>0</v>
      </c>
      <c r="HE44" s="265">
        <v>0</v>
      </c>
      <c r="HF44" s="265">
        <v>0</v>
      </c>
      <c r="HG44" s="265">
        <v>0</v>
      </c>
      <c r="HH44" s="265">
        <v>0</v>
      </c>
      <c r="HI44" s="265"/>
      <c r="HJ44" s="265"/>
      <c r="HK44" s="265"/>
      <c r="HL44" s="265"/>
      <c r="HM44" s="265"/>
      <c r="HN44" s="265"/>
      <c r="HO44" s="265"/>
      <c r="HP44" s="265"/>
      <c r="HQ44" s="265"/>
      <c r="HR44" s="265"/>
      <c r="HS44" s="265"/>
      <c r="HT44" s="368"/>
      <c r="HU44" s="55">
        <f t="shared" si="95"/>
        <v>0</v>
      </c>
    </row>
    <row r="45" spans="1:229" s="7" customFormat="1" ht="24.75" customHeight="1" thickBot="1" x14ac:dyDescent="0.3">
      <c r="A45" s="258"/>
      <c r="B45" s="259"/>
      <c r="C45" s="260"/>
      <c r="D45" s="261"/>
      <c r="E45" s="262"/>
      <c r="F45" s="263"/>
      <c r="G45" s="263"/>
      <c r="H45" s="263"/>
      <c r="I45" s="263"/>
      <c r="J45" s="263"/>
      <c r="K45" s="263"/>
      <c r="L45" s="263"/>
      <c r="M45" s="264"/>
      <c r="N45" s="133"/>
      <c r="O45" s="262">
        <f>SUM(O34:O44)</f>
        <v>0</v>
      </c>
      <c r="P45" s="262">
        <f t="shared" ref="P45:CA45" si="96">SUM(P34:P44)</f>
        <v>0</v>
      </c>
      <c r="Q45" s="262">
        <f t="shared" si="96"/>
        <v>0</v>
      </c>
      <c r="R45" s="262">
        <f t="shared" si="96"/>
        <v>0</v>
      </c>
      <c r="S45" s="262">
        <f t="shared" si="96"/>
        <v>0</v>
      </c>
      <c r="T45" s="262">
        <f t="shared" si="96"/>
        <v>0</v>
      </c>
      <c r="U45" s="262">
        <f t="shared" si="96"/>
        <v>0</v>
      </c>
      <c r="V45" s="262">
        <f t="shared" si="96"/>
        <v>0</v>
      </c>
      <c r="W45" s="262">
        <f t="shared" si="96"/>
        <v>0</v>
      </c>
      <c r="X45" s="262">
        <f t="shared" si="96"/>
        <v>0</v>
      </c>
      <c r="Y45" s="262">
        <f t="shared" si="96"/>
        <v>0</v>
      </c>
      <c r="Z45" s="262">
        <f t="shared" si="96"/>
        <v>0</v>
      </c>
      <c r="AA45" s="262">
        <f t="shared" si="96"/>
        <v>0</v>
      </c>
      <c r="AB45" s="262">
        <f t="shared" si="96"/>
        <v>0</v>
      </c>
      <c r="AC45" s="262">
        <f t="shared" si="96"/>
        <v>0</v>
      </c>
      <c r="AD45" s="262">
        <f t="shared" si="96"/>
        <v>0</v>
      </c>
      <c r="AE45" s="262">
        <f t="shared" si="96"/>
        <v>0</v>
      </c>
      <c r="AF45" s="262">
        <f t="shared" si="96"/>
        <v>0</v>
      </c>
      <c r="AG45" s="262">
        <f t="shared" si="96"/>
        <v>0</v>
      </c>
      <c r="AH45" s="262">
        <f t="shared" si="96"/>
        <v>0</v>
      </c>
      <c r="AI45" s="262">
        <f t="shared" si="96"/>
        <v>0</v>
      </c>
      <c r="AJ45" s="262">
        <f t="shared" si="96"/>
        <v>0</v>
      </c>
      <c r="AK45" s="262">
        <f t="shared" si="96"/>
        <v>0</v>
      </c>
      <c r="AL45" s="262">
        <f t="shared" si="96"/>
        <v>0</v>
      </c>
      <c r="AM45" s="262">
        <f t="shared" si="96"/>
        <v>0</v>
      </c>
      <c r="AN45" s="262">
        <f t="shared" si="96"/>
        <v>0</v>
      </c>
      <c r="AO45" s="262">
        <f t="shared" si="96"/>
        <v>0</v>
      </c>
      <c r="AP45" s="262">
        <f t="shared" si="96"/>
        <v>0</v>
      </c>
      <c r="AQ45" s="262">
        <f t="shared" si="96"/>
        <v>0</v>
      </c>
      <c r="AR45" s="262">
        <f t="shared" si="96"/>
        <v>0</v>
      </c>
      <c r="AS45" s="262">
        <f t="shared" si="96"/>
        <v>0</v>
      </c>
      <c r="AT45" s="262">
        <f t="shared" si="96"/>
        <v>0</v>
      </c>
      <c r="AU45" s="262">
        <f t="shared" si="96"/>
        <v>0</v>
      </c>
      <c r="AV45" s="262">
        <f t="shared" si="96"/>
        <v>0</v>
      </c>
      <c r="AW45" s="262">
        <f t="shared" si="96"/>
        <v>0</v>
      </c>
      <c r="AX45" s="262">
        <f t="shared" si="96"/>
        <v>0</v>
      </c>
      <c r="AY45" s="262">
        <f t="shared" si="96"/>
        <v>0</v>
      </c>
      <c r="AZ45" s="262">
        <f t="shared" si="96"/>
        <v>0</v>
      </c>
      <c r="BA45" s="262">
        <f t="shared" si="96"/>
        <v>0</v>
      </c>
      <c r="BB45" s="262">
        <f t="shared" si="96"/>
        <v>0</v>
      </c>
      <c r="BC45" s="262">
        <f t="shared" si="96"/>
        <v>0</v>
      </c>
      <c r="BD45" s="262">
        <f t="shared" si="96"/>
        <v>0</v>
      </c>
      <c r="BE45" s="262">
        <f t="shared" si="96"/>
        <v>0</v>
      </c>
      <c r="BF45" s="262">
        <f t="shared" si="96"/>
        <v>0</v>
      </c>
      <c r="BG45" s="262">
        <f t="shared" si="96"/>
        <v>0</v>
      </c>
      <c r="BH45" s="262">
        <f t="shared" si="96"/>
        <v>0</v>
      </c>
      <c r="BI45" s="262">
        <f t="shared" si="96"/>
        <v>0</v>
      </c>
      <c r="BJ45" s="262">
        <f t="shared" si="96"/>
        <v>0</v>
      </c>
      <c r="BK45" s="262">
        <f t="shared" si="96"/>
        <v>0</v>
      </c>
      <c r="BL45" s="262">
        <f t="shared" si="96"/>
        <v>0</v>
      </c>
      <c r="BM45" s="262">
        <f t="shared" si="96"/>
        <v>0</v>
      </c>
      <c r="BN45" s="262">
        <f t="shared" si="96"/>
        <v>0</v>
      </c>
      <c r="BO45" s="262">
        <f t="shared" si="96"/>
        <v>0</v>
      </c>
      <c r="BP45" s="262">
        <f t="shared" si="96"/>
        <v>0</v>
      </c>
      <c r="BQ45" s="262">
        <f t="shared" si="96"/>
        <v>0</v>
      </c>
      <c r="BR45" s="262">
        <f t="shared" si="96"/>
        <v>0</v>
      </c>
      <c r="BS45" s="262">
        <f t="shared" si="96"/>
        <v>0</v>
      </c>
      <c r="BT45" s="262">
        <f t="shared" si="96"/>
        <v>0</v>
      </c>
      <c r="BU45" s="262">
        <f t="shared" si="96"/>
        <v>0</v>
      </c>
      <c r="BV45" s="262">
        <f t="shared" si="96"/>
        <v>0</v>
      </c>
      <c r="BW45" s="312">
        <f t="shared" si="96"/>
        <v>0</v>
      </c>
      <c r="BX45" s="262">
        <f t="shared" si="96"/>
        <v>0</v>
      </c>
      <c r="BY45" s="262">
        <f t="shared" si="96"/>
        <v>0</v>
      </c>
      <c r="BZ45" s="262">
        <f t="shared" si="96"/>
        <v>0</v>
      </c>
      <c r="CA45" s="262">
        <f t="shared" si="96"/>
        <v>0</v>
      </c>
      <c r="CB45" s="262">
        <f t="shared" ref="CB45:CZ45" si="97">SUM(CB34:CB44)</f>
        <v>0</v>
      </c>
      <c r="CC45" s="262">
        <f t="shared" si="97"/>
        <v>0</v>
      </c>
      <c r="CD45" s="262">
        <f t="shared" si="97"/>
        <v>0</v>
      </c>
      <c r="CE45" s="262">
        <f t="shared" si="97"/>
        <v>0</v>
      </c>
      <c r="CF45" s="262">
        <f t="shared" si="97"/>
        <v>0</v>
      </c>
      <c r="CG45" s="262">
        <f t="shared" si="97"/>
        <v>0</v>
      </c>
      <c r="CH45" s="262">
        <f t="shared" si="97"/>
        <v>0</v>
      </c>
      <c r="CI45" s="262">
        <f t="shared" si="97"/>
        <v>0</v>
      </c>
      <c r="CJ45" s="262">
        <f t="shared" si="97"/>
        <v>0</v>
      </c>
      <c r="CK45" s="262">
        <f t="shared" si="97"/>
        <v>0</v>
      </c>
      <c r="CL45" s="262">
        <f t="shared" si="97"/>
        <v>0</v>
      </c>
      <c r="CM45" s="262">
        <f t="shared" si="97"/>
        <v>0</v>
      </c>
      <c r="CN45" s="262">
        <f t="shared" si="97"/>
        <v>0</v>
      </c>
      <c r="CO45" s="262">
        <f t="shared" si="97"/>
        <v>0</v>
      </c>
      <c r="CP45" s="262">
        <f t="shared" si="97"/>
        <v>0</v>
      </c>
      <c r="CQ45" s="262">
        <f t="shared" si="97"/>
        <v>0</v>
      </c>
      <c r="CR45" s="262">
        <f t="shared" si="97"/>
        <v>0</v>
      </c>
      <c r="CS45" s="262">
        <f t="shared" si="97"/>
        <v>0</v>
      </c>
      <c r="CT45" s="262">
        <f t="shared" si="97"/>
        <v>0</v>
      </c>
      <c r="CU45" s="262">
        <f t="shared" si="97"/>
        <v>0</v>
      </c>
      <c r="CV45" s="262">
        <f t="shared" si="97"/>
        <v>62</v>
      </c>
      <c r="CW45" s="262">
        <f t="shared" si="97"/>
        <v>0</v>
      </c>
      <c r="CX45" s="262">
        <f t="shared" si="97"/>
        <v>0</v>
      </c>
      <c r="CY45" s="262">
        <f t="shared" si="97"/>
        <v>40</v>
      </c>
      <c r="CZ45" s="262">
        <f t="shared" si="97"/>
        <v>0</v>
      </c>
      <c r="DA45" s="271">
        <f t="shared" ref="DA45:HU45" si="98">SUM(DA34:DA44)</f>
        <v>0</v>
      </c>
      <c r="DB45" s="83">
        <f t="shared" si="98"/>
        <v>0</v>
      </c>
      <c r="DC45" s="20">
        <f t="shared" si="98"/>
        <v>0</v>
      </c>
      <c r="DD45" s="20">
        <f t="shared" si="98"/>
        <v>0</v>
      </c>
      <c r="DE45" s="20">
        <f t="shared" si="98"/>
        <v>0</v>
      </c>
      <c r="DF45" s="20">
        <f t="shared" ref="DF45:DG45" si="99">SUM(DF34:DF44)</f>
        <v>0</v>
      </c>
      <c r="DG45" s="20">
        <f t="shared" si="99"/>
        <v>0</v>
      </c>
      <c r="DH45" s="20">
        <f t="shared" ref="DH45:DJ45" si="100">SUM(DH34:DH44)</f>
        <v>0</v>
      </c>
      <c r="DI45" s="20">
        <f t="shared" si="100"/>
        <v>0</v>
      </c>
      <c r="DJ45" s="20">
        <f t="shared" si="100"/>
        <v>0</v>
      </c>
      <c r="DK45" s="20">
        <f t="shared" ref="DK45:DL45" si="101">SUM(DK34:DK44)</f>
        <v>0</v>
      </c>
      <c r="DL45" s="20">
        <f t="shared" si="101"/>
        <v>0</v>
      </c>
      <c r="DM45" s="20">
        <f t="shared" ref="DM45:DN45" si="102">SUM(DM34:DM44)</f>
        <v>0</v>
      </c>
      <c r="DN45" s="20">
        <f t="shared" si="102"/>
        <v>0</v>
      </c>
      <c r="DO45" s="20">
        <f t="shared" ref="DO45:DP45" si="103">SUM(DO34:DO44)</f>
        <v>0</v>
      </c>
      <c r="DP45" s="20">
        <f t="shared" si="103"/>
        <v>0</v>
      </c>
      <c r="DQ45" s="20">
        <f t="shared" ref="DQ45:DS45" si="104">SUM(DQ34:DQ44)</f>
        <v>0</v>
      </c>
      <c r="DR45" s="20">
        <f t="shared" ref="DR45" si="105">SUM(DR34:DR44)</f>
        <v>0</v>
      </c>
      <c r="DS45" s="20">
        <f t="shared" si="104"/>
        <v>0</v>
      </c>
      <c r="DT45" s="20">
        <f t="shared" ref="DT45:DU45" si="106">SUM(DT34:DT44)</f>
        <v>0</v>
      </c>
      <c r="DU45" s="20">
        <f t="shared" si="106"/>
        <v>0</v>
      </c>
      <c r="DV45" s="20">
        <f t="shared" ref="DV45:DW45" si="107">SUM(DV34:DV44)</f>
        <v>0</v>
      </c>
      <c r="DW45" s="20">
        <f t="shared" si="107"/>
        <v>0</v>
      </c>
      <c r="DX45" s="20">
        <f t="shared" ref="DX45" si="108">SUM(DX34:DX44)</f>
        <v>0</v>
      </c>
      <c r="DY45" s="20">
        <f t="shared" ref="DY45:EF45" si="109">SUM(DY34:DY44)</f>
        <v>0</v>
      </c>
      <c r="DZ45" s="20">
        <f t="shared" si="109"/>
        <v>0</v>
      </c>
      <c r="EA45" s="20">
        <f t="shared" si="109"/>
        <v>0</v>
      </c>
      <c r="EB45" s="20">
        <f t="shared" si="109"/>
        <v>0</v>
      </c>
      <c r="EC45" s="20">
        <f t="shared" si="109"/>
        <v>0</v>
      </c>
      <c r="ED45" s="20">
        <f t="shared" si="109"/>
        <v>0</v>
      </c>
      <c r="EE45" s="20">
        <f t="shared" si="109"/>
        <v>0</v>
      </c>
      <c r="EF45" s="159">
        <f t="shared" si="109"/>
        <v>0</v>
      </c>
      <c r="EG45" s="83">
        <f t="shared" ref="EG45:EI45" si="110">SUM(EG34:EG44)</f>
        <v>0</v>
      </c>
      <c r="EH45" s="159">
        <f t="shared" si="110"/>
        <v>0</v>
      </c>
      <c r="EI45" s="20">
        <f t="shared" si="110"/>
        <v>0</v>
      </c>
      <c r="EJ45" s="20">
        <f t="shared" ref="EJ45:EL45" si="111">SUM(EJ34:EJ44)</f>
        <v>0</v>
      </c>
      <c r="EK45" s="20">
        <f t="shared" si="111"/>
        <v>0</v>
      </c>
      <c r="EL45" s="20">
        <f t="shared" si="111"/>
        <v>0</v>
      </c>
      <c r="EM45" s="20">
        <f t="shared" ref="EM45:EN45" si="112">SUM(EM34:EM44)</f>
        <v>0</v>
      </c>
      <c r="EN45" s="20">
        <f t="shared" si="112"/>
        <v>0</v>
      </c>
      <c r="EO45" s="20">
        <f t="shared" ref="EO45:EP45" si="113">SUM(EO34:EO44)</f>
        <v>0</v>
      </c>
      <c r="EP45" s="20">
        <f t="shared" si="113"/>
        <v>0</v>
      </c>
      <c r="EQ45" s="20">
        <f t="shared" ref="EQ45:ET45" si="114">SUM(EQ34:EQ44)</f>
        <v>460</v>
      </c>
      <c r="ER45" s="20">
        <f t="shared" si="114"/>
        <v>0</v>
      </c>
      <c r="ES45" s="20">
        <f t="shared" si="114"/>
        <v>0</v>
      </c>
      <c r="ET45" s="20">
        <f t="shared" si="114"/>
        <v>0</v>
      </c>
      <c r="EU45" s="20">
        <f t="shared" ref="EU45:EV45" si="115">SUM(EU34:EU44)</f>
        <v>0</v>
      </c>
      <c r="EV45" s="20">
        <f t="shared" si="115"/>
        <v>0</v>
      </c>
      <c r="EW45" s="20">
        <f t="shared" ref="EW45:EY45" si="116">SUM(EW34:EW44)</f>
        <v>0</v>
      </c>
      <c r="EX45" s="20">
        <f t="shared" si="116"/>
        <v>0</v>
      </c>
      <c r="EY45" s="20">
        <f t="shared" si="116"/>
        <v>0</v>
      </c>
      <c r="EZ45" s="20">
        <f t="shared" ref="EZ45:FA45" si="117">SUM(EZ34:EZ44)</f>
        <v>0</v>
      </c>
      <c r="FA45" s="20">
        <f t="shared" si="117"/>
        <v>470</v>
      </c>
      <c r="FB45" s="20">
        <f t="shared" ref="FB45:FC45" si="118">SUM(FB34:FB44)</f>
        <v>0</v>
      </c>
      <c r="FC45" s="20">
        <f t="shared" si="118"/>
        <v>0</v>
      </c>
      <c r="FD45" s="20">
        <f t="shared" ref="FD45:FG45" si="119">SUM(FD34:FD44)</f>
        <v>0</v>
      </c>
      <c r="FE45" s="20">
        <f t="shared" si="119"/>
        <v>0</v>
      </c>
      <c r="FF45" s="20">
        <f t="shared" si="119"/>
        <v>0</v>
      </c>
      <c r="FG45" s="20">
        <f t="shared" si="119"/>
        <v>0</v>
      </c>
      <c r="FH45" s="20">
        <f t="shared" ref="FH45:FN45" si="120">SUM(FH34:FH44)</f>
        <v>0</v>
      </c>
      <c r="FI45" s="20">
        <f t="shared" si="120"/>
        <v>0</v>
      </c>
      <c r="FJ45" s="159">
        <f t="shared" si="120"/>
        <v>0</v>
      </c>
      <c r="FK45" s="83">
        <f t="shared" si="120"/>
        <v>0</v>
      </c>
      <c r="FL45" s="20">
        <f t="shared" si="120"/>
        <v>0</v>
      </c>
      <c r="FM45" s="20">
        <f t="shared" si="120"/>
        <v>0</v>
      </c>
      <c r="FN45" s="20">
        <f t="shared" si="120"/>
        <v>0</v>
      </c>
      <c r="FO45" s="20">
        <f t="shared" ref="FO45:FQ45" si="121">SUM(FO34:FO44)</f>
        <v>395</v>
      </c>
      <c r="FP45" s="20">
        <f t="shared" si="121"/>
        <v>0</v>
      </c>
      <c r="FQ45" s="20">
        <f t="shared" si="121"/>
        <v>0</v>
      </c>
      <c r="FR45" s="20">
        <f t="shared" ref="FR45:FS45" si="122">SUM(FR34:FR44)</f>
        <v>0</v>
      </c>
      <c r="FS45" s="20">
        <f t="shared" si="122"/>
        <v>0</v>
      </c>
      <c r="FT45" s="20">
        <f t="shared" ref="FT45:FU45" si="123">SUM(FT34:FT44)</f>
        <v>0</v>
      </c>
      <c r="FU45" s="20">
        <f t="shared" si="123"/>
        <v>0</v>
      </c>
      <c r="FV45" s="20">
        <f t="shared" ref="FV45:FW45" si="124">SUM(FV34:FV44)</f>
        <v>0</v>
      </c>
      <c r="FW45" s="20">
        <f t="shared" si="124"/>
        <v>0</v>
      </c>
      <c r="FX45" s="20">
        <f t="shared" ref="FX45:GB45" si="125">SUM(FX34:FX44)</f>
        <v>0</v>
      </c>
      <c r="FY45" s="20">
        <f t="shared" si="125"/>
        <v>0</v>
      </c>
      <c r="FZ45" s="153">
        <f t="shared" si="125"/>
        <v>1112</v>
      </c>
      <c r="GA45" s="153">
        <f t="shared" si="125"/>
        <v>0</v>
      </c>
      <c r="GB45" s="20">
        <f t="shared" si="125"/>
        <v>0</v>
      </c>
      <c r="GC45" s="20">
        <f t="shared" ref="GC45:GD45" si="126">SUM(GC34:GC44)</f>
        <v>0</v>
      </c>
      <c r="GD45" s="20">
        <f t="shared" si="126"/>
        <v>0</v>
      </c>
      <c r="GE45" s="20">
        <f t="shared" ref="GE45:GF45" si="127">SUM(GE34:GE44)</f>
        <v>0</v>
      </c>
      <c r="GF45" s="20">
        <f t="shared" si="127"/>
        <v>6</v>
      </c>
      <c r="GG45" s="20">
        <f t="shared" ref="GG45:GH45" si="128">SUM(GG34:GG44)</f>
        <v>0</v>
      </c>
      <c r="GH45" s="20">
        <f t="shared" si="128"/>
        <v>0</v>
      </c>
      <c r="GI45" s="20">
        <f t="shared" ref="GI45:GJ45" si="129">SUM(GI34:GI44)</f>
        <v>0</v>
      </c>
      <c r="GJ45" s="20">
        <f t="shared" si="129"/>
        <v>0</v>
      </c>
      <c r="GK45" s="20">
        <f t="shared" ref="GK45:GL45" si="130">SUM(GK34:GK44)</f>
        <v>0</v>
      </c>
      <c r="GL45" s="20">
        <f t="shared" si="130"/>
        <v>0</v>
      </c>
      <c r="GM45" s="20">
        <f t="shared" ref="GM45:GN45" si="131">SUM(GM34:GM44)</f>
        <v>0</v>
      </c>
      <c r="GN45" s="20">
        <f t="shared" si="131"/>
        <v>0</v>
      </c>
      <c r="GO45" s="159">
        <f t="shared" ref="GO45:GP45" si="132">SUM(GO34:GO44)</f>
        <v>0</v>
      </c>
      <c r="GP45" s="313">
        <f t="shared" si="132"/>
        <v>0</v>
      </c>
      <c r="GQ45" s="115">
        <f t="shared" ref="GQ45:GW45" si="133">SUM(GQ34:GQ44)</f>
        <v>35</v>
      </c>
      <c r="GR45" s="20">
        <f t="shared" si="133"/>
        <v>0</v>
      </c>
      <c r="GS45" s="20">
        <f t="shared" si="133"/>
        <v>140</v>
      </c>
      <c r="GT45" s="20">
        <f t="shared" si="133"/>
        <v>0</v>
      </c>
      <c r="GU45" s="20">
        <f t="shared" si="133"/>
        <v>0</v>
      </c>
      <c r="GV45" s="20">
        <f t="shared" si="133"/>
        <v>0</v>
      </c>
      <c r="GW45" s="20">
        <f t="shared" si="133"/>
        <v>210</v>
      </c>
      <c r="GX45" s="20">
        <f t="shared" ref="GX45:GY45" si="134">SUM(GX34:GX44)</f>
        <v>0</v>
      </c>
      <c r="GY45" s="20">
        <f t="shared" si="134"/>
        <v>0</v>
      </c>
      <c r="GZ45" s="20">
        <f t="shared" ref="GZ45:HA45" si="135">SUM(GZ34:GZ44)</f>
        <v>0</v>
      </c>
      <c r="HA45" s="20">
        <f t="shared" si="135"/>
        <v>0</v>
      </c>
      <c r="HB45" s="20">
        <f t="shared" ref="HB45:HE45" si="136">SUM(HB34:HB44)</f>
        <v>0</v>
      </c>
      <c r="HC45" s="20">
        <f t="shared" si="136"/>
        <v>0</v>
      </c>
      <c r="HD45" s="20">
        <f t="shared" si="136"/>
        <v>10</v>
      </c>
      <c r="HE45" s="20">
        <f t="shared" si="136"/>
        <v>0</v>
      </c>
      <c r="HF45" s="20">
        <f t="shared" ref="HF45:HG45" si="137">SUM(HF34:HF44)</f>
        <v>0</v>
      </c>
      <c r="HG45" s="20">
        <f t="shared" si="137"/>
        <v>0</v>
      </c>
      <c r="HH45" s="20">
        <f t="shared" ref="HH45" si="138">SUM(HH34:HH44)</f>
        <v>0</v>
      </c>
      <c r="HI45" s="115"/>
      <c r="HJ45" s="115"/>
      <c r="HK45" s="115"/>
      <c r="HL45" s="115"/>
      <c r="HM45" s="115"/>
      <c r="HN45" s="115"/>
      <c r="HO45" s="115"/>
      <c r="HP45" s="115"/>
      <c r="HQ45" s="115"/>
      <c r="HR45" s="115"/>
      <c r="HS45" s="115"/>
      <c r="HT45" s="421"/>
      <c r="HU45" s="332">
        <f t="shared" si="98"/>
        <v>2940</v>
      </c>
    </row>
    <row r="46" spans="1:229" s="7" customFormat="1" ht="15" customHeight="1" thickBot="1" x14ac:dyDescent="0.3">
      <c r="A46" s="32">
        <v>1</v>
      </c>
      <c r="B46" s="481" t="s">
        <v>122</v>
      </c>
      <c r="C46" s="34" t="s">
        <v>1</v>
      </c>
      <c r="D46" s="35" t="s">
        <v>20</v>
      </c>
      <c r="E46" s="36"/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119">
        <f>SUM(E46:L46)</f>
        <v>0</v>
      </c>
      <c r="N46" s="147"/>
      <c r="O46" s="71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276"/>
      <c r="AQ46" s="165"/>
      <c r="AR46" s="71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276"/>
      <c r="BW46" s="165"/>
      <c r="BX46" s="71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267"/>
      <c r="CP46" s="267"/>
      <c r="CQ46" s="267"/>
      <c r="CR46" s="267"/>
      <c r="CS46" s="267"/>
      <c r="CT46" s="267"/>
      <c r="CU46" s="267"/>
      <c r="CV46" s="267"/>
      <c r="CW46" s="267"/>
      <c r="CX46" s="267"/>
      <c r="CY46" s="267"/>
      <c r="CZ46" s="267"/>
      <c r="DA46" s="268"/>
      <c r="DB46" s="279"/>
      <c r="DC46" s="267"/>
      <c r="DD46" s="267"/>
      <c r="DE46" s="267"/>
      <c r="DF46" s="267"/>
      <c r="DG46" s="267"/>
      <c r="DH46" s="267"/>
      <c r="DI46" s="267"/>
      <c r="DJ46" s="267"/>
      <c r="DK46" s="267"/>
      <c r="DL46" s="267"/>
      <c r="DM46" s="267"/>
      <c r="DN46" s="267"/>
      <c r="DO46" s="267"/>
      <c r="DP46" s="267"/>
      <c r="DQ46" s="267"/>
      <c r="DR46" s="267"/>
      <c r="DS46" s="267"/>
      <c r="DT46" s="267"/>
      <c r="DU46" s="267"/>
      <c r="DV46" s="267"/>
      <c r="DW46" s="267"/>
      <c r="DX46" s="267"/>
      <c r="DY46" s="267"/>
      <c r="DZ46" s="267"/>
      <c r="EA46" s="267"/>
      <c r="EB46" s="267"/>
      <c r="EC46" s="267"/>
      <c r="ED46" s="267"/>
      <c r="EE46" s="267"/>
      <c r="EF46" s="268"/>
      <c r="EG46" s="279"/>
      <c r="EH46" s="268"/>
      <c r="EI46" s="267"/>
      <c r="EJ46" s="267"/>
      <c r="EK46" s="267"/>
      <c r="EL46" s="267"/>
      <c r="EM46" s="267"/>
      <c r="EN46" s="267"/>
      <c r="EO46" s="267"/>
      <c r="EP46" s="267"/>
      <c r="EQ46" s="267"/>
      <c r="ER46" s="267"/>
      <c r="ES46" s="267"/>
      <c r="ET46" s="267"/>
      <c r="EU46" s="267">
        <v>0</v>
      </c>
      <c r="EV46" s="267">
        <v>0</v>
      </c>
      <c r="EW46" s="267">
        <v>0</v>
      </c>
      <c r="EX46" s="267">
        <v>0</v>
      </c>
      <c r="EY46" s="267">
        <v>0</v>
      </c>
      <c r="EZ46" s="267">
        <v>0</v>
      </c>
      <c r="FA46" s="267">
        <v>0</v>
      </c>
      <c r="FB46" s="267">
        <v>0</v>
      </c>
      <c r="FC46" s="267">
        <v>0</v>
      </c>
      <c r="FD46" s="267">
        <v>0</v>
      </c>
      <c r="FE46" s="267">
        <v>0</v>
      </c>
      <c r="FF46" s="267">
        <v>0</v>
      </c>
      <c r="FG46" s="267">
        <v>0</v>
      </c>
      <c r="FH46" s="267">
        <v>0</v>
      </c>
      <c r="FI46" s="267">
        <v>0</v>
      </c>
      <c r="FJ46" s="268">
        <v>0</v>
      </c>
      <c r="FK46" s="279">
        <v>0</v>
      </c>
      <c r="FL46" s="267">
        <v>0</v>
      </c>
      <c r="FM46" s="267">
        <v>0</v>
      </c>
      <c r="FN46" s="267">
        <v>0</v>
      </c>
      <c r="FO46" s="267">
        <v>0</v>
      </c>
      <c r="FP46" s="267">
        <v>0</v>
      </c>
      <c r="FQ46" s="267">
        <v>0</v>
      </c>
      <c r="FR46" s="267">
        <v>0</v>
      </c>
      <c r="FS46" s="267">
        <v>0</v>
      </c>
      <c r="FT46" s="267">
        <v>0</v>
      </c>
      <c r="FU46" s="267">
        <v>0</v>
      </c>
      <c r="FV46" s="267">
        <v>0</v>
      </c>
      <c r="FW46" s="267">
        <v>0</v>
      </c>
      <c r="FX46" s="267">
        <v>0</v>
      </c>
      <c r="FY46" s="267">
        <v>0</v>
      </c>
      <c r="FZ46" s="267">
        <v>0</v>
      </c>
      <c r="GA46" s="267">
        <v>0</v>
      </c>
      <c r="GB46" s="267">
        <v>0</v>
      </c>
      <c r="GC46" s="267">
        <v>0</v>
      </c>
      <c r="GD46" s="267">
        <v>0</v>
      </c>
      <c r="GE46" s="267">
        <v>0</v>
      </c>
      <c r="GF46" s="267">
        <v>0</v>
      </c>
      <c r="GG46" s="267">
        <v>0</v>
      </c>
      <c r="GH46" s="267">
        <v>0</v>
      </c>
      <c r="GI46" s="267">
        <v>0</v>
      </c>
      <c r="GJ46" s="267">
        <v>0</v>
      </c>
      <c r="GK46" s="267">
        <v>0</v>
      </c>
      <c r="GL46" s="267">
        <v>0</v>
      </c>
      <c r="GM46" s="267">
        <v>0</v>
      </c>
      <c r="GN46" s="267">
        <v>0</v>
      </c>
      <c r="GO46" s="268">
        <v>0</v>
      </c>
      <c r="GP46" s="279">
        <v>0</v>
      </c>
      <c r="GQ46" s="267">
        <v>0</v>
      </c>
      <c r="GR46" s="267">
        <v>0</v>
      </c>
      <c r="GS46" s="267">
        <v>0</v>
      </c>
      <c r="GT46" s="267">
        <v>0</v>
      </c>
      <c r="GU46" s="267">
        <v>0</v>
      </c>
      <c r="GV46" s="267">
        <v>0</v>
      </c>
      <c r="GW46" s="267">
        <v>0</v>
      </c>
      <c r="GX46" s="267">
        <v>0</v>
      </c>
      <c r="GY46" s="267">
        <v>0</v>
      </c>
      <c r="GZ46" s="267">
        <v>0</v>
      </c>
      <c r="HA46" s="267">
        <v>0</v>
      </c>
      <c r="HB46" s="267">
        <v>0</v>
      </c>
      <c r="HC46" s="267">
        <v>0</v>
      </c>
      <c r="HD46" s="267">
        <v>0</v>
      </c>
      <c r="HE46" s="267">
        <v>0</v>
      </c>
      <c r="HF46" s="267">
        <v>0</v>
      </c>
      <c r="HG46" s="267">
        <v>0</v>
      </c>
      <c r="HH46" s="267">
        <v>0</v>
      </c>
      <c r="HI46" s="267"/>
      <c r="HJ46" s="267"/>
      <c r="HK46" s="267"/>
      <c r="HL46" s="267"/>
      <c r="HM46" s="267"/>
      <c r="HN46" s="267"/>
      <c r="HO46" s="267"/>
      <c r="HP46" s="267"/>
      <c r="HQ46" s="267"/>
      <c r="HR46" s="267"/>
      <c r="HS46" s="267"/>
      <c r="HT46" s="367"/>
      <c r="HU46" s="329">
        <f>SUM(O46:HT46)</f>
        <v>0</v>
      </c>
    </row>
    <row r="47" spans="1:229" s="7" customFormat="1" ht="15" customHeight="1" thickBot="1" x14ac:dyDescent="0.3">
      <c r="A47" s="2">
        <v>2</v>
      </c>
      <c r="B47" s="474"/>
      <c r="C47" s="3" t="s">
        <v>2</v>
      </c>
      <c r="D47" s="4" t="s">
        <v>20</v>
      </c>
      <c r="E47" s="5"/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09">
        <f t="shared" ref="M47:M56" si="139">SUM(E47:L47)</f>
        <v>0</v>
      </c>
      <c r="N47" s="139"/>
      <c r="O47" s="7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274"/>
      <c r="AQ47" s="162"/>
      <c r="AR47" s="7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274"/>
      <c r="BW47" s="162"/>
      <c r="BX47" s="7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265"/>
      <c r="CP47" s="265"/>
      <c r="CQ47" s="265"/>
      <c r="CR47" s="265"/>
      <c r="CS47" s="265"/>
      <c r="CT47" s="265"/>
      <c r="CU47" s="265"/>
      <c r="CV47" s="265"/>
      <c r="CW47" s="265"/>
      <c r="CX47" s="265"/>
      <c r="CY47" s="265"/>
      <c r="CZ47" s="265"/>
      <c r="DA47" s="269"/>
      <c r="DB47" s="278"/>
      <c r="DC47" s="265"/>
      <c r="DD47" s="265"/>
      <c r="DE47" s="265"/>
      <c r="DF47" s="265"/>
      <c r="DG47" s="265"/>
      <c r="DH47" s="265"/>
      <c r="DI47" s="265"/>
      <c r="DJ47" s="265"/>
      <c r="DK47" s="265"/>
      <c r="DL47" s="265"/>
      <c r="DM47" s="265"/>
      <c r="DN47" s="265"/>
      <c r="DO47" s="265"/>
      <c r="DP47" s="265"/>
      <c r="DQ47" s="265"/>
      <c r="DR47" s="265"/>
      <c r="DS47" s="265"/>
      <c r="DT47" s="265"/>
      <c r="DU47" s="265"/>
      <c r="DV47" s="265"/>
      <c r="DW47" s="265"/>
      <c r="DX47" s="265"/>
      <c r="DY47" s="265"/>
      <c r="DZ47" s="265"/>
      <c r="EA47" s="265"/>
      <c r="EB47" s="265"/>
      <c r="EC47" s="265"/>
      <c r="ED47" s="265"/>
      <c r="EE47" s="265"/>
      <c r="EF47" s="269"/>
      <c r="EG47" s="278"/>
      <c r="EH47" s="269"/>
      <c r="EI47" s="265"/>
      <c r="EJ47" s="265"/>
      <c r="EK47" s="265"/>
      <c r="EL47" s="265"/>
      <c r="EM47" s="265"/>
      <c r="EN47" s="265"/>
      <c r="EO47" s="265"/>
      <c r="EP47" s="265"/>
      <c r="EQ47" s="265"/>
      <c r="ER47" s="265"/>
      <c r="ES47" s="265"/>
      <c r="ET47" s="265"/>
      <c r="EU47" s="265">
        <v>30</v>
      </c>
      <c r="EV47" s="265">
        <v>0</v>
      </c>
      <c r="EW47" s="265">
        <v>0</v>
      </c>
      <c r="EX47" s="265">
        <v>0</v>
      </c>
      <c r="EY47" s="265">
        <v>0</v>
      </c>
      <c r="EZ47" s="265">
        <v>0</v>
      </c>
      <c r="FA47" s="265">
        <v>0</v>
      </c>
      <c r="FB47" s="265">
        <v>0</v>
      </c>
      <c r="FC47" s="265">
        <v>0</v>
      </c>
      <c r="FD47" s="265">
        <v>0</v>
      </c>
      <c r="FE47" s="265">
        <v>0</v>
      </c>
      <c r="FF47" s="265">
        <v>0</v>
      </c>
      <c r="FG47" s="265">
        <v>0</v>
      </c>
      <c r="FH47" s="265">
        <v>0</v>
      </c>
      <c r="FI47" s="265">
        <v>0</v>
      </c>
      <c r="FJ47" s="269">
        <v>0</v>
      </c>
      <c r="FK47" s="278">
        <v>0</v>
      </c>
      <c r="FL47" s="265">
        <v>0</v>
      </c>
      <c r="FM47" s="265">
        <v>0</v>
      </c>
      <c r="FN47" s="265">
        <v>0</v>
      </c>
      <c r="FO47" s="265">
        <v>0</v>
      </c>
      <c r="FP47" s="265">
        <v>0</v>
      </c>
      <c r="FQ47" s="265">
        <v>0</v>
      </c>
      <c r="FR47" s="265">
        <v>0</v>
      </c>
      <c r="FS47" s="265">
        <v>0</v>
      </c>
      <c r="FT47" s="265">
        <v>0</v>
      </c>
      <c r="FU47" s="265">
        <v>0</v>
      </c>
      <c r="FV47" s="265">
        <v>0</v>
      </c>
      <c r="FW47" s="265">
        <v>0</v>
      </c>
      <c r="FX47" s="265">
        <v>0</v>
      </c>
      <c r="FY47" s="265">
        <v>0</v>
      </c>
      <c r="FZ47" s="265">
        <v>0</v>
      </c>
      <c r="GA47" s="265">
        <v>0</v>
      </c>
      <c r="GB47" s="265">
        <v>0</v>
      </c>
      <c r="GC47" s="265">
        <v>0</v>
      </c>
      <c r="GD47" s="265">
        <v>0</v>
      </c>
      <c r="GE47" s="265">
        <v>0</v>
      </c>
      <c r="GF47" s="265">
        <v>0</v>
      </c>
      <c r="GG47" s="265">
        <v>0</v>
      </c>
      <c r="GH47" s="265">
        <v>0</v>
      </c>
      <c r="GI47" s="265">
        <v>0</v>
      </c>
      <c r="GJ47" s="265">
        <v>0</v>
      </c>
      <c r="GK47" s="265">
        <v>0</v>
      </c>
      <c r="GL47" s="265">
        <v>0</v>
      </c>
      <c r="GM47" s="265">
        <v>0</v>
      </c>
      <c r="GN47" s="265">
        <v>0</v>
      </c>
      <c r="GO47" s="269">
        <v>0</v>
      </c>
      <c r="GP47" s="278">
        <v>0</v>
      </c>
      <c r="GQ47" s="265">
        <v>0</v>
      </c>
      <c r="GR47" s="265">
        <v>50</v>
      </c>
      <c r="GS47" s="265">
        <v>0</v>
      </c>
      <c r="GT47" s="265">
        <v>0</v>
      </c>
      <c r="GU47" s="265">
        <v>0</v>
      </c>
      <c r="GV47" s="265">
        <v>0</v>
      </c>
      <c r="GW47" s="265">
        <v>0</v>
      </c>
      <c r="GX47" s="265">
        <v>0</v>
      </c>
      <c r="GY47" s="265">
        <v>0</v>
      </c>
      <c r="GZ47" s="265">
        <v>0</v>
      </c>
      <c r="HA47" s="265">
        <v>0</v>
      </c>
      <c r="HB47" s="265">
        <v>0</v>
      </c>
      <c r="HC47" s="265">
        <v>0</v>
      </c>
      <c r="HD47" s="265">
        <v>0</v>
      </c>
      <c r="HE47" s="265">
        <v>0</v>
      </c>
      <c r="HF47" s="265">
        <v>0</v>
      </c>
      <c r="HG47" s="265">
        <v>0</v>
      </c>
      <c r="HH47" s="265">
        <v>0</v>
      </c>
      <c r="HI47" s="265"/>
      <c r="HJ47" s="265"/>
      <c r="HK47" s="265"/>
      <c r="HL47" s="265"/>
      <c r="HM47" s="265"/>
      <c r="HN47" s="265"/>
      <c r="HO47" s="265"/>
      <c r="HP47" s="265"/>
      <c r="HQ47" s="265"/>
      <c r="HR47" s="265"/>
      <c r="HS47" s="265"/>
      <c r="HT47" s="368"/>
      <c r="HU47" s="329">
        <f t="shared" ref="HU47:HU56" si="140">SUM(O47:HT47)</f>
        <v>80</v>
      </c>
    </row>
    <row r="48" spans="1:229" s="7" customFormat="1" ht="15" customHeight="1" thickBot="1" x14ac:dyDescent="0.3">
      <c r="A48" s="2">
        <v>3</v>
      </c>
      <c r="B48" s="474"/>
      <c r="C48" s="3" t="s">
        <v>3</v>
      </c>
      <c r="D48" s="4" t="s">
        <v>20</v>
      </c>
      <c r="E48" s="5"/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09">
        <f t="shared" si="139"/>
        <v>0</v>
      </c>
      <c r="N48" s="139"/>
      <c r="O48" s="7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274"/>
      <c r="AQ48" s="162"/>
      <c r="AR48" s="7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274"/>
      <c r="BW48" s="162"/>
      <c r="BX48" s="7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265"/>
      <c r="CP48" s="265"/>
      <c r="CQ48" s="265"/>
      <c r="CR48" s="265"/>
      <c r="CS48" s="265"/>
      <c r="CT48" s="265"/>
      <c r="CU48" s="265"/>
      <c r="CV48" s="265"/>
      <c r="CW48" s="265"/>
      <c r="CX48" s="265"/>
      <c r="CY48" s="265"/>
      <c r="CZ48" s="265"/>
      <c r="DA48" s="269"/>
      <c r="DB48" s="278"/>
      <c r="DC48" s="265"/>
      <c r="DD48" s="265"/>
      <c r="DE48" s="265"/>
      <c r="DF48" s="265"/>
      <c r="DG48" s="265"/>
      <c r="DH48" s="265"/>
      <c r="DI48" s="265"/>
      <c r="DJ48" s="265"/>
      <c r="DK48" s="265"/>
      <c r="DL48" s="265"/>
      <c r="DM48" s="265"/>
      <c r="DN48" s="265"/>
      <c r="DO48" s="265"/>
      <c r="DP48" s="265"/>
      <c r="DQ48" s="265"/>
      <c r="DR48" s="265"/>
      <c r="DS48" s="265"/>
      <c r="DT48" s="265"/>
      <c r="DU48" s="265"/>
      <c r="DV48" s="265"/>
      <c r="DW48" s="265"/>
      <c r="DX48" s="265"/>
      <c r="DY48" s="265"/>
      <c r="DZ48" s="265"/>
      <c r="EA48" s="265"/>
      <c r="EB48" s="265"/>
      <c r="EC48" s="265"/>
      <c r="ED48" s="265"/>
      <c r="EE48" s="265"/>
      <c r="EF48" s="269"/>
      <c r="EG48" s="278"/>
      <c r="EH48" s="269"/>
      <c r="EI48" s="265"/>
      <c r="EJ48" s="265"/>
      <c r="EK48" s="265"/>
      <c r="EL48" s="265"/>
      <c r="EM48" s="265"/>
      <c r="EN48" s="265"/>
      <c r="EO48" s="265"/>
      <c r="EP48" s="265"/>
      <c r="EQ48" s="265"/>
      <c r="ER48" s="265"/>
      <c r="ES48" s="265"/>
      <c r="ET48" s="265"/>
      <c r="EU48" s="265">
        <v>0</v>
      </c>
      <c r="EV48" s="265">
        <v>0</v>
      </c>
      <c r="EW48" s="265">
        <v>0</v>
      </c>
      <c r="EX48" s="265">
        <v>0</v>
      </c>
      <c r="EY48" s="265">
        <v>0</v>
      </c>
      <c r="EZ48" s="265">
        <v>0</v>
      </c>
      <c r="FA48" s="265">
        <v>0</v>
      </c>
      <c r="FB48" s="265">
        <v>0</v>
      </c>
      <c r="FC48" s="265">
        <v>0</v>
      </c>
      <c r="FD48" s="265">
        <v>0</v>
      </c>
      <c r="FE48" s="265">
        <v>0</v>
      </c>
      <c r="FF48" s="265">
        <v>0</v>
      </c>
      <c r="FG48" s="265">
        <v>0</v>
      </c>
      <c r="FH48" s="265">
        <v>0</v>
      </c>
      <c r="FI48" s="265">
        <v>0</v>
      </c>
      <c r="FJ48" s="269">
        <v>0</v>
      </c>
      <c r="FK48" s="278">
        <v>0</v>
      </c>
      <c r="FL48" s="265">
        <v>0</v>
      </c>
      <c r="FM48" s="265">
        <v>0</v>
      </c>
      <c r="FN48" s="265">
        <v>0</v>
      </c>
      <c r="FO48" s="265">
        <v>0</v>
      </c>
      <c r="FP48" s="265">
        <v>0</v>
      </c>
      <c r="FQ48" s="265">
        <v>0</v>
      </c>
      <c r="FR48" s="265">
        <v>0</v>
      </c>
      <c r="FS48" s="265">
        <v>0</v>
      </c>
      <c r="FT48" s="265">
        <v>0</v>
      </c>
      <c r="FU48" s="265">
        <v>0</v>
      </c>
      <c r="FV48" s="265">
        <v>0</v>
      </c>
      <c r="FW48" s="265">
        <v>0</v>
      </c>
      <c r="FX48" s="265">
        <v>0</v>
      </c>
      <c r="FY48" s="265">
        <v>0</v>
      </c>
      <c r="FZ48" s="265">
        <v>0</v>
      </c>
      <c r="GA48" s="265">
        <v>0</v>
      </c>
      <c r="GB48" s="265">
        <v>0</v>
      </c>
      <c r="GC48" s="265">
        <v>0</v>
      </c>
      <c r="GD48" s="265">
        <v>0</v>
      </c>
      <c r="GE48" s="265">
        <v>0</v>
      </c>
      <c r="GF48" s="265">
        <v>0</v>
      </c>
      <c r="GG48" s="265">
        <v>0</v>
      </c>
      <c r="GH48" s="265">
        <v>0</v>
      </c>
      <c r="GI48" s="265">
        <v>0</v>
      </c>
      <c r="GJ48" s="265">
        <v>0</v>
      </c>
      <c r="GK48" s="265">
        <v>0</v>
      </c>
      <c r="GL48" s="265">
        <v>0</v>
      </c>
      <c r="GM48" s="265">
        <v>0</v>
      </c>
      <c r="GN48" s="265">
        <v>0</v>
      </c>
      <c r="GO48" s="269">
        <v>0</v>
      </c>
      <c r="GP48" s="278">
        <v>0</v>
      </c>
      <c r="GQ48" s="265">
        <v>0</v>
      </c>
      <c r="GR48" s="265">
        <v>0</v>
      </c>
      <c r="GS48" s="265">
        <v>0</v>
      </c>
      <c r="GT48" s="265">
        <v>0</v>
      </c>
      <c r="GU48" s="265">
        <v>0</v>
      </c>
      <c r="GV48" s="265">
        <v>0</v>
      </c>
      <c r="GW48" s="265">
        <v>0</v>
      </c>
      <c r="GX48" s="265">
        <v>0</v>
      </c>
      <c r="GY48" s="265">
        <v>0</v>
      </c>
      <c r="GZ48" s="265">
        <v>0</v>
      </c>
      <c r="HA48" s="265">
        <v>0</v>
      </c>
      <c r="HB48" s="265">
        <v>0</v>
      </c>
      <c r="HC48" s="265">
        <v>0</v>
      </c>
      <c r="HD48" s="265">
        <v>0</v>
      </c>
      <c r="HE48" s="265">
        <v>0</v>
      </c>
      <c r="HF48" s="265">
        <v>0</v>
      </c>
      <c r="HG48" s="265">
        <v>0</v>
      </c>
      <c r="HH48" s="265">
        <v>0</v>
      </c>
      <c r="HI48" s="265"/>
      <c r="HJ48" s="265"/>
      <c r="HK48" s="265"/>
      <c r="HL48" s="265"/>
      <c r="HM48" s="265"/>
      <c r="HN48" s="265"/>
      <c r="HO48" s="265"/>
      <c r="HP48" s="265"/>
      <c r="HQ48" s="265"/>
      <c r="HR48" s="265"/>
      <c r="HS48" s="265"/>
      <c r="HT48" s="368"/>
      <c r="HU48" s="329">
        <f t="shared" si="140"/>
        <v>0</v>
      </c>
    </row>
    <row r="49" spans="1:229" s="7" customFormat="1" ht="15" customHeight="1" thickBot="1" x14ac:dyDescent="0.3">
      <c r="A49" s="2">
        <v>4</v>
      </c>
      <c r="B49" s="474"/>
      <c r="C49" s="3" t="s">
        <v>4</v>
      </c>
      <c r="D49" s="4" t="s">
        <v>20</v>
      </c>
      <c r="E49" s="5"/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09">
        <f t="shared" si="139"/>
        <v>0</v>
      </c>
      <c r="N49" s="139"/>
      <c r="O49" s="7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274"/>
      <c r="AQ49" s="162"/>
      <c r="AR49" s="7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274"/>
      <c r="BW49" s="162"/>
      <c r="BX49" s="7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265"/>
      <c r="CP49" s="265"/>
      <c r="CQ49" s="265"/>
      <c r="CR49" s="265"/>
      <c r="CS49" s="265"/>
      <c r="CT49" s="265"/>
      <c r="CU49" s="265"/>
      <c r="CV49" s="265"/>
      <c r="CW49" s="265"/>
      <c r="CX49" s="265"/>
      <c r="CY49" s="265"/>
      <c r="CZ49" s="265"/>
      <c r="DA49" s="269"/>
      <c r="DB49" s="278"/>
      <c r="DC49" s="265"/>
      <c r="DD49" s="265"/>
      <c r="DE49" s="265"/>
      <c r="DF49" s="265"/>
      <c r="DG49" s="265"/>
      <c r="DH49" s="265"/>
      <c r="DI49" s="265"/>
      <c r="DJ49" s="265"/>
      <c r="DK49" s="265"/>
      <c r="DL49" s="265"/>
      <c r="DM49" s="265"/>
      <c r="DN49" s="265"/>
      <c r="DO49" s="265"/>
      <c r="DP49" s="265"/>
      <c r="DQ49" s="265"/>
      <c r="DR49" s="265"/>
      <c r="DS49" s="265"/>
      <c r="DT49" s="265"/>
      <c r="DU49" s="265"/>
      <c r="DV49" s="265"/>
      <c r="DW49" s="265"/>
      <c r="DX49" s="265"/>
      <c r="DY49" s="265"/>
      <c r="DZ49" s="265"/>
      <c r="EA49" s="265"/>
      <c r="EB49" s="265"/>
      <c r="EC49" s="265"/>
      <c r="ED49" s="265"/>
      <c r="EE49" s="265"/>
      <c r="EF49" s="269"/>
      <c r="EG49" s="278"/>
      <c r="EH49" s="269"/>
      <c r="EI49" s="265"/>
      <c r="EJ49" s="265"/>
      <c r="EK49" s="265"/>
      <c r="EL49" s="265"/>
      <c r="EM49" s="265"/>
      <c r="EN49" s="265"/>
      <c r="EO49" s="265"/>
      <c r="EP49" s="265"/>
      <c r="EQ49" s="265"/>
      <c r="ER49" s="265"/>
      <c r="ES49" s="265"/>
      <c r="ET49" s="265"/>
      <c r="EU49" s="265">
        <v>0</v>
      </c>
      <c r="EV49" s="265">
        <v>0</v>
      </c>
      <c r="EW49" s="265">
        <v>0</v>
      </c>
      <c r="EX49" s="265">
        <v>0</v>
      </c>
      <c r="EY49" s="265">
        <v>0</v>
      </c>
      <c r="EZ49" s="265">
        <v>0</v>
      </c>
      <c r="FA49" s="265">
        <v>0</v>
      </c>
      <c r="FB49" s="265">
        <v>0</v>
      </c>
      <c r="FC49" s="265">
        <v>0</v>
      </c>
      <c r="FD49" s="265">
        <v>0</v>
      </c>
      <c r="FE49" s="265">
        <v>0</v>
      </c>
      <c r="FF49" s="265">
        <v>0</v>
      </c>
      <c r="FG49" s="265">
        <v>0</v>
      </c>
      <c r="FH49" s="265">
        <v>0</v>
      </c>
      <c r="FI49" s="265">
        <v>0</v>
      </c>
      <c r="FJ49" s="269">
        <v>0</v>
      </c>
      <c r="FK49" s="278">
        <v>0</v>
      </c>
      <c r="FL49" s="265">
        <v>0</v>
      </c>
      <c r="FM49" s="265">
        <v>0</v>
      </c>
      <c r="FN49" s="265">
        <v>0</v>
      </c>
      <c r="FO49" s="265">
        <v>0</v>
      </c>
      <c r="FP49" s="265">
        <v>0</v>
      </c>
      <c r="FQ49" s="265">
        <v>0</v>
      </c>
      <c r="FR49" s="265">
        <v>0</v>
      </c>
      <c r="FS49" s="265">
        <v>0</v>
      </c>
      <c r="FT49" s="265">
        <v>0</v>
      </c>
      <c r="FU49" s="265">
        <v>0</v>
      </c>
      <c r="FV49" s="265">
        <v>0</v>
      </c>
      <c r="FW49" s="265">
        <v>0</v>
      </c>
      <c r="FX49" s="265">
        <v>0</v>
      </c>
      <c r="FY49" s="265">
        <v>0</v>
      </c>
      <c r="FZ49" s="265">
        <v>0</v>
      </c>
      <c r="GA49" s="265">
        <v>0</v>
      </c>
      <c r="GB49" s="265">
        <v>0</v>
      </c>
      <c r="GC49" s="265">
        <v>0</v>
      </c>
      <c r="GD49" s="265">
        <v>0</v>
      </c>
      <c r="GE49" s="265">
        <v>0</v>
      </c>
      <c r="GF49" s="265">
        <v>0</v>
      </c>
      <c r="GG49" s="265">
        <v>0</v>
      </c>
      <c r="GH49" s="265">
        <v>0</v>
      </c>
      <c r="GI49" s="265">
        <v>0</v>
      </c>
      <c r="GJ49" s="265">
        <v>0</v>
      </c>
      <c r="GK49" s="265">
        <v>0</v>
      </c>
      <c r="GL49" s="265">
        <v>0</v>
      </c>
      <c r="GM49" s="265">
        <v>0</v>
      </c>
      <c r="GN49" s="265">
        <v>0</v>
      </c>
      <c r="GO49" s="269">
        <v>0</v>
      </c>
      <c r="GP49" s="278">
        <v>0</v>
      </c>
      <c r="GQ49" s="265">
        <v>0</v>
      </c>
      <c r="GR49" s="265">
        <v>0</v>
      </c>
      <c r="GS49" s="265">
        <v>0</v>
      </c>
      <c r="GT49" s="265">
        <v>0</v>
      </c>
      <c r="GU49" s="265">
        <v>0</v>
      </c>
      <c r="GV49" s="265">
        <v>0</v>
      </c>
      <c r="GW49" s="265">
        <v>0</v>
      </c>
      <c r="GX49" s="265">
        <v>0</v>
      </c>
      <c r="GY49" s="265">
        <v>0</v>
      </c>
      <c r="GZ49" s="265">
        <v>0</v>
      </c>
      <c r="HA49" s="265">
        <v>0</v>
      </c>
      <c r="HB49" s="265">
        <v>0</v>
      </c>
      <c r="HC49" s="265">
        <v>0</v>
      </c>
      <c r="HD49" s="265">
        <v>0</v>
      </c>
      <c r="HE49" s="265">
        <v>0</v>
      </c>
      <c r="HF49" s="265">
        <v>0</v>
      </c>
      <c r="HG49" s="265">
        <v>0</v>
      </c>
      <c r="HH49" s="265">
        <v>0</v>
      </c>
      <c r="HI49" s="265"/>
      <c r="HJ49" s="265"/>
      <c r="HK49" s="265"/>
      <c r="HL49" s="265"/>
      <c r="HM49" s="265"/>
      <c r="HN49" s="265"/>
      <c r="HO49" s="265"/>
      <c r="HP49" s="265"/>
      <c r="HQ49" s="265"/>
      <c r="HR49" s="265"/>
      <c r="HS49" s="265"/>
      <c r="HT49" s="368"/>
      <c r="HU49" s="329">
        <f t="shared" si="140"/>
        <v>0</v>
      </c>
    </row>
    <row r="50" spans="1:229" s="7" customFormat="1" ht="15" customHeight="1" thickBot="1" x14ac:dyDescent="0.3">
      <c r="A50" s="2">
        <v>5</v>
      </c>
      <c r="B50" s="474"/>
      <c r="C50" s="3" t="s">
        <v>5</v>
      </c>
      <c r="D50" s="4" t="s">
        <v>20</v>
      </c>
      <c r="E50" s="5"/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09">
        <f t="shared" si="139"/>
        <v>0</v>
      </c>
      <c r="N50" s="139"/>
      <c r="O50" s="7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274"/>
      <c r="AQ50" s="162"/>
      <c r="AR50" s="7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274"/>
      <c r="BW50" s="162"/>
      <c r="BX50" s="7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265"/>
      <c r="CP50" s="265"/>
      <c r="CQ50" s="265"/>
      <c r="CR50" s="265"/>
      <c r="CS50" s="265"/>
      <c r="CT50" s="265"/>
      <c r="CU50" s="265"/>
      <c r="CV50" s="265"/>
      <c r="CW50" s="265"/>
      <c r="CX50" s="265"/>
      <c r="CY50" s="265"/>
      <c r="CZ50" s="265"/>
      <c r="DA50" s="269"/>
      <c r="DB50" s="278"/>
      <c r="DC50" s="265"/>
      <c r="DD50" s="265"/>
      <c r="DE50" s="265"/>
      <c r="DF50" s="265"/>
      <c r="DG50" s="265"/>
      <c r="DH50" s="265"/>
      <c r="DI50" s="265"/>
      <c r="DJ50" s="265"/>
      <c r="DK50" s="265"/>
      <c r="DL50" s="265"/>
      <c r="DM50" s="265"/>
      <c r="DN50" s="265"/>
      <c r="DO50" s="265"/>
      <c r="DP50" s="265"/>
      <c r="DQ50" s="265"/>
      <c r="DR50" s="265"/>
      <c r="DS50" s="265"/>
      <c r="DT50" s="265"/>
      <c r="DU50" s="265"/>
      <c r="DV50" s="265"/>
      <c r="DW50" s="265"/>
      <c r="DX50" s="265"/>
      <c r="DY50" s="265"/>
      <c r="DZ50" s="265"/>
      <c r="EA50" s="265"/>
      <c r="EB50" s="265"/>
      <c r="EC50" s="265"/>
      <c r="ED50" s="265"/>
      <c r="EE50" s="265"/>
      <c r="EF50" s="269"/>
      <c r="EG50" s="278"/>
      <c r="EH50" s="269"/>
      <c r="EI50" s="265"/>
      <c r="EJ50" s="265"/>
      <c r="EK50" s="265"/>
      <c r="EL50" s="265"/>
      <c r="EM50" s="265"/>
      <c r="EN50" s="265"/>
      <c r="EO50" s="265"/>
      <c r="EP50" s="265"/>
      <c r="EQ50" s="265"/>
      <c r="ER50" s="265"/>
      <c r="ES50" s="265"/>
      <c r="ET50" s="265"/>
      <c r="EU50" s="265">
        <v>0</v>
      </c>
      <c r="EV50" s="265">
        <v>0</v>
      </c>
      <c r="EW50" s="265">
        <v>0</v>
      </c>
      <c r="EX50" s="265">
        <v>0</v>
      </c>
      <c r="EY50" s="265">
        <v>0</v>
      </c>
      <c r="EZ50" s="265">
        <v>0</v>
      </c>
      <c r="FA50" s="265">
        <v>0</v>
      </c>
      <c r="FB50" s="265">
        <v>0</v>
      </c>
      <c r="FC50" s="265">
        <v>0</v>
      </c>
      <c r="FD50" s="265">
        <v>0</v>
      </c>
      <c r="FE50" s="265">
        <v>0</v>
      </c>
      <c r="FF50" s="265">
        <v>0</v>
      </c>
      <c r="FG50" s="265">
        <v>0</v>
      </c>
      <c r="FH50" s="265">
        <v>0</v>
      </c>
      <c r="FI50" s="265">
        <v>0</v>
      </c>
      <c r="FJ50" s="269">
        <v>0</v>
      </c>
      <c r="FK50" s="278">
        <v>0</v>
      </c>
      <c r="FL50" s="265">
        <v>0</v>
      </c>
      <c r="FM50" s="265">
        <v>0</v>
      </c>
      <c r="FN50" s="265">
        <v>0</v>
      </c>
      <c r="FO50" s="265">
        <v>0</v>
      </c>
      <c r="FP50" s="265">
        <v>0</v>
      </c>
      <c r="FQ50" s="265">
        <v>0</v>
      </c>
      <c r="FR50" s="265">
        <v>0</v>
      </c>
      <c r="FS50" s="265">
        <v>0</v>
      </c>
      <c r="FT50" s="265">
        <v>0</v>
      </c>
      <c r="FU50" s="265">
        <v>0</v>
      </c>
      <c r="FV50" s="265">
        <v>0</v>
      </c>
      <c r="FW50" s="265">
        <v>0</v>
      </c>
      <c r="FX50" s="265">
        <v>0</v>
      </c>
      <c r="FY50" s="265">
        <v>0</v>
      </c>
      <c r="FZ50" s="265">
        <v>0</v>
      </c>
      <c r="GA50" s="265">
        <v>0</v>
      </c>
      <c r="GB50" s="265">
        <v>0</v>
      </c>
      <c r="GC50" s="265">
        <v>0</v>
      </c>
      <c r="GD50" s="265">
        <v>0</v>
      </c>
      <c r="GE50" s="265">
        <v>0</v>
      </c>
      <c r="GF50" s="265">
        <v>0</v>
      </c>
      <c r="GG50" s="265">
        <v>0</v>
      </c>
      <c r="GH50" s="265">
        <v>0</v>
      </c>
      <c r="GI50" s="265">
        <v>0</v>
      </c>
      <c r="GJ50" s="265">
        <v>0</v>
      </c>
      <c r="GK50" s="265">
        <v>0</v>
      </c>
      <c r="GL50" s="265">
        <v>0</v>
      </c>
      <c r="GM50" s="265">
        <v>0</v>
      </c>
      <c r="GN50" s="265">
        <v>0</v>
      </c>
      <c r="GO50" s="269">
        <v>0</v>
      </c>
      <c r="GP50" s="278">
        <v>0</v>
      </c>
      <c r="GQ50" s="265">
        <v>0</v>
      </c>
      <c r="GR50" s="265">
        <v>0</v>
      </c>
      <c r="GS50" s="265">
        <v>0</v>
      </c>
      <c r="GT50" s="265">
        <v>0</v>
      </c>
      <c r="GU50" s="265">
        <v>0</v>
      </c>
      <c r="GV50" s="265">
        <v>0</v>
      </c>
      <c r="GW50" s="265">
        <v>0</v>
      </c>
      <c r="GX50" s="265">
        <v>0</v>
      </c>
      <c r="GY50" s="265">
        <v>0</v>
      </c>
      <c r="GZ50" s="265">
        <v>0</v>
      </c>
      <c r="HA50" s="265">
        <v>0</v>
      </c>
      <c r="HB50" s="265">
        <v>0</v>
      </c>
      <c r="HC50" s="265">
        <v>0</v>
      </c>
      <c r="HD50" s="265">
        <v>0</v>
      </c>
      <c r="HE50" s="265">
        <v>0</v>
      </c>
      <c r="HF50" s="265">
        <v>0</v>
      </c>
      <c r="HG50" s="265">
        <v>0</v>
      </c>
      <c r="HH50" s="265">
        <v>0</v>
      </c>
      <c r="HI50" s="265"/>
      <c r="HJ50" s="265"/>
      <c r="HK50" s="265"/>
      <c r="HL50" s="265"/>
      <c r="HM50" s="265"/>
      <c r="HN50" s="265"/>
      <c r="HO50" s="265"/>
      <c r="HP50" s="265"/>
      <c r="HQ50" s="265"/>
      <c r="HR50" s="265"/>
      <c r="HS50" s="265"/>
      <c r="HT50" s="368"/>
      <c r="HU50" s="329">
        <f t="shared" si="140"/>
        <v>0</v>
      </c>
    </row>
    <row r="51" spans="1:229" s="7" customFormat="1" ht="15" customHeight="1" thickBot="1" x14ac:dyDescent="0.3">
      <c r="A51" s="2">
        <v>6</v>
      </c>
      <c r="B51" s="474"/>
      <c r="C51" s="3" t="s">
        <v>6</v>
      </c>
      <c r="D51" s="4" t="s">
        <v>20</v>
      </c>
      <c r="E51" s="5"/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09">
        <f t="shared" si="139"/>
        <v>0</v>
      </c>
      <c r="N51" s="139"/>
      <c r="O51" s="7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274"/>
      <c r="AQ51" s="162"/>
      <c r="AR51" s="7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274"/>
      <c r="BW51" s="162"/>
      <c r="BX51" s="7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265"/>
      <c r="CP51" s="265"/>
      <c r="CQ51" s="265"/>
      <c r="CR51" s="265"/>
      <c r="CS51" s="265"/>
      <c r="CT51" s="265"/>
      <c r="CU51" s="265"/>
      <c r="CV51" s="265"/>
      <c r="CW51" s="265"/>
      <c r="CX51" s="265"/>
      <c r="CY51" s="265"/>
      <c r="CZ51" s="265"/>
      <c r="DA51" s="269"/>
      <c r="DB51" s="278"/>
      <c r="DC51" s="265"/>
      <c r="DD51" s="265"/>
      <c r="DE51" s="265"/>
      <c r="DF51" s="265"/>
      <c r="DG51" s="265"/>
      <c r="DH51" s="265"/>
      <c r="DI51" s="265"/>
      <c r="DJ51" s="265"/>
      <c r="DK51" s="265"/>
      <c r="DL51" s="265"/>
      <c r="DM51" s="265"/>
      <c r="DN51" s="265"/>
      <c r="DO51" s="265"/>
      <c r="DP51" s="265"/>
      <c r="DQ51" s="265"/>
      <c r="DR51" s="265"/>
      <c r="DS51" s="265"/>
      <c r="DT51" s="265"/>
      <c r="DU51" s="265"/>
      <c r="DV51" s="265"/>
      <c r="DW51" s="265"/>
      <c r="DX51" s="265"/>
      <c r="DY51" s="265"/>
      <c r="DZ51" s="265"/>
      <c r="EA51" s="265"/>
      <c r="EB51" s="265"/>
      <c r="EC51" s="265"/>
      <c r="ED51" s="265"/>
      <c r="EE51" s="265"/>
      <c r="EF51" s="269"/>
      <c r="EG51" s="278"/>
      <c r="EH51" s="269"/>
      <c r="EI51" s="265"/>
      <c r="EJ51" s="265"/>
      <c r="EK51" s="265"/>
      <c r="EL51" s="265"/>
      <c r="EM51" s="265"/>
      <c r="EN51" s="265"/>
      <c r="EO51" s="265"/>
      <c r="EP51" s="265"/>
      <c r="EQ51" s="265"/>
      <c r="ER51" s="265"/>
      <c r="ES51" s="265"/>
      <c r="ET51" s="265"/>
      <c r="EU51" s="265">
        <v>0</v>
      </c>
      <c r="EV51" s="265">
        <v>0</v>
      </c>
      <c r="EW51" s="265">
        <v>0</v>
      </c>
      <c r="EX51" s="265">
        <v>0</v>
      </c>
      <c r="EY51" s="265">
        <v>0</v>
      </c>
      <c r="EZ51" s="265">
        <v>0</v>
      </c>
      <c r="FA51" s="265">
        <v>0</v>
      </c>
      <c r="FB51" s="265">
        <v>0</v>
      </c>
      <c r="FC51" s="265">
        <v>0</v>
      </c>
      <c r="FD51" s="265">
        <v>0</v>
      </c>
      <c r="FE51" s="265">
        <v>0</v>
      </c>
      <c r="FF51" s="265">
        <v>0</v>
      </c>
      <c r="FG51" s="265">
        <v>0</v>
      </c>
      <c r="FH51" s="265">
        <v>0</v>
      </c>
      <c r="FI51" s="265">
        <v>0</v>
      </c>
      <c r="FJ51" s="269">
        <v>0</v>
      </c>
      <c r="FK51" s="278">
        <v>0</v>
      </c>
      <c r="FL51" s="265">
        <v>0</v>
      </c>
      <c r="FM51" s="265">
        <v>0</v>
      </c>
      <c r="FN51" s="265">
        <v>0</v>
      </c>
      <c r="FO51" s="265">
        <v>0</v>
      </c>
      <c r="FP51" s="265">
        <v>0</v>
      </c>
      <c r="FQ51" s="265">
        <v>0</v>
      </c>
      <c r="FR51" s="265">
        <v>0</v>
      </c>
      <c r="FS51" s="265">
        <v>0</v>
      </c>
      <c r="FT51" s="265">
        <v>0</v>
      </c>
      <c r="FU51" s="265">
        <v>0</v>
      </c>
      <c r="FV51" s="265">
        <v>0</v>
      </c>
      <c r="FW51" s="265">
        <v>0</v>
      </c>
      <c r="FX51" s="265">
        <v>0</v>
      </c>
      <c r="FY51" s="265">
        <v>0</v>
      </c>
      <c r="FZ51" s="265">
        <v>0</v>
      </c>
      <c r="GA51" s="265">
        <v>0</v>
      </c>
      <c r="GB51" s="265">
        <v>0</v>
      </c>
      <c r="GC51" s="265">
        <v>0</v>
      </c>
      <c r="GD51" s="265">
        <v>0</v>
      </c>
      <c r="GE51" s="265">
        <v>0</v>
      </c>
      <c r="GF51" s="265">
        <v>0</v>
      </c>
      <c r="GG51" s="265">
        <v>0</v>
      </c>
      <c r="GH51" s="265">
        <v>0</v>
      </c>
      <c r="GI51" s="265">
        <v>0</v>
      </c>
      <c r="GJ51" s="265">
        <v>0</v>
      </c>
      <c r="GK51" s="265">
        <v>0</v>
      </c>
      <c r="GL51" s="265">
        <v>0</v>
      </c>
      <c r="GM51" s="265">
        <v>0</v>
      </c>
      <c r="GN51" s="265">
        <v>0</v>
      </c>
      <c r="GO51" s="269">
        <v>0</v>
      </c>
      <c r="GP51" s="278">
        <v>0</v>
      </c>
      <c r="GQ51" s="265">
        <v>0</v>
      </c>
      <c r="GR51" s="265">
        <v>0</v>
      </c>
      <c r="GS51" s="265">
        <v>0</v>
      </c>
      <c r="GT51" s="265">
        <v>0</v>
      </c>
      <c r="GU51" s="265">
        <v>0</v>
      </c>
      <c r="GV51" s="265">
        <v>0</v>
      </c>
      <c r="GW51" s="265">
        <v>0</v>
      </c>
      <c r="GX51" s="265">
        <v>0</v>
      </c>
      <c r="GY51" s="265">
        <v>0</v>
      </c>
      <c r="GZ51" s="265">
        <v>0</v>
      </c>
      <c r="HA51" s="265">
        <v>0</v>
      </c>
      <c r="HB51" s="265">
        <v>0</v>
      </c>
      <c r="HC51" s="265">
        <v>0</v>
      </c>
      <c r="HD51" s="265">
        <v>0</v>
      </c>
      <c r="HE51" s="265">
        <v>0</v>
      </c>
      <c r="HF51" s="265">
        <v>0</v>
      </c>
      <c r="HG51" s="265">
        <v>0</v>
      </c>
      <c r="HH51" s="265">
        <v>0</v>
      </c>
      <c r="HI51" s="265"/>
      <c r="HJ51" s="265"/>
      <c r="HK51" s="265"/>
      <c r="HL51" s="265"/>
      <c r="HM51" s="265"/>
      <c r="HN51" s="265"/>
      <c r="HO51" s="265"/>
      <c r="HP51" s="265"/>
      <c r="HQ51" s="265"/>
      <c r="HR51" s="265"/>
      <c r="HS51" s="265"/>
      <c r="HT51" s="368"/>
      <c r="HU51" s="329">
        <f t="shared" si="140"/>
        <v>0</v>
      </c>
    </row>
    <row r="52" spans="1:229" s="7" customFormat="1" ht="15" customHeight="1" thickBot="1" x14ac:dyDescent="0.3">
      <c r="A52" s="2">
        <v>7</v>
      </c>
      <c r="B52" s="474"/>
      <c r="C52" s="3" t="s">
        <v>7</v>
      </c>
      <c r="D52" s="4" t="s">
        <v>20</v>
      </c>
      <c r="E52" s="5"/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09">
        <f t="shared" si="139"/>
        <v>0</v>
      </c>
      <c r="N52" s="139"/>
      <c r="O52" s="7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274"/>
      <c r="AQ52" s="162"/>
      <c r="AR52" s="7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274"/>
      <c r="BW52" s="162"/>
      <c r="BX52" s="7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265"/>
      <c r="CP52" s="265"/>
      <c r="CQ52" s="265"/>
      <c r="CR52" s="265"/>
      <c r="CS52" s="265"/>
      <c r="CT52" s="265"/>
      <c r="CU52" s="265"/>
      <c r="CV52" s="265"/>
      <c r="CW52" s="265"/>
      <c r="CX52" s="265"/>
      <c r="CY52" s="265"/>
      <c r="CZ52" s="265"/>
      <c r="DA52" s="269"/>
      <c r="DB52" s="278"/>
      <c r="DC52" s="265"/>
      <c r="DD52" s="265"/>
      <c r="DE52" s="265"/>
      <c r="DF52" s="265"/>
      <c r="DG52" s="265"/>
      <c r="DH52" s="265"/>
      <c r="DI52" s="265"/>
      <c r="DJ52" s="265"/>
      <c r="DK52" s="265"/>
      <c r="DL52" s="265"/>
      <c r="DM52" s="265"/>
      <c r="DN52" s="265"/>
      <c r="DO52" s="265"/>
      <c r="DP52" s="265"/>
      <c r="DQ52" s="265"/>
      <c r="DR52" s="265"/>
      <c r="DS52" s="265"/>
      <c r="DT52" s="265"/>
      <c r="DU52" s="265"/>
      <c r="DV52" s="265"/>
      <c r="DW52" s="265"/>
      <c r="DX52" s="265"/>
      <c r="DY52" s="265"/>
      <c r="DZ52" s="265"/>
      <c r="EA52" s="265"/>
      <c r="EB52" s="265"/>
      <c r="EC52" s="265"/>
      <c r="ED52" s="265"/>
      <c r="EE52" s="265"/>
      <c r="EF52" s="269"/>
      <c r="EG52" s="278"/>
      <c r="EH52" s="269"/>
      <c r="EI52" s="265"/>
      <c r="EJ52" s="265"/>
      <c r="EK52" s="265"/>
      <c r="EL52" s="265"/>
      <c r="EM52" s="265"/>
      <c r="EN52" s="265"/>
      <c r="EO52" s="265"/>
      <c r="EP52" s="265"/>
      <c r="EQ52" s="265"/>
      <c r="ER52" s="265"/>
      <c r="ES52" s="265"/>
      <c r="ET52" s="265"/>
      <c r="EU52" s="265">
        <v>0</v>
      </c>
      <c r="EV52" s="265">
        <v>0</v>
      </c>
      <c r="EW52" s="265">
        <v>0</v>
      </c>
      <c r="EX52" s="265">
        <v>0</v>
      </c>
      <c r="EY52" s="265">
        <v>0</v>
      </c>
      <c r="EZ52" s="265">
        <v>0</v>
      </c>
      <c r="FA52" s="265">
        <v>0</v>
      </c>
      <c r="FB52" s="265">
        <v>0</v>
      </c>
      <c r="FC52" s="265">
        <v>0</v>
      </c>
      <c r="FD52" s="265">
        <v>0</v>
      </c>
      <c r="FE52" s="265">
        <v>0</v>
      </c>
      <c r="FF52" s="265">
        <v>0</v>
      </c>
      <c r="FG52" s="265">
        <v>0</v>
      </c>
      <c r="FH52" s="265">
        <v>0</v>
      </c>
      <c r="FI52" s="265">
        <v>0</v>
      </c>
      <c r="FJ52" s="269">
        <v>0</v>
      </c>
      <c r="FK52" s="278">
        <v>0</v>
      </c>
      <c r="FL52" s="265">
        <v>0</v>
      </c>
      <c r="FM52" s="265">
        <v>0</v>
      </c>
      <c r="FN52" s="265">
        <v>0</v>
      </c>
      <c r="FO52" s="265">
        <v>0</v>
      </c>
      <c r="FP52" s="265">
        <v>0</v>
      </c>
      <c r="FQ52" s="265">
        <v>0</v>
      </c>
      <c r="FR52" s="265">
        <v>0</v>
      </c>
      <c r="FS52" s="265">
        <v>0</v>
      </c>
      <c r="FT52" s="265">
        <v>0</v>
      </c>
      <c r="FU52" s="265">
        <v>0</v>
      </c>
      <c r="FV52" s="265">
        <v>0</v>
      </c>
      <c r="FW52" s="265">
        <v>0</v>
      </c>
      <c r="FX52" s="265">
        <v>0</v>
      </c>
      <c r="FY52" s="265">
        <v>0</v>
      </c>
      <c r="FZ52" s="265">
        <v>0</v>
      </c>
      <c r="GA52" s="265">
        <v>0</v>
      </c>
      <c r="GB52" s="265">
        <v>0</v>
      </c>
      <c r="GC52" s="265">
        <v>0</v>
      </c>
      <c r="GD52" s="265">
        <v>0</v>
      </c>
      <c r="GE52" s="265">
        <v>0</v>
      </c>
      <c r="GF52" s="265">
        <v>0</v>
      </c>
      <c r="GG52" s="265">
        <v>0</v>
      </c>
      <c r="GH52" s="265">
        <v>0</v>
      </c>
      <c r="GI52" s="265">
        <v>0</v>
      </c>
      <c r="GJ52" s="265">
        <v>0</v>
      </c>
      <c r="GK52" s="265">
        <v>0</v>
      </c>
      <c r="GL52" s="265">
        <v>0</v>
      </c>
      <c r="GM52" s="265">
        <v>0</v>
      </c>
      <c r="GN52" s="265">
        <v>0</v>
      </c>
      <c r="GO52" s="269">
        <v>0</v>
      </c>
      <c r="GP52" s="278">
        <v>0</v>
      </c>
      <c r="GQ52" s="265">
        <v>0</v>
      </c>
      <c r="GR52" s="265">
        <v>0</v>
      </c>
      <c r="GS52" s="265">
        <v>0</v>
      </c>
      <c r="GT52" s="265">
        <v>0</v>
      </c>
      <c r="GU52" s="265">
        <v>0</v>
      </c>
      <c r="GV52" s="265">
        <v>0</v>
      </c>
      <c r="GW52" s="265">
        <v>0</v>
      </c>
      <c r="GX52" s="265">
        <v>0</v>
      </c>
      <c r="GY52" s="265">
        <v>0</v>
      </c>
      <c r="GZ52" s="265">
        <v>0</v>
      </c>
      <c r="HA52" s="265">
        <v>0</v>
      </c>
      <c r="HB52" s="265">
        <v>0</v>
      </c>
      <c r="HC52" s="265">
        <v>0</v>
      </c>
      <c r="HD52" s="265">
        <v>0</v>
      </c>
      <c r="HE52" s="265">
        <v>0</v>
      </c>
      <c r="HF52" s="265">
        <v>0</v>
      </c>
      <c r="HG52" s="265">
        <v>0</v>
      </c>
      <c r="HH52" s="265">
        <v>0</v>
      </c>
      <c r="HI52" s="265"/>
      <c r="HJ52" s="265"/>
      <c r="HK52" s="265"/>
      <c r="HL52" s="265"/>
      <c r="HM52" s="265"/>
      <c r="HN52" s="265"/>
      <c r="HO52" s="265"/>
      <c r="HP52" s="265"/>
      <c r="HQ52" s="265"/>
      <c r="HR52" s="265"/>
      <c r="HS52" s="265"/>
      <c r="HT52" s="368"/>
      <c r="HU52" s="329">
        <f t="shared" si="140"/>
        <v>0</v>
      </c>
    </row>
    <row r="53" spans="1:229" s="7" customFormat="1" ht="15" customHeight="1" thickBot="1" x14ac:dyDescent="0.3">
      <c r="A53" s="2">
        <v>8</v>
      </c>
      <c r="B53" s="474"/>
      <c r="C53" s="3" t="s">
        <v>8</v>
      </c>
      <c r="D53" s="4" t="s">
        <v>20</v>
      </c>
      <c r="E53" s="5"/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09">
        <f t="shared" si="139"/>
        <v>0</v>
      </c>
      <c r="N53" s="139"/>
      <c r="O53" s="7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274"/>
      <c r="AQ53" s="162"/>
      <c r="AR53" s="7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274"/>
      <c r="BW53" s="162"/>
      <c r="BX53" s="7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265"/>
      <c r="CP53" s="265"/>
      <c r="CQ53" s="265"/>
      <c r="CR53" s="265"/>
      <c r="CS53" s="265"/>
      <c r="CT53" s="265"/>
      <c r="CU53" s="265"/>
      <c r="CV53" s="265"/>
      <c r="CW53" s="265"/>
      <c r="CX53" s="265"/>
      <c r="CY53" s="265"/>
      <c r="CZ53" s="265"/>
      <c r="DA53" s="269"/>
      <c r="DB53" s="278"/>
      <c r="DC53" s="265"/>
      <c r="DD53" s="265"/>
      <c r="DE53" s="265"/>
      <c r="DF53" s="265"/>
      <c r="DG53" s="265"/>
      <c r="DH53" s="265"/>
      <c r="DI53" s="265"/>
      <c r="DJ53" s="265"/>
      <c r="DK53" s="265"/>
      <c r="DL53" s="265"/>
      <c r="DM53" s="265"/>
      <c r="DN53" s="265"/>
      <c r="DO53" s="265"/>
      <c r="DP53" s="265"/>
      <c r="DQ53" s="265"/>
      <c r="DR53" s="265"/>
      <c r="DS53" s="265"/>
      <c r="DT53" s="265"/>
      <c r="DU53" s="265"/>
      <c r="DV53" s="265"/>
      <c r="DW53" s="265"/>
      <c r="DX53" s="265"/>
      <c r="DY53" s="265"/>
      <c r="DZ53" s="265"/>
      <c r="EA53" s="265"/>
      <c r="EB53" s="265"/>
      <c r="EC53" s="265"/>
      <c r="ED53" s="265"/>
      <c r="EE53" s="265"/>
      <c r="EF53" s="269"/>
      <c r="EG53" s="278"/>
      <c r="EH53" s="269"/>
      <c r="EI53" s="265"/>
      <c r="EJ53" s="265"/>
      <c r="EK53" s="265"/>
      <c r="EL53" s="265"/>
      <c r="EM53" s="265"/>
      <c r="EN53" s="265"/>
      <c r="EO53" s="265"/>
      <c r="EP53" s="265"/>
      <c r="EQ53" s="265"/>
      <c r="ER53" s="265"/>
      <c r="ES53" s="265"/>
      <c r="ET53" s="265"/>
      <c r="EU53" s="265">
        <v>0</v>
      </c>
      <c r="EV53" s="265">
        <v>0</v>
      </c>
      <c r="EW53" s="265">
        <v>0</v>
      </c>
      <c r="EX53" s="265">
        <v>0</v>
      </c>
      <c r="EY53" s="265">
        <v>0</v>
      </c>
      <c r="EZ53" s="265">
        <v>0</v>
      </c>
      <c r="FA53" s="265">
        <v>0</v>
      </c>
      <c r="FB53" s="265">
        <v>0</v>
      </c>
      <c r="FC53" s="265">
        <v>0</v>
      </c>
      <c r="FD53" s="265">
        <v>0</v>
      </c>
      <c r="FE53" s="265">
        <v>0</v>
      </c>
      <c r="FF53" s="265">
        <v>0</v>
      </c>
      <c r="FG53" s="265">
        <v>0</v>
      </c>
      <c r="FH53" s="265">
        <v>0</v>
      </c>
      <c r="FI53" s="265">
        <v>0</v>
      </c>
      <c r="FJ53" s="269">
        <v>0</v>
      </c>
      <c r="FK53" s="278">
        <v>0</v>
      </c>
      <c r="FL53" s="265">
        <v>0</v>
      </c>
      <c r="FM53" s="265">
        <v>0</v>
      </c>
      <c r="FN53" s="265">
        <v>0</v>
      </c>
      <c r="FO53" s="265">
        <v>0</v>
      </c>
      <c r="FP53" s="265">
        <v>0</v>
      </c>
      <c r="FQ53" s="265">
        <v>0</v>
      </c>
      <c r="FR53" s="265">
        <v>0</v>
      </c>
      <c r="FS53" s="265">
        <v>0</v>
      </c>
      <c r="FT53" s="265">
        <v>0</v>
      </c>
      <c r="FU53" s="265">
        <v>0</v>
      </c>
      <c r="FV53" s="265">
        <v>0</v>
      </c>
      <c r="FW53" s="265">
        <v>0</v>
      </c>
      <c r="FX53" s="265">
        <v>0</v>
      </c>
      <c r="FY53" s="265">
        <v>0</v>
      </c>
      <c r="FZ53" s="265">
        <v>0</v>
      </c>
      <c r="GA53" s="265">
        <v>0</v>
      </c>
      <c r="GB53" s="265">
        <v>0</v>
      </c>
      <c r="GC53" s="265">
        <v>0</v>
      </c>
      <c r="GD53" s="265">
        <v>0</v>
      </c>
      <c r="GE53" s="265">
        <v>0</v>
      </c>
      <c r="GF53" s="265">
        <v>0</v>
      </c>
      <c r="GG53" s="265">
        <v>0</v>
      </c>
      <c r="GH53" s="265">
        <v>0</v>
      </c>
      <c r="GI53" s="265">
        <v>0</v>
      </c>
      <c r="GJ53" s="265">
        <v>0</v>
      </c>
      <c r="GK53" s="265">
        <v>0</v>
      </c>
      <c r="GL53" s="265">
        <v>0</v>
      </c>
      <c r="GM53" s="265">
        <v>0</v>
      </c>
      <c r="GN53" s="265">
        <v>0</v>
      </c>
      <c r="GO53" s="269">
        <v>0</v>
      </c>
      <c r="GP53" s="278">
        <v>0</v>
      </c>
      <c r="GQ53" s="265">
        <v>0</v>
      </c>
      <c r="GR53" s="265">
        <v>0</v>
      </c>
      <c r="GS53" s="265">
        <v>0</v>
      </c>
      <c r="GT53" s="265">
        <v>0</v>
      </c>
      <c r="GU53" s="265">
        <v>0</v>
      </c>
      <c r="GV53" s="265">
        <v>0</v>
      </c>
      <c r="GW53" s="265">
        <v>0</v>
      </c>
      <c r="GX53" s="265">
        <v>0</v>
      </c>
      <c r="GY53" s="265">
        <v>0</v>
      </c>
      <c r="GZ53" s="265">
        <v>0</v>
      </c>
      <c r="HA53" s="265">
        <v>0</v>
      </c>
      <c r="HB53" s="265">
        <v>0</v>
      </c>
      <c r="HC53" s="265">
        <v>0</v>
      </c>
      <c r="HD53" s="265">
        <v>0</v>
      </c>
      <c r="HE53" s="265">
        <v>0</v>
      </c>
      <c r="HF53" s="265">
        <v>0</v>
      </c>
      <c r="HG53" s="265">
        <v>0</v>
      </c>
      <c r="HH53" s="265">
        <v>0</v>
      </c>
      <c r="HI53" s="265"/>
      <c r="HJ53" s="265"/>
      <c r="HK53" s="265"/>
      <c r="HL53" s="265"/>
      <c r="HM53" s="265"/>
      <c r="HN53" s="265"/>
      <c r="HO53" s="265"/>
      <c r="HP53" s="265"/>
      <c r="HQ53" s="265"/>
      <c r="HR53" s="265"/>
      <c r="HS53" s="265"/>
      <c r="HT53" s="368"/>
      <c r="HU53" s="329">
        <f t="shared" si="140"/>
        <v>0</v>
      </c>
    </row>
    <row r="54" spans="1:229" s="7" customFormat="1" ht="15" customHeight="1" thickBot="1" x14ac:dyDescent="0.3">
      <c r="A54" s="2">
        <v>9</v>
      </c>
      <c r="B54" s="474"/>
      <c r="C54" s="3" t="s">
        <v>9</v>
      </c>
      <c r="D54" s="4" t="s">
        <v>20</v>
      </c>
      <c r="E54" s="5"/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09">
        <f t="shared" si="139"/>
        <v>0</v>
      </c>
      <c r="N54" s="139"/>
      <c r="O54" s="7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274"/>
      <c r="AQ54" s="162"/>
      <c r="AR54" s="7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274"/>
      <c r="BW54" s="162"/>
      <c r="BX54" s="7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265"/>
      <c r="CP54" s="265"/>
      <c r="CQ54" s="265"/>
      <c r="CR54" s="265"/>
      <c r="CS54" s="265"/>
      <c r="CT54" s="265"/>
      <c r="CU54" s="265"/>
      <c r="CV54" s="265"/>
      <c r="CW54" s="265"/>
      <c r="CX54" s="265"/>
      <c r="CY54" s="265"/>
      <c r="CZ54" s="265"/>
      <c r="DA54" s="269"/>
      <c r="DB54" s="278"/>
      <c r="DC54" s="265"/>
      <c r="DD54" s="265"/>
      <c r="DE54" s="265"/>
      <c r="DF54" s="265"/>
      <c r="DG54" s="265"/>
      <c r="DH54" s="265"/>
      <c r="DI54" s="265"/>
      <c r="DJ54" s="265"/>
      <c r="DK54" s="265"/>
      <c r="DL54" s="265"/>
      <c r="DM54" s="265"/>
      <c r="DN54" s="265"/>
      <c r="DO54" s="265"/>
      <c r="DP54" s="265"/>
      <c r="DQ54" s="265"/>
      <c r="DR54" s="265"/>
      <c r="DS54" s="265"/>
      <c r="DT54" s="265"/>
      <c r="DU54" s="265"/>
      <c r="DV54" s="265"/>
      <c r="DW54" s="265"/>
      <c r="DX54" s="265"/>
      <c r="DY54" s="265"/>
      <c r="DZ54" s="265"/>
      <c r="EA54" s="265"/>
      <c r="EB54" s="265"/>
      <c r="EC54" s="265"/>
      <c r="ED54" s="265"/>
      <c r="EE54" s="265"/>
      <c r="EF54" s="269"/>
      <c r="EG54" s="278"/>
      <c r="EH54" s="269"/>
      <c r="EI54" s="265"/>
      <c r="EJ54" s="265"/>
      <c r="EK54" s="265"/>
      <c r="EL54" s="265"/>
      <c r="EM54" s="265"/>
      <c r="EN54" s="265"/>
      <c r="EO54" s="265"/>
      <c r="EP54" s="265"/>
      <c r="EQ54" s="265"/>
      <c r="ER54" s="265"/>
      <c r="ES54" s="265"/>
      <c r="ET54" s="265"/>
      <c r="EU54" s="265">
        <v>0</v>
      </c>
      <c r="EV54" s="265">
        <v>0</v>
      </c>
      <c r="EW54" s="265">
        <v>0</v>
      </c>
      <c r="EX54" s="265">
        <v>0</v>
      </c>
      <c r="EY54" s="265">
        <v>0</v>
      </c>
      <c r="EZ54" s="265">
        <v>0</v>
      </c>
      <c r="FA54" s="265">
        <v>0</v>
      </c>
      <c r="FB54" s="265">
        <v>0</v>
      </c>
      <c r="FC54" s="265">
        <v>0</v>
      </c>
      <c r="FD54" s="265">
        <v>0</v>
      </c>
      <c r="FE54" s="265">
        <v>0</v>
      </c>
      <c r="FF54" s="265">
        <v>0</v>
      </c>
      <c r="FG54" s="265">
        <v>0</v>
      </c>
      <c r="FH54" s="265">
        <v>0</v>
      </c>
      <c r="FI54" s="265">
        <v>0</v>
      </c>
      <c r="FJ54" s="269">
        <v>0</v>
      </c>
      <c r="FK54" s="278">
        <v>0</v>
      </c>
      <c r="FL54" s="265">
        <v>0</v>
      </c>
      <c r="FM54" s="265">
        <v>0</v>
      </c>
      <c r="FN54" s="265">
        <v>0</v>
      </c>
      <c r="FO54" s="265">
        <v>0</v>
      </c>
      <c r="FP54" s="265">
        <v>0</v>
      </c>
      <c r="FQ54" s="265">
        <v>0</v>
      </c>
      <c r="FR54" s="265">
        <v>0</v>
      </c>
      <c r="FS54" s="265">
        <v>0</v>
      </c>
      <c r="FT54" s="265">
        <v>0</v>
      </c>
      <c r="FU54" s="265">
        <v>0</v>
      </c>
      <c r="FV54" s="265">
        <v>0</v>
      </c>
      <c r="FW54" s="265">
        <v>0</v>
      </c>
      <c r="FX54" s="265">
        <v>0</v>
      </c>
      <c r="FY54" s="265">
        <v>0</v>
      </c>
      <c r="FZ54" s="265">
        <v>0</v>
      </c>
      <c r="GA54" s="265">
        <v>0</v>
      </c>
      <c r="GB54" s="265">
        <v>0</v>
      </c>
      <c r="GC54" s="265">
        <v>0</v>
      </c>
      <c r="GD54" s="265">
        <v>0</v>
      </c>
      <c r="GE54" s="265">
        <v>0</v>
      </c>
      <c r="GF54" s="265">
        <v>0</v>
      </c>
      <c r="GG54" s="265">
        <v>0</v>
      </c>
      <c r="GH54" s="265">
        <v>0</v>
      </c>
      <c r="GI54" s="265">
        <v>0</v>
      </c>
      <c r="GJ54" s="265">
        <v>0</v>
      </c>
      <c r="GK54" s="265">
        <v>0</v>
      </c>
      <c r="GL54" s="265">
        <v>0</v>
      </c>
      <c r="GM54" s="265">
        <v>0</v>
      </c>
      <c r="GN54" s="265">
        <v>0</v>
      </c>
      <c r="GO54" s="269">
        <v>0</v>
      </c>
      <c r="GP54" s="278">
        <v>0</v>
      </c>
      <c r="GQ54" s="265">
        <v>0</v>
      </c>
      <c r="GR54" s="265">
        <v>0</v>
      </c>
      <c r="GS54" s="265">
        <v>0</v>
      </c>
      <c r="GT54" s="265">
        <v>0</v>
      </c>
      <c r="GU54" s="265">
        <v>0</v>
      </c>
      <c r="GV54" s="265">
        <v>0</v>
      </c>
      <c r="GW54" s="265">
        <v>0</v>
      </c>
      <c r="GX54" s="265">
        <v>0</v>
      </c>
      <c r="GY54" s="265">
        <v>0</v>
      </c>
      <c r="GZ54" s="265">
        <v>0</v>
      </c>
      <c r="HA54" s="265">
        <v>0</v>
      </c>
      <c r="HB54" s="265">
        <v>0</v>
      </c>
      <c r="HC54" s="265">
        <v>0</v>
      </c>
      <c r="HD54" s="265">
        <v>0</v>
      </c>
      <c r="HE54" s="265">
        <v>0</v>
      </c>
      <c r="HF54" s="265">
        <v>0</v>
      </c>
      <c r="HG54" s="265">
        <v>0</v>
      </c>
      <c r="HH54" s="265">
        <v>0</v>
      </c>
      <c r="HI54" s="265"/>
      <c r="HJ54" s="265"/>
      <c r="HK54" s="265"/>
      <c r="HL54" s="265"/>
      <c r="HM54" s="265"/>
      <c r="HN54" s="265"/>
      <c r="HO54" s="265"/>
      <c r="HP54" s="265"/>
      <c r="HQ54" s="265"/>
      <c r="HR54" s="265"/>
      <c r="HS54" s="265"/>
      <c r="HT54" s="368"/>
      <c r="HU54" s="329">
        <f t="shared" si="140"/>
        <v>0</v>
      </c>
    </row>
    <row r="55" spans="1:229" s="7" customFormat="1" ht="15" customHeight="1" thickBot="1" x14ac:dyDescent="0.3">
      <c r="A55" s="2">
        <v>10</v>
      </c>
      <c r="B55" s="474"/>
      <c r="C55" s="3" t="s">
        <v>10</v>
      </c>
      <c r="D55" s="4" t="s">
        <v>20</v>
      </c>
      <c r="E55" s="5"/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09">
        <f t="shared" si="139"/>
        <v>0</v>
      </c>
      <c r="N55" s="139"/>
      <c r="O55" s="7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274"/>
      <c r="AQ55" s="162"/>
      <c r="AR55" s="7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274"/>
      <c r="BW55" s="162"/>
      <c r="BX55" s="7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265"/>
      <c r="CP55" s="265"/>
      <c r="CQ55" s="265"/>
      <c r="CR55" s="265"/>
      <c r="CS55" s="265"/>
      <c r="CT55" s="265"/>
      <c r="CU55" s="265"/>
      <c r="CV55" s="265"/>
      <c r="CW55" s="265"/>
      <c r="CX55" s="265"/>
      <c r="CY55" s="265"/>
      <c r="CZ55" s="265"/>
      <c r="DA55" s="269"/>
      <c r="DB55" s="278"/>
      <c r="DC55" s="265"/>
      <c r="DD55" s="265"/>
      <c r="DE55" s="265"/>
      <c r="DF55" s="265"/>
      <c r="DG55" s="265"/>
      <c r="DH55" s="265"/>
      <c r="DI55" s="265"/>
      <c r="DJ55" s="265"/>
      <c r="DK55" s="265"/>
      <c r="DL55" s="265"/>
      <c r="DM55" s="265"/>
      <c r="DN55" s="265"/>
      <c r="DO55" s="265"/>
      <c r="DP55" s="265"/>
      <c r="DQ55" s="265"/>
      <c r="DR55" s="265"/>
      <c r="DS55" s="265"/>
      <c r="DT55" s="265"/>
      <c r="DU55" s="265"/>
      <c r="DV55" s="265"/>
      <c r="DW55" s="265"/>
      <c r="DX55" s="265"/>
      <c r="DY55" s="265"/>
      <c r="DZ55" s="265"/>
      <c r="EA55" s="265"/>
      <c r="EB55" s="265"/>
      <c r="EC55" s="265"/>
      <c r="ED55" s="265"/>
      <c r="EE55" s="265"/>
      <c r="EF55" s="269"/>
      <c r="EG55" s="278"/>
      <c r="EH55" s="269"/>
      <c r="EI55" s="265"/>
      <c r="EJ55" s="265"/>
      <c r="EK55" s="265"/>
      <c r="EL55" s="265"/>
      <c r="EM55" s="265"/>
      <c r="EN55" s="265"/>
      <c r="EO55" s="265"/>
      <c r="EP55" s="265"/>
      <c r="EQ55" s="265"/>
      <c r="ER55" s="265"/>
      <c r="ES55" s="265"/>
      <c r="ET55" s="265"/>
      <c r="EU55" s="265">
        <v>0</v>
      </c>
      <c r="EV55" s="265">
        <v>0</v>
      </c>
      <c r="EW55" s="265">
        <v>0</v>
      </c>
      <c r="EX55" s="265">
        <v>0</v>
      </c>
      <c r="EY55" s="265">
        <v>0</v>
      </c>
      <c r="EZ55" s="265">
        <v>0</v>
      </c>
      <c r="FA55" s="265">
        <v>0</v>
      </c>
      <c r="FB55" s="265">
        <v>0</v>
      </c>
      <c r="FC55" s="265">
        <v>0</v>
      </c>
      <c r="FD55" s="265">
        <v>0</v>
      </c>
      <c r="FE55" s="265">
        <v>0</v>
      </c>
      <c r="FF55" s="265">
        <v>0</v>
      </c>
      <c r="FG55" s="265">
        <v>0</v>
      </c>
      <c r="FH55" s="265">
        <v>0</v>
      </c>
      <c r="FI55" s="265">
        <v>0</v>
      </c>
      <c r="FJ55" s="269">
        <v>0</v>
      </c>
      <c r="FK55" s="278">
        <v>0</v>
      </c>
      <c r="FL55" s="265">
        <v>0</v>
      </c>
      <c r="FM55" s="265">
        <v>0</v>
      </c>
      <c r="FN55" s="265">
        <v>0</v>
      </c>
      <c r="FO55" s="265">
        <v>0</v>
      </c>
      <c r="FP55" s="265">
        <v>0</v>
      </c>
      <c r="FQ55" s="265">
        <v>0</v>
      </c>
      <c r="FR55" s="265">
        <v>0</v>
      </c>
      <c r="FS55" s="265">
        <v>0</v>
      </c>
      <c r="FT55" s="265">
        <v>0</v>
      </c>
      <c r="FU55" s="265">
        <v>0</v>
      </c>
      <c r="FV55" s="265">
        <v>0</v>
      </c>
      <c r="FW55" s="265">
        <v>0</v>
      </c>
      <c r="FX55" s="265">
        <v>0</v>
      </c>
      <c r="FY55" s="265">
        <v>0</v>
      </c>
      <c r="FZ55" s="265">
        <v>0</v>
      </c>
      <c r="GA55" s="265">
        <v>0</v>
      </c>
      <c r="GB55" s="265">
        <v>0</v>
      </c>
      <c r="GC55" s="265">
        <v>0</v>
      </c>
      <c r="GD55" s="265">
        <v>0</v>
      </c>
      <c r="GE55" s="265">
        <v>0</v>
      </c>
      <c r="GF55" s="265">
        <v>0</v>
      </c>
      <c r="GG55" s="265">
        <v>0</v>
      </c>
      <c r="GH55" s="265">
        <v>0</v>
      </c>
      <c r="GI55" s="265">
        <v>0</v>
      </c>
      <c r="GJ55" s="265">
        <v>0</v>
      </c>
      <c r="GK55" s="265">
        <v>0</v>
      </c>
      <c r="GL55" s="265">
        <v>0</v>
      </c>
      <c r="GM55" s="265">
        <v>0</v>
      </c>
      <c r="GN55" s="265">
        <v>0</v>
      </c>
      <c r="GO55" s="269">
        <v>0</v>
      </c>
      <c r="GP55" s="278">
        <v>0</v>
      </c>
      <c r="GQ55" s="265">
        <v>0</v>
      </c>
      <c r="GR55" s="265">
        <v>0</v>
      </c>
      <c r="GS55" s="265">
        <v>0</v>
      </c>
      <c r="GT55" s="265">
        <v>0</v>
      </c>
      <c r="GU55" s="265">
        <v>0</v>
      </c>
      <c r="GV55" s="265">
        <v>0</v>
      </c>
      <c r="GW55" s="265">
        <v>0</v>
      </c>
      <c r="GX55" s="265">
        <v>0</v>
      </c>
      <c r="GY55" s="265">
        <v>0</v>
      </c>
      <c r="GZ55" s="265">
        <v>0</v>
      </c>
      <c r="HA55" s="265">
        <v>0</v>
      </c>
      <c r="HB55" s="265">
        <v>0</v>
      </c>
      <c r="HC55" s="265">
        <v>0</v>
      </c>
      <c r="HD55" s="265">
        <v>0</v>
      </c>
      <c r="HE55" s="265">
        <v>0</v>
      </c>
      <c r="HF55" s="265">
        <v>0</v>
      </c>
      <c r="HG55" s="265">
        <v>0</v>
      </c>
      <c r="HH55" s="265">
        <v>0</v>
      </c>
      <c r="HI55" s="265"/>
      <c r="HJ55" s="265"/>
      <c r="HK55" s="265"/>
      <c r="HL55" s="265"/>
      <c r="HM55" s="265"/>
      <c r="HN55" s="265"/>
      <c r="HO55" s="265"/>
      <c r="HP55" s="265"/>
      <c r="HQ55" s="265"/>
      <c r="HR55" s="265"/>
      <c r="HS55" s="265"/>
      <c r="HT55" s="368"/>
      <c r="HU55" s="329">
        <f t="shared" si="140"/>
        <v>0</v>
      </c>
    </row>
    <row r="56" spans="1:229" s="7" customFormat="1" ht="15" customHeight="1" thickBot="1" x14ac:dyDescent="0.3">
      <c r="A56" s="2">
        <v>11</v>
      </c>
      <c r="B56" s="496"/>
      <c r="C56" s="3" t="s">
        <v>11</v>
      </c>
      <c r="D56" s="4" t="s">
        <v>20</v>
      </c>
      <c r="E56" s="5"/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09">
        <f t="shared" si="139"/>
        <v>0</v>
      </c>
      <c r="N56" s="139"/>
      <c r="O56" s="197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287"/>
      <c r="AQ56" s="162"/>
      <c r="AR56" s="197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287"/>
      <c r="BW56" s="162"/>
      <c r="BX56" s="197"/>
      <c r="BY56" s="198"/>
      <c r="BZ56" s="198"/>
      <c r="CA56" s="198"/>
      <c r="CB56" s="198"/>
      <c r="CC56" s="198"/>
      <c r="CD56" s="198"/>
      <c r="CE56" s="198"/>
      <c r="CF56" s="198"/>
      <c r="CG56" s="198"/>
      <c r="CH56" s="198"/>
      <c r="CI56" s="198"/>
      <c r="CJ56" s="198"/>
      <c r="CK56" s="198"/>
      <c r="CL56" s="198"/>
      <c r="CM56" s="198"/>
      <c r="CN56" s="198"/>
      <c r="CO56" s="311"/>
      <c r="CP56" s="311"/>
      <c r="CQ56" s="311"/>
      <c r="CR56" s="311"/>
      <c r="CS56" s="311"/>
      <c r="CT56" s="311"/>
      <c r="CU56" s="311"/>
      <c r="CV56" s="311"/>
      <c r="CW56" s="311"/>
      <c r="CX56" s="311"/>
      <c r="CY56" s="311"/>
      <c r="CZ56" s="311"/>
      <c r="DA56" s="331"/>
      <c r="DB56" s="278"/>
      <c r="DC56" s="265"/>
      <c r="DD56" s="265"/>
      <c r="DE56" s="265"/>
      <c r="DF56" s="265"/>
      <c r="DG56" s="265"/>
      <c r="DH56" s="265"/>
      <c r="DI56" s="265"/>
      <c r="DJ56" s="265"/>
      <c r="DK56" s="265"/>
      <c r="DL56" s="265"/>
      <c r="DM56" s="265"/>
      <c r="DN56" s="265"/>
      <c r="DO56" s="265"/>
      <c r="DP56" s="265"/>
      <c r="DQ56" s="265"/>
      <c r="DR56" s="265"/>
      <c r="DS56" s="265"/>
      <c r="DT56" s="265"/>
      <c r="DU56" s="265"/>
      <c r="DV56" s="265"/>
      <c r="DW56" s="265"/>
      <c r="DX56" s="265"/>
      <c r="DY56" s="265"/>
      <c r="DZ56" s="265"/>
      <c r="EA56" s="265"/>
      <c r="EB56" s="265"/>
      <c r="EC56" s="265"/>
      <c r="ED56" s="265"/>
      <c r="EE56" s="265"/>
      <c r="EF56" s="269"/>
      <c r="EG56" s="278"/>
      <c r="EH56" s="269"/>
      <c r="EI56" s="265"/>
      <c r="EJ56" s="265"/>
      <c r="EK56" s="265"/>
      <c r="EL56" s="265"/>
      <c r="EM56" s="265"/>
      <c r="EN56" s="265"/>
      <c r="EO56" s="265"/>
      <c r="EP56" s="265"/>
      <c r="EQ56" s="265"/>
      <c r="ER56" s="265"/>
      <c r="ES56" s="265"/>
      <c r="ET56" s="265"/>
      <c r="EU56" s="265">
        <v>0</v>
      </c>
      <c r="EV56" s="265">
        <v>0</v>
      </c>
      <c r="EW56" s="265">
        <v>0</v>
      </c>
      <c r="EX56" s="265">
        <v>0</v>
      </c>
      <c r="EY56" s="265">
        <v>0</v>
      </c>
      <c r="EZ56" s="265">
        <v>0</v>
      </c>
      <c r="FA56" s="265">
        <v>0</v>
      </c>
      <c r="FB56" s="265">
        <v>0</v>
      </c>
      <c r="FC56" s="265">
        <v>0</v>
      </c>
      <c r="FD56" s="265">
        <v>0</v>
      </c>
      <c r="FE56" s="265">
        <v>0</v>
      </c>
      <c r="FF56" s="265">
        <v>0</v>
      </c>
      <c r="FG56" s="265">
        <v>0</v>
      </c>
      <c r="FH56" s="265">
        <v>0</v>
      </c>
      <c r="FI56" s="265">
        <v>0</v>
      </c>
      <c r="FJ56" s="269">
        <v>0</v>
      </c>
      <c r="FK56" s="278">
        <v>0</v>
      </c>
      <c r="FL56" s="265">
        <v>0</v>
      </c>
      <c r="FM56" s="265">
        <v>0</v>
      </c>
      <c r="FN56" s="265">
        <v>0</v>
      </c>
      <c r="FO56" s="265">
        <v>0</v>
      </c>
      <c r="FP56" s="265">
        <v>0</v>
      </c>
      <c r="FQ56" s="265">
        <v>0</v>
      </c>
      <c r="FR56" s="265">
        <v>0</v>
      </c>
      <c r="FS56" s="265">
        <v>0</v>
      </c>
      <c r="FT56" s="265">
        <v>0</v>
      </c>
      <c r="FU56" s="265">
        <v>0</v>
      </c>
      <c r="FV56" s="265">
        <v>0</v>
      </c>
      <c r="FW56" s="265">
        <v>0</v>
      </c>
      <c r="FX56" s="265">
        <v>0</v>
      </c>
      <c r="FY56" s="265">
        <v>0</v>
      </c>
      <c r="FZ56" s="265">
        <v>0</v>
      </c>
      <c r="GA56" s="265">
        <v>0</v>
      </c>
      <c r="GB56" s="265">
        <v>0</v>
      </c>
      <c r="GC56" s="265">
        <v>0</v>
      </c>
      <c r="GD56" s="265">
        <v>0</v>
      </c>
      <c r="GE56" s="265">
        <v>0</v>
      </c>
      <c r="GF56" s="265">
        <v>0</v>
      </c>
      <c r="GG56" s="265">
        <v>0</v>
      </c>
      <c r="GH56" s="265">
        <v>0</v>
      </c>
      <c r="GI56" s="265">
        <v>0</v>
      </c>
      <c r="GJ56" s="265">
        <v>0</v>
      </c>
      <c r="GK56" s="265">
        <v>0</v>
      </c>
      <c r="GL56" s="265">
        <v>0</v>
      </c>
      <c r="GM56" s="265">
        <v>0</v>
      </c>
      <c r="GN56" s="265">
        <v>0</v>
      </c>
      <c r="GO56" s="269">
        <v>0</v>
      </c>
      <c r="GP56" s="278">
        <v>0</v>
      </c>
      <c r="GQ56" s="265">
        <v>0</v>
      </c>
      <c r="GR56" s="265">
        <v>0</v>
      </c>
      <c r="GS56" s="265">
        <v>0</v>
      </c>
      <c r="GT56" s="265">
        <v>0</v>
      </c>
      <c r="GU56" s="265">
        <v>0</v>
      </c>
      <c r="GV56" s="265">
        <v>0</v>
      </c>
      <c r="GW56" s="265">
        <v>0</v>
      </c>
      <c r="GX56" s="265">
        <v>0</v>
      </c>
      <c r="GY56" s="265">
        <v>0</v>
      </c>
      <c r="GZ56" s="265">
        <v>0</v>
      </c>
      <c r="HA56" s="265">
        <v>0</v>
      </c>
      <c r="HB56" s="265">
        <v>0</v>
      </c>
      <c r="HC56" s="265">
        <v>0</v>
      </c>
      <c r="HD56" s="265">
        <v>0</v>
      </c>
      <c r="HE56" s="265">
        <v>0</v>
      </c>
      <c r="HF56" s="265">
        <v>0</v>
      </c>
      <c r="HG56" s="265">
        <v>0</v>
      </c>
      <c r="HH56" s="265">
        <v>0</v>
      </c>
      <c r="HI56" s="265"/>
      <c r="HJ56" s="265"/>
      <c r="HK56" s="265"/>
      <c r="HL56" s="265"/>
      <c r="HM56" s="265"/>
      <c r="HN56" s="265"/>
      <c r="HO56" s="265"/>
      <c r="HP56" s="265"/>
      <c r="HQ56" s="265"/>
      <c r="HR56" s="265"/>
      <c r="HS56" s="265"/>
      <c r="HT56" s="368"/>
      <c r="HU56" s="329">
        <f t="shared" si="140"/>
        <v>0</v>
      </c>
    </row>
    <row r="57" spans="1:229" s="7" customFormat="1" ht="24.75" customHeight="1" thickBot="1" x14ac:dyDescent="0.3">
      <c r="A57" s="258"/>
      <c r="B57" s="259"/>
      <c r="C57" s="260"/>
      <c r="D57" s="261"/>
      <c r="E57" s="262"/>
      <c r="F57" s="263"/>
      <c r="G57" s="263"/>
      <c r="H57" s="263"/>
      <c r="I57" s="263"/>
      <c r="J57" s="263"/>
      <c r="K57" s="263"/>
      <c r="L57" s="263"/>
      <c r="M57" s="264"/>
      <c r="N57" s="133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262"/>
      <c r="BD57" s="262"/>
      <c r="BE57" s="262"/>
      <c r="BF57" s="262"/>
      <c r="BG57" s="262"/>
      <c r="BH57" s="262"/>
      <c r="BI57" s="262"/>
      <c r="BJ57" s="262"/>
      <c r="BK57" s="262"/>
      <c r="BL57" s="262"/>
      <c r="BM57" s="262"/>
      <c r="BN57" s="262"/>
      <c r="BO57" s="262"/>
      <c r="BP57" s="262"/>
      <c r="BQ57" s="262"/>
      <c r="BR57" s="262"/>
      <c r="BS57" s="262"/>
      <c r="BT57" s="262"/>
      <c r="BU57" s="262"/>
      <c r="BV57" s="262"/>
      <c r="BW57" s="312"/>
      <c r="BX57" s="262"/>
      <c r="BY57" s="262"/>
      <c r="BZ57" s="262"/>
      <c r="CA57" s="262"/>
      <c r="CB57" s="262"/>
      <c r="CC57" s="262"/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2"/>
      <c r="CR57" s="262"/>
      <c r="CS57" s="262"/>
      <c r="CT57" s="262"/>
      <c r="CU57" s="262"/>
      <c r="CV57" s="262"/>
      <c r="CW57" s="262"/>
      <c r="CX57" s="262"/>
      <c r="CY57" s="262"/>
      <c r="CZ57" s="262"/>
      <c r="DA57" s="271"/>
      <c r="DB57" s="83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159"/>
      <c r="EG57" s="83"/>
      <c r="EH57" s="159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>
        <f t="shared" ref="EU57:EV57" si="141">SUM(EU46:EU56)</f>
        <v>30</v>
      </c>
      <c r="EV57" s="20">
        <f t="shared" si="141"/>
        <v>0</v>
      </c>
      <c r="EW57" s="20">
        <f t="shared" ref="EW57:EY57" si="142">SUM(EW46:EW56)</f>
        <v>0</v>
      </c>
      <c r="EX57" s="20">
        <f t="shared" si="142"/>
        <v>0</v>
      </c>
      <c r="EY57" s="20">
        <f t="shared" si="142"/>
        <v>0</v>
      </c>
      <c r="EZ57" s="20">
        <f t="shared" ref="EZ57:FA57" si="143">SUM(EZ46:EZ56)</f>
        <v>0</v>
      </c>
      <c r="FA57" s="20">
        <f t="shared" si="143"/>
        <v>0</v>
      </c>
      <c r="FB57" s="20">
        <f t="shared" ref="FB57:FC57" si="144">SUM(FB46:FB56)</f>
        <v>0</v>
      </c>
      <c r="FC57" s="20">
        <f t="shared" si="144"/>
        <v>0</v>
      </c>
      <c r="FD57" s="20">
        <f t="shared" ref="FD57:FG57" si="145">SUM(FD46:FD56)</f>
        <v>0</v>
      </c>
      <c r="FE57" s="20">
        <f t="shared" si="145"/>
        <v>0</v>
      </c>
      <c r="FF57" s="20">
        <f t="shared" si="145"/>
        <v>0</v>
      </c>
      <c r="FG57" s="20">
        <f t="shared" si="145"/>
        <v>0</v>
      </c>
      <c r="FH57" s="20">
        <f t="shared" ref="FH57:FN57" si="146">SUM(FH46:FH56)</f>
        <v>0</v>
      </c>
      <c r="FI57" s="20">
        <f t="shared" si="146"/>
        <v>0</v>
      </c>
      <c r="FJ57" s="159">
        <f t="shared" si="146"/>
        <v>0</v>
      </c>
      <c r="FK57" s="83">
        <f t="shared" si="146"/>
        <v>0</v>
      </c>
      <c r="FL57" s="20">
        <f t="shared" si="146"/>
        <v>0</v>
      </c>
      <c r="FM57" s="20">
        <f t="shared" si="146"/>
        <v>0</v>
      </c>
      <c r="FN57" s="20">
        <f t="shared" si="146"/>
        <v>0</v>
      </c>
      <c r="FO57" s="20">
        <f t="shared" ref="FO57:FQ57" si="147">SUM(FO46:FO56)</f>
        <v>0</v>
      </c>
      <c r="FP57" s="20">
        <f t="shared" si="147"/>
        <v>0</v>
      </c>
      <c r="FQ57" s="20">
        <f t="shared" si="147"/>
        <v>0</v>
      </c>
      <c r="FR57" s="20">
        <f t="shared" ref="FR57:FS57" si="148">SUM(FR46:FR56)</f>
        <v>0</v>
      </c>
      <c r="FS57" s="20">
        <f t="shared" si="148"/>
        <v>0</v>
      </c>
      <c r="FT57" s="20">
        <f t="shared" ref="FT57:FU57" si="149">SUM(FT46:FT56)</f>
        <v>0</v>
      </c>
      <c r="FU57" s="20">
        <f t="shared" si="149"/>
        <v>0</v>
      </c>
      <c r="FV57" s="20">
        <f t="shared" ref="FV57:FW57" si="150">SUM(FV46:FV56)</f>
        <v>0</v>
      </c>
      <c r="FW57" s="20">
        <f t="shared" si="150"/>
        <v>0</v>
      </c>
      <c r="FX57" s="20">
        <f t="shared" ref="FX57:GB57" si="151">SUM(FX46:FX56)</f>
        <v>0</v>
      </c>
      <c r="FY57" s="20">
        <f t="shared" si="151"/>
        <v>0</v>
      </c>
      <c r="FZ57" s="20">
        <f t="shared" si="151"/>
        <v>0</v>
      </c>
      <c r="GA57" s="20">
        <f t="shared" si="151"/>
        <v>0</v>
      </c>
      <c r="GB57" s="20">
        <f t="shared" si="151"/>
        <v>0</v>
      </c>
      <c r="GC57" s="20">
        <f t="shared" ref="GC57:GD57" si="152">SUM(GC46:GC56)</f>
        <v>0</v>
      </c>
      <c r="GD57" s="20">
        <f t="shared" si="152"/>
        <v>0</v>
      </c>
      <c r="GE57" s="20">
        <f t="shared" ref="GE57:GF57" si="153">SUM(GE46:GE56)</f>
        <v>0</v>
      </c>
      <c r="GF57" s="20">
        <f t="shared" si="153"/>
        <v>0</v>
      </c>
      <c r="GG57" s="20">
        <f t="shared" ref="GG57:GH57" si="154">SUM(GG46:GG56)</f>
        <v>0</v>
      </c>
      <c r="GH57" s="20">
        <f t="shared" si="154"/>
        <v>0</v>
      </c>
      <c r="GI57" s="20">
        <f t="shared" ref="GI57:GJ57" si="155">SUM(GI46:GI56)</f>
        <v>0</v>
      </c>
      <c r="GJ57" s="20">
        <f t="shared" si="155"/>
        <v>0</v>
      </c>
      <c r="GK57" s="20">
        <f t="shared" ref="GK57:GL57" si="156">SUM(GK46:GK56)</f>
        <v>0</v>
      </c>
      <c r="GL57" s="20">
        <f t="shared" si="156"/>
        <v>0</v>
      </c>
      <c r="GM57" s="20">
        <f t="shared" ref="GM57:GN57" si="157">SUM(GM46:GM56)</f>
        <v>0</v>
      </c>
      <c r="GN57" s="20">
        <f t="shared" si="157"/>
        <v>0</v>
      </c>
      <c r="GO57" s="159">
        <f t="shared" ref="GO57:GP57" si="158">SUM(GO46:GO56)</f>
        <v>0</v>
      </c>
      <c r="GP57" s="83">
        <f t="shared" si="158"/>
        <v>0</v>
      </c>
      <c r="GQ57" s="20">
        <f t="shared" ref="GQ57:GW57" si="159">SUM(GQ46:GQ56)</f>
        <v>0</v>
      </c>
      <c r="GR57" s="20">
        <f t="shared" si="159"/>
        <v>50</v>
      </c>
      <c r="GS57" s="20">
        <f t="shared" si="159"/>
        <v>0</v>
      </c>
      <c r="GT57" s="20">
        <f t="shared" si="159"/>
        <v>0</v>
      </c>
      <c r="GU57" s="20">
        <f t="shared" si="159"/>
        <v>0</v>
      </c>
      <c r="GV57" s="20">
        <f t="shared" si="159"/>
        <v>0</v>
      </c>
      <c r="GW57" s="20">
        <f t="shared" si="159"/>
        <v>0</v>
      </c>
      <c r="GX57" s="20">
        <f t="shared" ref="GX57:GY57" si="160">SUM(GX46:GX56)</f>
        <v>0</v>
      </c>
      <c r="GY57" s="20">
        <f t="shared" si="160"/>
        <v>0</v>
      </c>
      <c r="GZ57" s="20">
        <f t="shared" ref="GZ57:HA57" si="161">SUM(GZ46:GZ56)</f>
        <v>0</v>
      </c>
      <c r="HA57" s="20">
        <f t="shared" si="161"/>
        <v>0</v>
      </c>
      <c r="HB57" s="20">
        <f t="shared" ref="HB57:HE57" si="162">SUM(HB46:HB56)</f>
        <v>0</v>
      </c>
      <c r="HC57" s="20">
        <f t="shared" si="162"/>
        <v>0</v>
      </c>
      <c r="HD57" s="20">
        <f t="shared" si="162"/>
        <v>0</v>
      </c>
      <c r="HE57" s="20">
        <f t="shared" si="162"/>
        <v>0</v>
      </c>
      <c r="HF57" s="20">
        <f t="shared" ref="HF57:HG57" si="163">SUM(HF46:HF56)</f>
        <v>0</v>
      </c>
      <c r="HG57" s="20">
        <f t="shared" si="163"/>
        <v>0</v>
      </c>
      <c r="HH57" s="20">
        <f t="shared" ref="HH57" si="164">SUM(HH46:HH56)</f>
        <v>0</v>
      </c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369"/>
      <c r="HU57" s="332">
        <f t="shared" ref="HU57" si="165">SUM(HU46:HU56)</f>
        <v>80</v>
      </c>
    </row>
    <row r="58" spans="1:229" s="7" customFormat="1" ht="15" customHeight="1" thickBot="1" x14ac:dyDescent="0.3">
      <c r="A58" s="32">
        <v>1</v>
      </c>
      <c r="B58" s="481" t="s">
        <v>145</v>
      </c>
      <c r="C58" s="34" t="s">
        <v>1</v>
      </c>
      <c r="D58" s="35" t="s">
        <v>20</v>
      </c>
      <c r="E58" s="36"/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119">
        <f>SUM(E58:L58)</f>
        <v>0</v>
      </c>
      <c r="N58" s="147"/>
      <c r="O58" s="71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276"/>
      <c r="AQ58" s="165"/>
      <c r="AR58" s="71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276"/>
      <c r="BW58" s="165"/>
      <c r="BX58" s="71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267"/>
      <c r="CP58" s="267"/>
      <c r="CQ58" s="267"/>
      <c r="CR58" s="267"/>
      <c r="CS58" s="267"/>
      <c r="CT58" s="267"/>
      <c r="CU58" s="267"/>
      <c r="CV58" s="267"/>
      <c r="CW58" s="267"/>
      <c r="CX58" s="267"/>
      <c r="CY58" s="267"/>
      <c r="CZ58" s="267"/>
      <c r="DA58" s="268"/>
      <c r="DB58" s="279"/>
      <c r="DC58" s="267"/>
      <c r="DD58" s="267"/>
      <c r="DE58" s="267"/>
      <c r="DF58" s="267"/>
      <c r="DG58" s="267"/>
      <c r="DH58" s="267"/>
      <c r="DI58" s="267"/>
      <c r="DJ58" s="267"/>
      <c r="DK58" s="267"/>
      <c r="DL58" s="267"/>
      <c r="DM58" s="267"/>
      <c r="DN58" s="267"/>
      <c r="DO58" s="267"/>
      <c r="DP58" s="267"/>
      <c r="DQ58" s="267"/>
      <c r="DR58" s="267"/>
      <c r="DS58" s="267"/>
      <c r="DT58" s="267"/>
      <c r="DU58" s="267"/>
      <c r="DV58" s="267"/>
      <c r="DW58" s="267"/>
      <c r="DX58" s="267"/>
      <c r="DY58" s="267"/>
      <c r="DZ58" s="267"/>
      <c r="EA58" s="267"/>
      <c r="EB58" s="267"/>
      <c r="EC58" s="267"/>
      <c r="ED58" s="267"/>
      <c r="EE58" s="267"/>
      <c r="EF58" s="268"/>
      <c r="EG58" s="279"/>
      <c r="EH58" s="268"/>
      <c r="EI58" s="267"/>
      <c r="EJ58" s="267"/>
      <c r="EK58" s="267"/>
      <c r="EL58" s="267"/>
      <c r="EM58" s="267"/>
      <c r="EN58" s="267"/>
      <c r="EO58" s="267"/>
      <c r="EP58" s="267"/>
      <c r="EQ58" s="267"/>
      <c r="ER58" s="267"/>
      <c r="ES58" s="267"/>
      <c r="ET58" s="267"/>
      <c r="EU58" s="267"/>
      <c r="EV58" s="267"/>
      <c r="EW58" s="267"/>
      <c r="EX58" s="267"/>
      <c r="EY58" s="267"/>
      <c r="EZ58" s="267"/>
      <c r="FA58" s="267"/>
      <c r="FB58" s="267"/>
      <c r="FC58" s="267"/>
      <c r="FD58" s="267"/>
      <c r="FE58" s="267"/>
      <c r="FF58" s="267"/>
      <c r="FG58" s="267"/>
      <c r="FH58" s="267"/>
      <c r="FI58" s="267"/>
      <c r="FJ58" s="268"/>
      <c r="FK58" s="279"/>
      <c r="FL58" s="267"/>
      <c r="FM58" s="267"/>
      <c r="FN58" s="267"/>
      <c r="FO58" s="267"/>
      <c r="FP58" s="267"/>
      <c r="FQ58" s="267"/>
      <c r="FR58" s="267"/>
      <c r="FS58" s="267"/>
      <c r="FT58" s="267"/>
      <c r="FU58" s="267"/>
      <c r="FV58" s="267"/>
      <c r="FW58" s="267"/>
      <c r="FX58" s="267"/>
      <c r="FY58" s="267"/>
      <c r="FZ58" s="267"/>
      <c r="GA58" s="267"/>
      <c r="GB58" s="267"/>
      <c r="GC58" s="267"/>
      <c r="GD58" s="267"/>
      <c r="GE58" s="267"/>
      <c r="GF58" s="267"/>
      <c r="GG58" s="267"/>
      <c r="GH58" s="267"/>
      <c r="GI58" s="267"/>
      <c r="GJ58" s="267"/>
      <c r="GK58" s="267"/>
      <c r="GL58" s="267"/>
      <c r="GM58" s="267"/>
      <c r="GN58" s="267"/>
      <c r="GO58" s="268"/>
      <c r="GP58" s="279"/>
      <c r="GQ58" s="267"/>
      <c r="GR58" s="267"/>
      <c r="GS58" s="267"/>
      <c r="GT58" s="267"/>
      <c r="GU58" s="267"/>
      <c r="GV58" s="267"/>
      <c r="GW58" s="267">
        <v>0</v>
      </c>
      <c r="GX58" s="267">
        <v>0</v>
      </c>
      <c r="GY58" s="267">
        <v>0</v>
      </c>
      <c r="GZ58" s="267">
        <v>0</v>
      </c>
      <c r="HA58" s="267">
        <v>0</v>
      </c>
      <c r="HB58" s="267">
        <v>0</v>
      </c>
      <c r="HC58" s="267">
        <v>0</v>
      </c>
      <c r="HD58" s="267">
        <v>0</v>
      </c>
      <c r="HE58" s="267">
        <v>0</v>
      </c>
      <c r="HF58" s="267">
        <v>0</v>
      </c>
      <c r="HG58" s="267">
        <v>0</v>
      </c>
      <c r="HH58" s="267">
        <v>0</v>
      </c>
      <c r="HI58" s="267"/>
      <c r="HJ58" s="267"/>
      <c r="HK58" s="267"/>
      <c r="HL58" s="267"/>
      <c r="HM58" s="267"/>
      <c r="HN58" s="267"/>
      <c r="HO58" s="267"/>
      <c r="HP58" s="267"/>
      <c r="HQ58" s="267"/>
      <c r="HR58" s="267"/>
      <c r="HS58" s="267"/>
      <c r="HT58" s="367"/>
      <c r="HU58" s="329">
        <f>SUM(O58:HT58)</f>
        <v>0</v>
      </c>
    </row>
    <row r="59" spans="1:229" s="7" customFormat="1" ht="15" customHeight="1" thickBot="1" x14ac:dyDescent="0.3">
      <c r="A59" s="2">
        <v>2</v>
      </c>
      <c r="B59" s="474"/>
      <c r="C59" s="3" t="s">
        <v>2</v>
      </c>
      <c r="D59" s="4" t="s">
        <v>20</v>
      </c>
      <c r="E59" s="5"/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09">
        <f t="shared" ref="M59:M68" si="166">SUM(E59:L59)</f>
        <v>0</v>
      </c>
      <c r="N59" s="139"/>
      <c r="O59" s="7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274"/>
      <c r="AQ59" s="162"/>
      <c r="AR59" s="7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274"/>
      <c r="BW59" s="162"/>
      <c r="BX59" s="7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265"/>
      <c r="CP59" s="265"/>
      <c r="CQ59" s="265"/>
      <c r="CR59" s="265"/>
      <c r="CS59" s="265"/>
      <c r="CT59" s="265"/>
      <c r="CU59" s="265"/>
      <c r="CV59" s="265"/>
      <c r="CW59" s="265"/>
      <c r="CX59" s="265"/>
      <c r="CY59" s="265"/>
      <c r="CZ59" s="265"/>
      <c r="DA59" s="269"/>
      <c r="DB59" s="278"/>
      <c r="DC59" s="265"/>
      <c r="DD59" s="265"/>
      <c r="DE59" s="265"/>
      <c r="DF59" s="265"/>
      <c r="DG59" s="265"/>
      <c r="DH59" s="265"/>
      <c r="DI59" s="265"/>
      <c r="DJ59" s="265"/>
      <c r="DK59" s="265"/>
      <c r="DL59" s="265"/>
      <c r="DM59" s="265"/>
      <c r="DN59" s="265"/>
      <c r="DO59" s="265"/>
      <c r="DP59" s="265"/>
      <c r="DQ59" s="265"/>
      <c r="DR59" s="265"/>
      <c r="DS59" s="265"/>
      <c r="DT59" s="265"/>
      <c r="DU59" s="265"/>
      <c r="DV59" s="265"/>
      <c r="DW59" s="265"/>
      <c r="DX59" s="265"/>
      <c r="DY59" s="265"/>
      <c r="DZ59" s="265"/>
      <c r="EA59" s="265"/>
      <c r="EB59" s="265"/>
      <c r="EC59" s="265"/>
      <c r="ED59" s="265"/>
      <c r="EE59" s="265"/>
      <c r="EF59" s="269"/>
      <c r="EG59" s="278"/>
      <c r="EH59" s="269"/>
      <c r="EI59" s="265"/>
      <c r="EJ59" s="265"/>
      <c r="EK59" s="265"/>
      <c r="EL59" s="265"/>
      <c r="EM59" s="265"/>
      <c r="EN59" s="265"/>
      <c r="EO59" s="265"/>
      <c r="EP59" s="265"/>
      <c r="EQ59" s="265"/>
      <c r="ER59" s="265"/>
      <c r="ES59" s="265"/>
      <c r="ET59" s="265"/>
      <c r="EU59" s="265"/>
      <c r="EV59" s="265"/>
      <c r="EW59" s="265"/>
      <c r="EX59" s="265"/>
      <c r="EY59" s="265"/>
      <c r="EZ59" s="265"/>
      <c r="FA59" s="265"/>
      <c r="FB59" s="265"/>
      <c r="FC59" s="265"/>
      <c r="FD59" s="265"/>
      <c r="FE59" s="265"/>
      <c r="FF59" s="265"/>
      <c r="FG59" s="265"/>
      <c r="FH59" s="265"/>
      <c r="FI59" s="265"/>
      <c r="FJ59" s="269"/>
      <c r="FK59" s="278"/>
      <c r="FL59" s="265"/>
      <c r="FM59" s="265"/>
      <c r="FN59" s="265"/>
      <c r="FO59" s="265"/>
      <c r="FP59" s="265"/>
      <c r="FQ59" s="265"/>
      <c r="FR59" s="265"/>
      <c r="FS59" s="265"/>
      <c r="FT59" s="265"/>
      <c r="FU59" s="265"/>
      <c r="FV59" s="265"/>
      <c r="FW59" s="265"/>
      <c r="FX59" s="265"/>
      <c r="FY59" s="265"/>
      <c r="FZ59" s="265"/>
      <c r="GA59" s="265"/>
      <c r="GB59" s="265"/>
      <c r="GC59" s="265"/>
      <c r="GD59" s="265"/>
      <c r="GE59" s="265"/>
      <c r="GF59" s="265"/>
      <c r="GG59" s="265"/>
      <c r="GH59" s="265"/>
      <c r="GI59" s="265"/>
      <c r="GJ59" s="265"/>
      <c r="GK59" s="265"/>
      <c r="GL59" s="265"/>
      <c r="GM59" s="265"/>
      <c r="GN59" s="265"/>
      <c r="GO59" s="269"/>
      <c r="GP59" s="278"/>
      <c r="GQ59" s="265"/>
      <c r="GR59" s="265"/>
      <c r="GS59" s="265"/>
      <c r="GT59" s="265"/>
      <c r="GU59" s="265"/>
      <c r="GV59" s="265"/>
      <c r="GW59" s="265">
        <v>12</v>
      </c>
      <c r="GX59" s="265">
        <v>0</v>
      </c>
      <c r="GY59" s="265">
        <v>0</v>
      </c>
      <c r="GZ59" s="265">
        <v>0</v>
      </c>
      <c r="HA59" s="265">
        <v>0</v>
      </c>
      <c r="HB59" s="265">
        <v>0</v>
      </c>
      <c r="HC59" s="265">
        <v>0</v>
      </c>
      <c r="HD59" s="265">
        <v>0</v>
      </c>
      <c r="HE59" s="265">
        <v>0</v>
      </c>
      <c r="HF59" s="265">
        <v>0</v>
      </c>
      <c r="HG59" s="265">
        <v>40</v>
      </c>
      <c r="HH59" s="265">
        <v>0</v>
      </c>
      <c r="HI59" s="265"/>
      <c r="HJ59" s="265"/>
      <c r="HK59" s="265"/>
      <c r="HL59" s="265"/>
      <c r="HM59" s="265"/>
      <c r="HN59" s="265"/>
      <c r="HO59" s="265"/>
      <c r="HP59" s="265"/>
      <c r="HQ59" s="265"/>
      <c r="HR59" s="265"/>
      <c r="HS59" s="265"/>
      <c r="HT59" s="368"/>
      <c r="HU59" s="329">
        <f t="shared" ref="HU59:HU68" si="167">SUM(O59:HT59)</f>
        <v>52</v>
      </c>
    </row>
    <row r="60" spans="1:229" s="7" customFormat="1" ht="15" customHeight="1" thickBot="1" x14ac:dyDescent="0.3">
      <c r="A60" s="2">
        <v>3</v>
      </c>
      <c r="B60" s="474"/>
      <c r="C60" s="3" t="s">
        <v>3</v>
      </c>
      <c r="D60" s="4" t="s">
        <v>20</v>
      </c>
      <c r="E60" s="5"/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09">
        <f t="shared" si="166"/>
        <v>0</v>
      </c>
      <c r="N60" s="139"/>
      <c r="O60" s="7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274"/>
      <c r="AQ60" s="162"/>
      <c r="AR60" s="7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274"/>
      <c r="BW60" s="162"/>
      <c r="BX60" s="7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265"/>
      <c r="CP60" s="265"/>
      <c r="CQ60" s="265"/>
      <c r="CR60" s="265"/>
      <c r="CS60" s="265"/>
      <c r="CT60" s="265"/>
      <c r="CU60" s="265"/>
      <c r="CV60" s="265"/>
      <c r="CW60" s="265"/>
      <c r="CX60" s="265"/>
      <c r="CY60" s="265"/>
      <c r="CZ60" s="265"/>
      <c r="DA60" s="269"/>
      <c r="DB60" s="278"/>
      <c r="DC60" s="265"/>
      <c r="DD60" s="265"/>
      <c r="DE60" s="265"/>
      <c r="DF60" s="265"/>
      <c r="DG60" s="265"/>
      <c r="DH60" s="265"/>
      <c r="DI60" s="265"/>
      <c r="DJ60" s="265"/>
      <c r="DK60" s="265"/>
      <c r="DL60" s="265"/>
      <c r="DM60" s="265"/>
      <c r="DN60" s="265"/>
      <c r="DO60" s="265"/>
      <c r="DP60" s="265"/>
      <c r="DQ60" s="265"/>
      <c r="DR60" s="265"/>
      <c r="DS60" s="265"/>
      <c r="DT60" s="265"/>
      <c r="DU60" s="265"/>
      <c r="DV60" s="265"/>
      <c r="DW60" s="265"/>
      <c r="DX60" s="265"/>
      <c r="DY60" s="265"/>
      <c r="DZ60" s="265"/>
      <c r="EA60" s="265"/>
      <c r="EB60" s="265"/>
      <c r="EC60" s="265"/>
      <c r="ED60" s="265"/>
      <c r="EE60" s="265"/>
      <c r="EF60" s="269"/>
      <c r="EG60" s="278"/>
      <c r="EH60" s="269"/>
      <c r="EI60" s="265"/>
      <c r="EJ60" s="265"/>
      <c r="EK60" s="265"/>
      <c r="EL60" s="265"/>
      <c r="EM60" s="265"/>
      <c r="EN60" s="265"/>
      <c r="EO60" s="265"/>
      <c r="EP60" s="265"/>
      <c r="EQ60" s="265"/>
      <c r="ER60" s="265"/>
      <c r="ES60" s="265"/>
      <c r="ET60" s="265"/>
      <c r="EU60" s="265"/>
      <c r="EV60" s="265"/>
      <c r="EW60" s="265"/>
      <c r="EX60" s="265"/>
      <c r="EY60" s="265"/>
      <c r="EZ60" s="265"/>
      <c r="FA60" s="265"/>
      <c r="FB60" s="265"/>
      <c r="FC60" s="265"/>
      <c r="FD60" s="265"/>
      <c r="FE60" s="265"/>
      <c r="FF60" s="265"/>
      <c r="FG60" s="265"/>
      <c r="FH60" s="265"/>
      <c r="FI60" s="265"/>
      <c r="FJ60" s="269"/>
      <c r="FK60" s="278"/>
      <c r="FL60" s="265"/>
      <c r="FM60" s="265"/>
      <c r="FN60" s="265"/>
      <c r="FO60" s="265"/>
      <c r="FP60" s="265"/>
      <c r="FQ60" s="265"/>
      <c r="FR60" s="265"/>
      <c r="FS60" s="265"/>
      <c r="FT60" s="265"/>
      <c r="FU60" s="265"/>
      <c r="FV60" s="265"/>
      <c r="FW60" s="265"/>
      <c r="FX60" s="265"/>
      <c r="FY60" s="265"/>
      <c r="FZ60" s="265"/>
      <c r="GA60" s="265"/>
      <c r="GB60" s="265"/>
      <c r="GC60" s="265"/>
      <c r="GD60" s="265"/>
      <c r="GE60" s="265"/>
      <c r="GF60" s="265"/>
      <c r="GG60" s="265"/>
      <c r="GH60" s="265"/>
      <c r="GI60" s="265"/>
      <c r="GJ60" s="265"/>
      <c r="GK60" s="265"/>
      <c r="GL60" s="265"/>
      <c r="GM60" s="265"/>
      <c r="GN60" s="265"/>
      <c r="GO60" s="269"/>
      <c r="GP60" s="278"/>
      <c r="GQ60" s="265"/>
      <c r="GR60" s="265"/>
      <c r="GS60" s="265"/>
      <c r="GT60" s="265"/>
      <c r="GU60" s="265"/>
      <c r="GV60" s="265"/>
      <c r="GW60" s="265">
        <v>0</v>
      </c>
      <c r="GX60" s="265">
        <v>0</v>
      </c>
      <c r="GY60" s="265">
        <v>0</v>
      </c>
      <c r="GZ60" s="265">
        <v>0</v>
      </c>
      <c r="HA60" s="265">
        <v>0</v>
      </c>
      <c r="HB60" s="265">
        <v>0</v>
      </c>
      <c r="HC60" s="265">
        <v>0</v>
      </c>
      <c r="HD60" s="265">
        <v>0</v>
      </c>
      <c r="HE60" s="265">
        <v>0</v>
      </c>
      <c r="HF60" s="265">
        <v>0</v>
      </c>
      <c r="HG60" s="265">
        <v>40</v>
      </c>
      <c r="HH60" s="265">
        <v>0</v>
      </c>
      <c r="HI60" s="265"/>
      <c r="HJ60" s="265"/>
      <c r="HK60" s="265"/>
      <c r="HL60" s="265"/>
      <c r="HM60" s="265"/>
      <c r="HN60" s="265"/>
      <c r="HO60" s="265"/>
      <c r="HP60" s="265"/>
      <c r="HQ60" s="265"/>
      <c r="HR60" s="265"/>
      <c r="HS60" s="265"/>
      <c r="HT60" s="368"/>
      <c r="HU60" s="329">
        <f t="shared" si="167"/>
        <v>40</v>
      </c>
    </row>
    <row r="61" spans="1:229" s="7" customFormat="1" ht="15" customHeight="1" thickBot="1" x14ac:dyDescent="0.3">
      <c r="A61" s="2">
        <v>4</v>
      </c>
      <c r="B61" s="474"/>
      <c r="C61" s="3" t="s">
        <v>4</v>
      </c>
      <c r="D61" s="4" t="s">
        <v>20</v>
      </c>
      <c r="E61" s="5"/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09">
        <f t="shared" si="166"/>
        <v>0</v>
      </c>
      <c r="N61" s="139"/>
      <c r="O61" s="7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274"/>
      <c r="AQ61" s="162"/>
      <c r="AR61" s="7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274"/>
      <c r="BW61" s="162"/>
      <c r="BX61" s="7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265"/>
      <c r="CP61" s="265"/>
      <c r="CQ61" s="265"/>
      <c r="CR61" s="265"/>
      <c r="CS61" s="265"/>
      <c r="CT61" s="265"/>
      <c r="CU61" s="265"/>
      <c r="CV61" s="265"/>
      <c r="CW61" s="265"/>
      <c r="CX61" s="265"/>
      <c r="CY61" s="265"/>
      <c r="CZ61" s="265"/>
      <c r="DA61" s="269"/>
      <c r="DB61" s="278"/>
      <c r="DC61" s="265"/>
      <c r="DD61" s="265"/>
      <c r="DE61" s="265"/>
      <c r="DF61" s="265"/>
      <c r="DG61" s="265"/>
      <c r="DH61" s="265"/>
      <c r="DI61" s="265"/>
      <c r="DJ61" s="265"/>
      <c r="DK61" s="265"/>
      <c r="DL61" s="265"/>
      <c r="DM61" s="265"/>
      <c r="DN61" s="265"/>
      <c r="DO61" s="265"/>
      <c r="DP61" s="265"/>
      <c r="DQ61" s="265"/>
      <c r="DR61" s="265"/>
      <c r="DS61" s="265"/>
      <c r="DT61" s="265"/>
      <c r="DU61" s="265"/>
      <c r="DV61" s="265"/>
      <c r="DW61" s="265"/>
      <c r="DX61" s="265"/>
      <c r="DY61" s="265"/>
      <c r="DZ61" s="265"/>
      <c r="EA61" s="265"/>
      <c r="EB61" s="265"/>
      <c r="EC61" s="265"/>
      <c r="ED61" s="265"/>
      <c r="EE61" s="265"/>
      <c r="EF61" s="269"/>
      <c r="EG61" s="278"/>
      <c r="EH61" s="269"/>
      <c r="EI61" s="265"/>
      <c r="EJ61" s="265"/>
      <c r="EK61" s="265"/>
      <c r="EL61" s="265"/>
      <c r="EM61" s="265"/>
      <c r="EN61" s="265"/>
      <c r="EO61" s="265"/>
      <c r="EP61" s="265"/>
      <c r="EQ61" s="265"/>
      <c r="ER61" s="265"/>
      <c r="ES61" s="265"/>
      <c r="ET61" s="265"/>
      <c r="EU61" s="265"/>
      <c r="EV61" s="265"/>
      <c r="EW61" s="265"/>
      <c r="EX61" s="265"/>
      <c r="EY61" s="265"/>
      <c r="EZ61" s="265"/>
      <c r="FA61" s="265"/>
      <c r="FB61" s="265"/>
      <c r="FC61" s="265"/>
      <c r="FD61" s="265"/>
      <c r="FE61" s="265"/>
      <c r="FF61" s="265"/>
      <c r="FG61" s="265"/>
      <c r="FH61" s="265"/>
      <c r="FI61" s="265"/>
      <c r="FJ61" s="269"/>
      <c r="FK61" s="278"/>
      <c r="FL61" s="265"/>
      <c r="FM61" s="265"/>
      <c r="FN61" s="265"/>
      <c r="FO61" s="265"/>
      <c r="FP61" s="265"/>
      <c r="FQ61" s="265"/>
      <c r="FR61" s="265"/>
      <c r="FS61" s="265"/>
      <c r="FT61" s="265"/>
      <c r="FU61" s="265"/>
      <c r="FV61" s="265"/>
      <c r="FW61" s="265"/>
      <c r="FX61" s="265"/>
      <c r="FY61" s="265"/>
      <c r="FZ61" s="265"/>
      <c r="GA61" s="265"/>
      <c r="GB61" s="265"/>
      <c r="GC61" s="265"/>
      <c r="GD61" s="265"/>
      <c r="GE61" s="265"/>
      <c r="GF61" s="265"/>
      <c r="GG61" s="265"/>
      <c r="GH61" s="265"/>
      <c r="GI61" s="265"/>
      <c r="GJ61" s="265"/>
      <c r="GK61" s="265"/>
      <c r="GL61" s="265"/>
      <c r="GM61" s="265"/>
      <c r="GN61" s="265"/>
      <c r="GO61" s="269"/>
      <c r="GP61" s="278"/>
      <c r="GQ61" s="265"/>
      <c r="GR61" s="265"/>
      <c r="GS61" s="265"/>
      <c r="GT61" s="265"/>
      <c r="GU61" s="265"/>
      <c r="GV61" s="265"/>
      <c r="GW61" s="265">
        <v>0</v>
      </c>
      <c r="GX61" s="265">
        <v>0</v>
      </c>
      <c r="GY61" s="265">
        <v>0</v>
      </c>
      <c r="GZ61" s="265">
        <v>0</v>
      </c>
      <c r="HA61" s="265">
        <v>0</v>
      </c>
      <c r="HB61" s="265">
        <v>0</v>
      </c>
      <c r="HC61" s="265">
        <v>0</v>
      </c>
      <c r="HD61" s="265">
        <v>0</v>
      </c>
      <c r="HE61" s="265">
        <v>0</v>
      </c>
      <c r="HF61" s="265">
        <v>0</v>
      </c>
      <c r="HG61" s="265">
        <v>0</v>
      </c>
      <c r="HH61" s="265">
        <v>0</v>
      </c>
      <c r="HI61" s="265"/>
      <c r="HJ61" s="265"/>
      <c r="HK61" s="265"/>
      <c r="HL61" s="265"/>
      <c r="HM61" s="265"/>
      <c r="HN61" s="265"/>
      <c r="HO61" s="265"/>
      <c r="HP61" s="265"/>
      <c r="HQ61" s="265"/>
      <c r="HR61" s="265"/>
      <c r="HS61" s="265"/>
      <c r="HT61" s="368"/>
      <c r="HU61" s="329">
        <f t="shared" si="167"/>
        <v>0</v>
      </c>
    </row>
    <row r="62" spans="1:229" s="7" customFormat="1" ht="15" customHeight="1" thickBot="1" x14ac:dyDescent="0.3">
      <c r="A62" s="2">
        <v>5</v>
      </c>
      <c r="B62" s="474"/>
      <c r="C62" s="3" t="s">
        <v>5</v>
      </c>
      <c r="D62" s="4" t="s">
        <v>20</v>
      </c>
      <c r="E62" s="5"/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09">
        <f t="shared" si="166"/>
        <v>0</v>
      </c>
      <c r="N62" s="139"/>
      <c r="O62" s="7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274"/>
      <c r="AQ62" s="162"/>
      <c r="AR62" s="7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274"/>
      <c r="BW62" s="162"/>
      <c r="BX62" s="7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265"/>
      <c r="CP62" s="265"/>
      <c r="CQ62" s="265"/>
      <c r="CR62" s="265"/>
      <c r="CS62" s="265"/>
      <c r="CT62" s="265"/>
      <c r="CU62" s="265"/>
      <c r="CV62" s="265"/>
      <c r="CW62" s="265"/>
      <c r="CX62" s="265"/>
      <c r="CY62" s="265"/>
      <c r="CZ62" s="265"/>
      <c r="DA62" s="269"/>
      <c r="DB62" s="278"/>
      <c r="DC62" s="265"/>
      <c r="DD62" s="265"/>
      <c r="DE62" s="265"/>
      <c r="DF62" s="265"/>
      <c r="DG62" s="265"/>
      <c r="DH62" s="265"/>
      <c r="DI62" s="265"/>
      <c r="DJ62" s="265"/>
      <c r="DK62" s="265"/>
      <c r="DL62" s="265"/>
      <c r="DM62" s="265"/>
      <c r="DN62" s="265"/>
      <c r="DO62" s="265"/>
      <c r="DP62" s="265"/>
      <c r="DQ62" s="265"/>
      <c r="DR62" s="265"/>
      <c r="DS62" s="265"/>
      <c r="DT62" s="265"/>
      <c r="DU62" s="265"/>
      <c r="DV62" s="265"/>
      <c r="DW62" s="265"/>
      <c r="DX62" s="265"/>
      <c r="DY62" s="265"/>
      <c r="DZ62" s="265"/>
      <c r="EA62" s="265"/>
      <c r="EB62" s="265"/>
      <c r="EC62" s="265"/>
      <c r="ED62" s="265"/>
      <c r="EE62" s="265"/>
      <c r="EF62" s="269"/>
      <c r="EG62" s="278"/>
      <c r="EH62" s="269"/>
      <c r="EI62" s="265"/>
      <c r="EJ62" s="265"/>
      <c r="EK62" s="265"/>
      <c r="EL62" s="265"/>
      <c r="EM62" s="265"/>
      <c r="EN62" s="265"/>
      <c r="EO62" s="265"/>
      <c r="EP62" s="265"/>
      <c r="EQ62" s="265"/>
      <c r="ER62" s="265"/>
      <c r="ES62" s="265"/>
      <c r="ET62" s="265"/>
      <c r="EU62" s="265"/>
      <c r="EV62" s="265"/>
      <c r="EW62" s="265"/>
      <c r="EX62" s="265"/>
      <c r="EY62" s="265"/>
      <c r="EZ62" s="265"/>
      <c r="FA62" s="265"/>
      <c r="FB62" s="265"/>
      <c r="FC62" s="265"/>
      <c r="FD62" s="265"/>
      <c r="FE62" s="265"/>
      <c r="FF62" s="265"/>
      <c r="FG62" s="265"/>
      <c r="FH62" s="265"/>
      <c r="FI62" s="265"/>
      <c r="FJ62" s="269"/>
      <c r="FK62" s="278"/>
      <c r="FL62" s="265"/>
      <c r="FM62" s="265"/>
      <c r="FN62" s="265"/>
      <c r="FO62" s="265"/>
      <c r="FP62" s="265"/>
      <c r="FQ62" s="265"/>
      <c r="FR62" s="265"/>
      <c r="FS62" s="265"/>
      <c r="FT62" s="265"/>
      <c r="FU62" s="265"/>
      <c r="FV62" s="265"/>
      <c r="FW62" s="265"/>
      <c r="FX62" s="265"/>
      <c r="FY62" s="265"/>
      <c r="FZ62" s="265"/>
      <c r="GA62" s="265"/>
      <c r="GB62" s="265"/>
      <c r="GC62" s="265"/>
      <c r="GD62" s="265"/>
      <c r="GE62" s="265"/>
      <c r="GF62" s="265"/>
      <c r="GG62" s="265"/>
      <c r="GH62" s="265"/>
      <c r="GI62" s="265"/>
      <c r="GJ62" s="265"/>
      <c r="GK62" s="265"/>
      <c r="GL62" s="265"/>
      <c r="GM62" s="265"/>
      <c r="GN62" s="265"/>
      <c r="GO62" s="269"/>
      <c r="GP62" s="278"/>
      <c r="GQ62" s="265"/>
      <c r="GR62" s="265"/>
      <c r="GS62" s="265"/>
      <c r="GT62" s="265"/>
      <c r="GU62" s="265"/>
      <c r="GV62" s="265"/>
      <c r="GW62" s="265">
        <v>0</v>
      </c>
      <c r="GX62" s="265">
        <v>0</v>
      </c>
      <c r="GY62" s="265">
        <v>0</v>
      </c>
      <c r="GZ62" s="265">
        <v>0</v>
      </c>
      <c r="HA62" s="265">
        <v>0</v>
      </c>
      <c r="HB62" s="265">
        <v>0</v>
      </c>
      <c r="HC62" s="265">
        <v>0</v>
      </c>
      <c r="HD62" s="265">
        <v>0</v>
      </c>
      <c r="HE62" s="265">
        <v>0</v>
      </c>
      <c r="HF62" s="265">
        <v>0</v>
      </c>
      <c r="HG62" s="265">
        <v>0</v>
      </c>
      <c r="HH62" s="265">
        <v>0</v>
      </c>
      <c r="HI62" s="265"/>
      <c r="HJ62" s="265"/>
      <c r="HK62" s="265"/>
      <c r="HL62" s="265"/>
      <c r="HM62" s="265"/>
      <c r="HN62" s="265"/>
      <c r="HO62" s="265"/>
      <c r="HP62" s="265"/>
      <c r="HQ62" s="265"/>
      <c r="HR62" s="265"/>
      <c r="HS62" s="265"/>
      <c r="HT62" s="368"/>
      <c r="HU62" s="329">
        <f t="shared" si="167"/>
        <v>0</v>
      </c>
    </row>
    <row r="63" spans="1:229" s="7" customFormat="1" ht="15" customHeight="1" thickBot="1" x14ac:dyDescent="0.3">
      <c r="A63" s="2">
        <v>6</v>
      </c>
      <c r="B63" s="474"/>
      <c r="C63" s="3" t="s">
        <v>6</v>
      </c>
      <c r="D63" s="4" t="s">
        <v>20</v>
      </c>
      <c r="E63" s="5"/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09">
        <f t="shared" si="166"/>
        <v>0</v>
      </c>
      <c r="N63" s="139"/>
      <c r="O63" s="7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274"/>
      <c r="AQ63" s="162"/>
      <c r="AR63" s="7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274"/>
      <c r="BW63" s="162"/>
      <c r="BX63" s="7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265"/>
      <c r="CP63" s="265"/>
      <c r="CQ63" s="265"/>
      <c r="CR63" s="265"/>
      <c r="CS63" s="265"/>
      <c r="CT63" s="265"/>
      <c r="CU63" s="265"/>
      <c r="CV63" s="265"/>
      <c r="CW63" s="265"/>
      <c r="CX63" s="265"/>
      <c r="CY63" s="265"/>
      <c r="CZ63" s="265"/>
      <c r="DA63" s="269"/>
      <c r="DB63" s="278"/>
      <c r="DC63" s="265"/>
      <c r="DD63" s="265"/>
      <c r="DE63" s="265"/>
      <c r="DF63" s="265"/>
      <c r="DG63" s="265"/>
      <c r="DH63" s="265"/>
      <c r="DI63" s="265"/>
      <c r="DJ63" s="265"/>
      <c r="DK63" s="265"/>
      <c r="DL63" s="265"/>
      <c r="DM63" s="265"/>
      <c r="DN63" s="265"/>
      <c r="DO63" s="265"/>
      <c r="DP63" s="265"/>
      <c r="DQ63" s="265"/>
      <c r="DR63" s="265"/>
      <c r="DS63" s="265"/>
      <c r="DT63" s="265"/>
      <c r="DU63" s="265"/>
      <c r="DV63" s="265"/>
      <c r="DW63" s="265"/>
      <c r="DX63" s="265"/>
      <c r="DY63" s="265"/>
      <c r="DZ63" s="265"/>
      <c r="EA63" s="265"/>
      <c r="EB63" s="265"/>
      <c r="EC63" s="265"/>
      <c r="ED63" s="265"/>
      <c r="EE63" s="265"/>
      <c r="EF63" s="269"/>
      <c r="EG63" s="278"/>
      <c r="EH63" s="269"/>
      <c r="EI63" s="265"/>
      <c r="EJ63" s="265"/>
      <c r="EK63" s="265"/>
      <c r="EL63" s="265"/>
      <c r="EM63" s="265"/>
      <c r="EN63" s="265"/>
      <c r="EO63" s="265"/>
      <c r="EP63" s="265"/>
      <c r="EQ63" s="265"/>
      <c r="ER63" s="265"/>
      <c r="ES63" s="265"/>
      <c r="ET63" s="265"/>
      <c r="EU63" s="265"/>
      <c r="EV63" s="265"/>
      <c r="EW63" s="265"/>
      <c r="EX63" s="265"/>
      <c r="EY63" s="265"/>
      <c r="EZ63" s="265"/>
      <c r="FA63" s="265"/>
      <c r="FB63" s="265"/>
      <c r="FC63" s="265"/>
      <c r="FD63" s="265"/>
      <c r="FE63" s="265"/>
      <c r="FF63" s="265"/>
      <c r="FG63" s="265"/>
      <c r="FH63" s="265"/>
      <c r="FI63" s="265"/>
      <c r="FJ63" s="269"/>
      <c r="FK63" s="278"/>
      <c r="FL63" s="265"/>
      <c r="FM63" s="265"/>
      <c r="FN63" s="265"/>
      <c r="FO63" s="265"/>
      <c r="FP63" s="265"/>
      <c r="FQ63" s="265"/>
      <c r="FR63" s="265"/>
      <c r="FS63" s="265"/>
      <c r="FT63" s="265"/>
      <c r="FU63" s="265"/>
      <c r="FV63" s="265"/>
      <c r="FW63" s="265"/>
      <c r="FX63" s="265"/>
      <c r="FY63" s="265"/>
      <c r="FZ63" s="265"/>
      <c r="GA63" s="265"/>
      <c r="GB63" s="265"/>
      <c r="GC63" s="265"/>
      <c r="GD63" s="265"/>
      <c r="GE63" s="265"/>
      <c r="GF63" s="265"/>
      <c r="GG63" s="265"/>
      <c r="GH63" s="265"/>
      <c r="GI63" s="265"/>
      <c r="GJ63" s="265"/>
      <c r="GK63" s="265"/>
      <c r="GL63" s="265"/>
      <c r="GM63" s="265"/>
      <c r="GN63" s="265"/>
      <c r="GO63" s="269"/>
      <c r="GP63" s="278"/>
      <c r="GQ63" s="265"/>
      <c r="GR63" s="265"/>
      <c r="GS63" s="265"/>
      <c r="GT63" s="265"/>
      <c r="GU63" s="265"/>
      <c r="GV63" s="265"/>
      <c r="GW63" s="265">
        <v>0</v>
      </c>
      <c r="GX63" s="265">
        <v>0</v>
      </c>
      <c r="GY63" s="265">
        <v>0</v>
      </c>
      <c r="GZ63" s="265">
        <v>0</v>
      </c>
      <c r="HA63" s="265">
        <v>0</v>
      </c>
      <c r="HB63" s="265">
        <v>0</v>
      </c>
      <c r="HC63" s="265">
        <v>0</v>
      </c>
      <c r="HD63" s="265">
        <v>0</v>
      </c>
      <c r="HE63" s="265">
        <v>0</v>
      </c>
      <c r="HF63" s="265">
        <v>0</v>
      </c>
      <c r="HG63" s="265">
        <v>0</v>
      </c>
      <c r="HH63" s="265">
        <v>0</v>
      </c>
      <c r="HI63" s="265"/>
      <c r="HJ63" s="265"/>
      <c r="HK63" s="265"/>
      <c r="HL63" s="265"/>
      <c r="HM63" s="265"/>
      <c r="HN63" s="265"/>
      <c r="HO63" s="265"/>
      <c r="HP63" s="265"/>
      <c r="HQ63" s="265"/>
      <c r="HR63" s="265"/>
      <c r="HS63" s="265"/>
      <c r="HT63" s="368"/>
      <c r="HU63" s="329">
        <f t="shared" si="167"/>
        <v>0</v>
      </c>
    </row>
    <row r="64" spans="1:229" s="7" customFormat="1" ht="15" customHeight="1" thickBot="1" x14ac:dyDescent="0.3">
      <c r="A64" s="2">
        <v>7</v>
      </c>
      <c r="B64" s="474"/>
      <c r="C64" s="3" t="s">
        <v>7</v>
      </c>
      <c r="D64" s="4" t="s">
        <v>20</v>
      </c>
      <c r="E64" s="5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09">
        <f t="shared" si="166"/>
        <v>0</v>
      </c>
      <c r="N64" s="139"/>
      <c r="O64" s="7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274"/>
      <c r="AQ64" s="162"/>
      <c r="AR64" s="7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274"/>
      <c r="BW64" s="162"/>
      <c r="BX64" s="7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265"/>
      <c r="CP64" s="265"/>
      <c r="CQ64" s="265"/>
      <c r="CR64" s="265"/>
      <c r="CS64" s="265"/>
      <c r="CT64" s="265"/>
      <c r="CU64" s="265"/>
      <c r="CV64" s="265"/>
      <c r="CW64" s="265"/>
      <c r="CX64" s="265"/>
      <c r="CY64" s="265"/>
      <c r="CZ64" s="265"/>
      <c r="DA64" s="269"/>
      <c r="DB64" s="278"/>
      <c r="DC64" s="265"/>
      <c r="DD64" s="265"/>
      <c r="DE64" s="265"/>
      <c r="DF64" s="265"/>
      <c r="DG64" s="265"/>
      <c r="DH64" s="265"/>
      <c r="DI64" s="265"/>
      <c r="DJ64" s="265"/>
      <c r="DK64" s="265"/>
      <c r="DL64" s="265"/>
      <c r="DM64" s="265"/>
      <c r="DN64" s="265"/>
      <c r="DO64" s="265"/>
      <c r="DP64" s="265"/>
      <c r="DQ64" s="265"/>
      <c r="DR64" s="265"/>
      <c r="DS64" s="265"/>
      <c r="DT64" s="265"/>
      <c r="DU64" s="265"/>
      <c r="DV64" s="265"/>
      <c r="DW64" s="265"/>
      <c r="DX64" s="265"/>
      <c r="DY64" s="265"/>
      <c r="DZ64" s="265"/>
      <c r="EA64" s="265"/>
      <c r="EB64" s="265"/>
      <c r="EC64" s="265"/>
      <c r="ED64" s="265"/>
      <c r="EE64" s="265"/>
      <c r="EF64" s="269"/>
      <c r="EG64" s="278"/>
      <c r="EH64" s="269"/>
      <c r="EI64" s="265"/>
      <c r="EJ64" s="265"/>
      <c r="EK64" s="265"/>
      <c r="EL64" s="265"/>
      <c r="EM64" s="265"/>
      <c r="EN64" s="265"/>
      <c r="EO64" s="265"/>
      <c r="EP64" s="265"/>
      <c r="EQ64" s="265"/>
      <c r="ER64" s="265"/>
      <c r="ES64" s="265"/>
      <c r="ET64" s="265"/>
      <c r="EU64" s="265"/>
      <c r="EV64" s="265"/>
      <c r="EW64" s="265"/>
      <c r="EX64" s="265"/>
      <c r="EY64" s="265"/>
      <c r="EZ64" s="265"/>
      <c r="FA64" s="265"/>
      <c r="FB64" s="265"/>
      <c r="FC64" s="265"/>
      <c r="FD64" s="265"/>
      <c r="FE64" s="265"/>
      <c r="FF64" s="265"/>
      <c r="FG64" s="265"/>
      <c r="FH64" s="265"/>
      <c r="FI64" s="265"/>
      <c r="FJ64" s="269"/>
      <c r="FK64" s="278"/>
      <c r="FL64" s="265"/>
      <c r="FM64" s="265"/>
      <c r="FN64" s="265"/>
      <c r="FO64" s="265"/>
      <c r="FP64" s="265"/>
      <c r="FQ64" s="265"/>
      <c r="FR64" s="265"/>
      <c r="FS64" s="265"/>
      <c r="FT64" s="265"/>
      <c r="FU64" s="265"/>
      <c r="FV64" s="265"/>
      <c r="FW64" s="265"/>
      <c r="FX64" s="265"/>
      <c r="FY64" s="265"/>
      <c r="FZ64" s="265"/>
      <c r="GA64" s="265"/>
      <c r="GB64" s="265"/>
      <c r="GC64" s="265"/>
      <c r="GD64" s="265"/>
      <c r="GE64" s="265"/>
      <c r="GF64" s="265"/>
      <c r="GG64" s="265"/>
      <c r="GH64" s="265"/>
      <c r="GI64" s="265"/>
      <c r="GJ64" s="265"/>
      <c r="GK64" s="265"/>
      <c r="GL64" s="265"/>
      <c r="GM64" s="265"/>
      <c r="GN64" s="265"/>
      <c r="GO64" s="269"/>
      <c r="GP64" s="278"/>
      <c r="GQ64" s="265"/>
      <c r="GR64" s="265"/>
      <c r="GS64" s="265"/>
      <c r="GT64" s="265"/>
      <c r="GU64" s="265"/>
      <c r="GV64" s="265"/>
      <c r="GW64" s="265">
        <v>0</v>
      </c>
      <c r="GX64" s="265">
        <v>0</v>
      </c>
      <c r="GY64" s="265">
        <v>0</v>
      </c>
      <c r="GZ64" s="265">
        <v>0</v>
      </c>
      <c r="HA64" s="265">
        <v>0</v>
      </c>
      <c r="HB64" s="265">
        <v>0</v>
      </c>
      <c r="HC64" s="265">
        <v>0</v>
      </c>
      <c r="HD64" s="265">
        <v>0</v>
      </c>
      <c r="HE64" s="265">
        <v>0</v>
      </c>
      <c r="HF64" s="265">
        <v>0</v>
      </c>
      <c r="HG64" s="265">
        <v>0</v>
      </c>
      <c r="HH64" s="265">
        <v>0</v>
      </c>
      <c r="HI64" s="265"/>
      <c r="HJ64" s="265"/>
      <c r="HK64" s="265"/>
      <c r="HL64" s="265"/>
      <c r="HM64" s="265"/>
      <c r="HN64" s="265"/>
      <c r="HO64" s="265"/>
      <c r="HP64" s="265"/>
      <c r="HQ64" s="265"/>
      <c r="HR64" s="265"/>
      <c r="HS64" s="265"/>
      <c r="HT64" s="368"/>
      <c r="HU64" s="329">
        <f t="shared" si="167"/>
        <v>0</v>
      </c>
    </row>
    <row r="65" spans="1:229" s="7" customFormat="1" ht="15" customHeight="1" thickBot="1" x14ac:dyDescent="0.3">
      <c r="A65" s="2">
        <v>8</v>
      </c>
      <c r="B65" s="474"/>
      <c r="C65" s="3" t="s">
        <v>8</v>
      </c>
      <c r="D65" s="4" t="s">
        <v>20</v>
      </c>
      <c r="E65" s="5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09">
        <f t="shared" si="166"/>
        <v>0</v>
      </c>
      <c r="N65" s="139"/>
      <c r="O65" s="7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274"/>
      <c r="AQ65" s="162"/>
      <c r="AR65" s="7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274"/>
      <c r="BW65" s="162"/>
      <c r="BX65" s="7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265"/>
      <c r="CP65" s="265"/>
      <c r="CQ65" s="265"/>
      <c r="CR65" s="265"/>
      <c r="CS65" s="265"/>
      <c r="CT65" s="265"/>
      <c r="CU65" s="265"/>
      <c r="CV65" s="265"/>
      <c r="CW65" s="265"/>
      <c r="CX65" s="265"/>
      <c r="CY65" s="265"/>
      <c r="CZ65" s="265"/>
      <c r="DA65" s="269"/>
      <c r="DB65" s="278"/>
      <c r="DC65" s="265"/>
      <c r="DD65" s="265"/>
      <c r="DE65" s="265"/>
      <c r="DF65" s="265"/>
      <c r="DG65" s="265"/>
      <c r="DH65" s="265"/>
      <c r="DI65" s="265"/>
      <c r="DJ65" s="265"/>
      <c r="DK65" s="265"/>
      <c r="DL65" s="265"/>
      <c r="DM65" s="265"/>
      <c r="DN65" s="265"/>
      <c r="DO65" s="265"/>
      <c r="DP65" s="265"/>
      <c r="DQ65" s="265"/>
      <c r="DR65" s="265"/>
      <c r="DS65" s="265"/>
      <c r="DT65" s="265"/>
      <c r="DU65" s="265"/>
      <c r="DV65" s="265"/>
      <c r="DW65" s="265"/>
      <c r="DX65" s="265"/>
      <c r="DY65" s="265"/>
      <c r="DZ65" s="265"/>
      <c r="EA65" s="265"/>
      <c r="EB65" s="265"/>
      <c r="EC65" s="265"/>
      <c r="ED65" s="265"/>
      <c r="EE65" s="265"/>
      <c r="EF65" s="269"/>
      <c r="EG65" s="278"/>
      <c r="EH65" s="269"/>
      <c r="EI65" s="265"/>
      <c r="EJ65" s="265"/>
      <c r="EK65" s="265"/>
      <c r="EL65" s="265"/>
      <c r="EM65" s="265"/>
      <c r="EN65" s="265"/>
      <c r="EO65" s="265"/>
      <c r="EP65" s="265"/>
      <c r="EQ65" s="265"/>
      <c r="ER65" s="265"/>
      <c r="ES65" s="265"/>
      <c r="ET65" s="265"/>
      <c r="EU65" s="265"/>
      <c r="EV65" s="265"/>
      <c r="EW65" s="265"/>
      <c r="EX65" s="265"/>
      <c r="EY65" s="265"/>
      <c r="EZ65" s="265"/>
      <c r="FA65" s="265"/>
      <c r="FB65" s="265"/>
      <c r="FC65" s="265"/>
      <c r="FD65" s="265"/>
      <c r="FE65" s="265"/>
      <c r="FF65" s="265"/>
      <c r="FG65" s="265"/>
      <c r="FH65" s="265"/>
      <c r="FI65" s="265"/>
      <c r="FJ65" s="269"/>
      <c r="FK65" s="278"/>
      <c r="FL65" s="265"/>
      <c r="FM65" s="265"/>
      <c r="FN65" s="265"/>
      <c r="FO65" s="265"/>
      <c r="FP65" s="265"/>
      <c r="FQ65" s="265"/>
      <c r="FR65" s="265"/>
      <c r="FS65" s="265"/>
      <c r="FT65" s="265"/>
      <c r="FU65" s="265"/>
      <c r="FV65" s="265"/>
      <c r="FW65" s="265"/>
      <c r="FX65" s="265"/>
      <c r="FY65" s="265"/>
      <c r="FZ65" s="265"/>
      <c r="GA65" s="265"/>
      <c r="GB65" s="265"/>
      <c r="GC65" s="265"/>
      <c r="GD65" s="265"/>
      <c r="GE65" s="265"/>
      <c r="GF65" s="265"/>
      <c r="GG65" s="265"/>
      <c r="GH65" s="265"/>
      <c r="GI65" s="265"/>
      <c r="GJ65" s="265"/>
      <c r="GK65" s="265"/>
      <c r="GL65" s="265"/>
      <c r="GM65" s="265"/>
      <c r="GN65" s="265"/>
      <c r="GO65" s="269"/>
      <c r="GP65" s="278"/>
      <c r="GQ65" s="265"/>
      <c r="GR65" s="265"/>
      <c r="GS65" s="265"/>
      <c r="GT65" s="265"/>
      <c r="GU65" s="265"/>
      <c r="GV65" s="265"/>
      <c r="GW65" s="265">
        <v>0</v>
      </c>
      <c r="GX65" s="265">
        <v>0</v>
      </c>
      <c r="GY65" s="265">
        <v>0</v>
      </c>
      <c r="GZ65" s="265">
        <v>0</v>
      </c>
      <c r="HA65" s="265">
        <v>0</v>
      </c>
      <c r="HB65" s="265">
        <v>0</v>
      </c>
      <c r="HC65" s="265">
        <v>0</v>
      </c>
      <c r="HD65" s="265">
        <v>0</v>
      </c>
      <c r="HE65" s="265">
        <v>0</v>
      </c>
      <c r="HF65" s="265">
        <v>0</v>
      </c>
      <c r="HG65" s="265">
        <v>0</v>
      </c>
      <c r="HH65" s="265">
        <v>0</v>
      </c>
      <c r="HI65" s="265"/>
      <c r="HJ65" s="265"/>
      <c r="HK65" s="265"/>
      <c r="HL65" s="265"/>
      <c r="HM65" s="265"/>
      <c r="HN65" s="265"/>
      <c r="HO65" s="265"/>
      <c r="HP65" s="265"/>
      <c r="HQ65" s="265"/>
      <c r="HR65" s="265"/>
      <c r="HS65" s="265"/>
      <c r="HT65" s="368"/>
      <c r="HU65" s="329">
        <f t="shared" si="167"/>
        <v>0</v>
      </c>
    </row>
    <row r="66" spans="1:229" s="7" customFormat="1" ht="15" customHeight="1" thickBot="1" x14ac:dyDescent="0.3">
      <c r="A66" s="2">
        <v>9</v>
      </c>
      <c r="B66" s="474"/>
      <c r="C66" s="3" t="s">
        <v>9</v>
      </c>
      <c r="D66" s="4" t="s">
        <v>20</v>
      </c>
      <c r="E66" s="5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09">
        <f t="shared" si="166"/>
        <v>0</v>
      </c>
      <c r="N66" s="139"/>
      <c r="O66" s="7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274"/>
      <c r="AQ66" s="162"/>
      <c r="AR66" s="7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274"/>
      <c r="BW66" s="162"/>
      <c r="BX66" s="7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265"/>
      <c r="CP66" s="265"/>
      <c r="CQ66" s="265"/>
      <c r="CR66" s="265"/>
      <c r="CS66" s="265"/>
      <c r="CT66" s="265"/>
      <c r="CU66" s="265"/>
      <c r="CV66" s="265"/>
      <c r="CW66" s="265"/>
      <c r="CX66" s="265"/>
      <c r="CY66" s="265"/>
      <c r="CZ66" s="265"/>
      <c r="DA66" s="269"/>
      <c r="DB66" s="278"/>
      <c r="DC66" s="265"/>
      <c r="DD66" s="265"/>
      <c r="DE66" s="265"/>
      <c r="DF66" s="265"/>
      <c r="DG66" s="265"/>
      <c r="DH66" s="265"/>
      <c r="DI66" s="265"/>
      <c r="DJ66" s="265"/>
      <c r="DK66" s="265"/>
      <c r="DL66" s="265"/>
      <c r="DM66" s="265"/>
      <c r="DN66" s="265"/>
      <c r="DO66" s="265"/>
      <c r="DP66" s="265"/>
      <c r="DQ66" s="265"/>
      <c r="DR66" s="265"/>
      <c r="DS66" s="265"/>
      <c r="DT66" s="265"/>
      <c r="DU66" s="265"/>
      <c r="DV66" s="265"/>
      <c r="DW66" s="265"/>
      <c r="DX66" s="265"/>
      <c r="DY66" s="265"/>
      <c r="DZ66" s="265"/>
      <c r="EA66" s="265"/>
      <c r="EB66" s="265"/>
      <c r="EC66" s="265"/>
      <c r="ED66" s="265"/>
      <c r="EE66" s="265"/>
      <c r="EF66" s="269"/>
      <c r="EG66" s="278"/>
      <c r="EH66" s="269"/>
      <c r="EI66" s="265"/>
      <c r="EJ66" s="265"/>
      <c r="EK66" s="265"/>
      <c r="EL66" s="265"/>
      <c r="EM66" s="265"/>
      <c r="EN66" s="265"/>
      <c r="EO66" s="265"/>
      <c r="EP66" s="265"/>
      <c r="EQ66" s="265"/>
      <c r="ER66" s="265"/>
      <c r="ES66" s="265"/>
      <c r="ET66" s="265"/>
      <c r="EU66" s="265"/>
      <c r="EV66" s="265"/>
      <c r="EW66" s="265"/>
      <c r="EX66" s="265"/>
      <c r="EY66" s="265"/>
      <c r="EZ66" s="265"/>
      <c r="FA66" s="265"/>
      <c r="FB66" s="265"/>
      <c r="FC66" s="265"/>
      <c r="FD66" s="265"/>
      <c r="FE66" s="265"/>
      <c r="FF66" s="265"/>
      <c r="FG66" s="265"/>
      <c r="FH66" s="265"/>
      <c r="FI66" s="265"/>
      <c r="FJ66" s="269"/>
      <c r="FK66" s="278"/>
      <c r="FL66" s="265"/>
      <c r="FM66" s="265"/>
      <c r="FN66" s="265"/>
      <c r="FO66" s="265"/>
      <c r="FP66" s="265"/>
      <c r="FQ66" s="265"/>
      <c r="FR66" s="265"/>
      <c r="FS66" s="265"/>
      <c r="FT66" s="265"/>
      <c r="FU66" s="265"/>
      <c r="FV66" s="265"/>
      <c r="FW66" s="265"/>
      <c r="FX66" s="265"/>
      <c r="FY66" s="265"/>
      <c r="FZ66" s="265"/>
      <c r="GA66" s="265"/>
      <c r="GB66" s="265"/>
      <c r="GC66" s="265"/>
      <c r="GD66" s="265"/>
      <c r="GE66" s="265"/>
      <c r="GF66" s="265"/>
      <c r="GG66" s="265"/>
      <c r="GH66" s="265"/>
      <c r="GI66" s="265"/>
      <c r="GJ66" s="265"/>
      <c r="GK66" s="265"/>
      <c r="GL66" s="265"/>
      <c r="GM66" s="265"/>
      <c r="GN66" s="265"/>
      <c r="GO66" s="269"/>
      <c r="GP66" s="278"/>
      <c r="GQ66" s="265"/>
      <c r="GR66" s="265"/>
      <c r="GS66" s="265"/>
      <c r="GT66" s="265"/>
      <c r="GU66" s="265"/>
      <c r="GV66" s="265"/>
      <c r="GW66" s="265">
        <v>0</v>
      </c>
      <c r="GX66" s="265">
        <v>0</v>
      </c>
      <c r="GY66" s="265">
        <v>0</v>
      </c>
      <c r="GZ66" s="265">
        <v>0</v>
      </c>
      <c r="HA66" s="265">
        <v>0</v>
      </c>
      <c r="HB66" s="265">
        <v>0</v>
      </c>
      <c r="HC66" s="265">
        <v>0</v>
      </c>
      <c r="HD66" s="265">
        <v>0</v>
      </c>
      <c r="HE66" s="265">
        <v>0</v>
      </c>
      <c r="HF66" s="265">
        <v>0</v>
      </c>
      <c r="HG66" s="265">
        <v>0</v>
      </c>
      <c r="HH66" s="265">
        <v>0</v>
      </c>
      <c r="HI66" s="265"/>
      <c r="HJ66" s="265"/>
      <c r="HK66" s="265"/>
      <c r="HL66" s="265"/>
      <c r="HM66" s="265"/>
      <c r="HN66" s="265"/>
      <c r="HO66" s="265"/>
      <c r="HP66" s="265"/>
      <c r="HQ66" s="265"/>
      <c r="HR66" s="265"/>
      <c r="HS66" s="265"/>
      <c r="HT66" s="368"/>
      <c r="HU66" s="329">
        <f t="shared" si="167"/>
        <v>0</v>
      </c>
    </row>
    <row r="67" spans="1:229" s="7" customFormat="1" ht="15" customHeight="1" thickBot="1" x14ac:dyDescent="0.3">
      <c r="A67" s="2">
        <v>10</v>
      </c>
      <c r="B67" s="474"/>
      <c r="C67" s="3" t="s">
        <v>10</v>
      </c>
      <c r="D67" s="4" t="s">
        <v>20</v>
      </c>
      <c r="E67" s="5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09">
        <f t="shared" si="166"/>
        <v>0</v>
      </c>
      <c r="N67" s="139"/>
      <c r="O67" s="7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274"/>
      <c r="AQ67" s="162"/>
      <c r="AR67" s="7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274"/>
      <c r="BW67" s="162"/>
      <c r="BX67" s="7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265"/>
      <c r="CP67" s="265"/>
      <c r="CQ67" s="265"/>
      <c r="CR67" s="265"/>
      <c r="CS67" s="265"/>
      <c r="CT67" s="265"/>
      <c r="CU67" s="265"/>
      <c r="CV67" s="265"/>
      <c r="CW67" s="265"/>
      <c r="CX67" s="265"/>
      <c r="CY67" s="265"/>
      <c r="CZ67" s="265"/>
      <c r="DA67" s="269"/>
      <c r="DB67" s="278"/>
      <c r="DC67" s="265"/>
      <c r="DD67" s="265"/>
      <c r="DE67" s="265"/>
      <c r="DF67" s="265"/>
      <c r="DG67" s="265"/>
      <c r="DH67" s="265"/>
      <c r="DI67" s="265"/>
      <c r="DJ67" s="265"/>
      <c r="DK67" s="265"/>
      <c r="DL67" s="265"/>
      <c r="DM67" s="265"/>
      <c r="DN67" s="265"/>
      <c r="DO67" s="265"/>
      <c r="DP67" s="265"/>
      <c r="DQ67" s="265"/>
      <c r="DR67" s="265"/>
      <c r="DS67" s="265"/>
      <c r="DT67" s="265"/>
      <c r="DU67" s="265"/>
      <c r="DV67" s="265"/>
      <c r="DW67" s="265"/>
      <c r="DX67" s="265"/>
      <c r="DY67" s="265"/>
      <c r="DZ67" s="265"/>
      <c r="EA67" s="265"/>
      <c r="EB67" s="265"/>
      <c r="EC67" s="265"/>
      <c r="ED67" s="265"/>
      <c r="EE67" s="265"/>
      <c r="EF67" s="269"/>
      <c r="EG67" s="278"/>
      <c r="EH67" s="269"/>
      <c r="EI67" s="265"/>
      <c r="EJ67" s="265"/>
      <c r="EK67" s="265"/>
      <c r="EL67" s="265"/>
      <c r="EM67" s="265"/>
      <c r="EN67" s="265"/>
      <c r="EO67" s="265"/>
      <c r="EP67" s="265"/>
      <c r="EQ67" s="265"/>
      <c r="ER67" s="265"/>
      <c r="ES67" s="265"/>
      <c r="ET67" s="265"/>
      <c r="EU67" s="265"/>
      <c r="EV67" s="265"/>
      <c r="EW67" s="265"/>
      <c r="EX67" s="265"/>
      <c r="EY67" s="265"/>
      <c r="EZ67" s="265"/>
      <c r="FA67" s="265"/>
      <c r="FB67" s="265"/>
      <c r="FC67" s="265"/>
      <c r="FD67" s="265"/>
      <c r="FE67" s="265"/>
      <c r="FF67" s="265"/>
      <c r="FG67" s="265"/>
      <c r="FH67" s="265"/>
      <c r="FI67" s="265"/>
      <c r="FJ67" s="269"/>
      <c r="FK67" s="278"/>
      <c r="FL67" s="265"/>
      <c r="FM67" s="265"/>
      <c r="FN67" s="265"/>
      <c r="FO67" s="265"/>
      <c r="FP67" s="265"/>
      <c r="FQ67" s="265"/>
      <c r="FR67" s="265"/>
      <c r="FS67" s="265"/>
      <c r="FT67" s="265"/>
      <c r="FU67" s="265"/>
      <c r="FV67" s="265"/>
      <c r="FW67" s="265"/>
      <c r="FX67" s="265"/>
      <c r="FY67" s="265"/>
      <c r="FZ67" s="265"/>
      <c r="GA67" s="265"/>
      <c r="GB67" s="265"/>
      <c r="GC67" s="265"/>
      <c r="GD67" s="265"/>
      <c r="GE67" s="265"/>
      <c r="GF67" s="265"/>
      <c r="GG67" s="265"/>
      <c r="GH67" s="265"/>
      <c r="GI67" s="265"/>
      <c r="GJ67" s="265"/>
      <c r="GK67" s="265"/>
      <c r="GL67" s="265"/>
      <c r="GM67" s="265"/>
      <c r="GN67" s="265"/>
      <c r="GO67" s="269"/>
      <c r="GP67" s="278"/>
      <c r="GQ67" s="265"/>
      <c r="GR67" s="265"/>
      <c r="GS67" s="265"/>
      <c r="GT67" s="265"/>
      <c r="GU67" s="265"/>
      <c r="GV67" s="265"/>
      <c r="GW67" s="265">
        <v>0</v>
      </c>
      <c r="GX67" s="265">
        <v>0</v>
      </c>
      <c r="GY67" s="265">
        <v>0</v>
      </c>
      <c r="GZ67" s="265">
        <v>0</v>
      </c>
      <c r="HA67" s="265">
        <v>0</v>
      </c>
      <c r="HB67" s="265">
        <v>0</v>
      </c>
      <c r="HC67" s="265">
        <v>0</v>
      </c>
      <c r="HD67" s="265">
        <v>0</v>
      </c>
      <c r="HE67" s="265">
        <v>0</v>
      </c>
      <c r="HF67" s="265">
        <v>0</v>
      </c>
      <c r="HG67" s="265">
        <v>0</v>
      </c>
      <c r="HH67" s="265">
        <v>0</v>
      </c>
      <c r="HI67" s="265"/>
      <c r="HJ67" s="265"/>
      <c r="HK67" s="265"/>
      <c r="HL67" s="265"/>
      <c r="HM67" s="265"/>
      <c r="HN67" s="265"/>
      <c r="HO67" s="265"/>
      <c r="HP67" s="265"/>
      <c r="HQ67" s="265"/>
      <c r="HR67" s="265"/>
      <c r="HS67" s="265"/>
      <c r="HT67" s="368"/>
      <c r="HU67" s="329">
        <f t="shared" si="167"/>
        <v>0</v>
      </c>
    </row>
    <row r="68" spans="1:229" s="7" customFormat="1" ht="15" customHeight="1" thickBot="1" x14ac:dyDescent="0.3">
      <c r="A68" s="2">
        <v>11</v>
      </c>
      <c r="B68" s="496"/>
      <c r="C68" s="3" t="s">
        <v>11</v>
      </c>
      <c r="D68" s="4" t="s">
        <v>20</v>
      </c>
      <c r="E68" s="5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09">
        <f t="shared" si="166"/>
        <v>0</v>
      </c>
      <c r="N68" s="139"/>
      <c r="O68" s="197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  <c r="AP68" s="287"/>
      <c r="AQ68" s="162"/>
      <c r="AR68" s="197"/>
      <c r="AS68" s="198"/>
      <c r="AT68" s="198"/>
      <c r="AU68" s="198"/>
      <c r="AV68" s="198"/>
      <c r="AW68" s="198"/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/>
      <c r="BT68" s="198"/>
      <c r="BU68" s="198"/>
      <c r="BV68" s="287"/>
      <c r="BW68" s="162"/>
      <c r="BX68" s="197"/>
      <c r="BY68" s="198"/>
      <c r="BZ68" s="198"/>
      <c r="CA68" s="198"/>
      <c r="CB68" s="198"/>
      <c r="CC68" s="198"/>
      <c r="CD68" s="198"/>
      <c r="CE68" s="198"/>
      <c r="CF68" s="198"/>
      <c r="CG68" s="198"/>
      <c r="CH68" s="198"/>
      <c r="CI68" s="198"/>
      <c r="CJ68" s="198"/>
      <c r="CK68" s="198"/>
      <c r="CL68" s="198"/>
      <c r="CM68" s="198"/>
      <c r="CN68" s="198"/>
      <c r="CO68" s="311"/>
      <c r="CP68" s="311"/>
      <c r="CQ68" s="311"/>
      <c r="CR68" s="311"/>
      <c r="CS68" s="311"/>
      <c r="CT68" s="311"/>
      <c r="CU68" s="311"/>
      <c r="CV68" s="311"/>
      <c r="CW68" s="311"/>
      <c r="CX68" s="311"/>
      <c r="CY68" s="311"/>
      <c r="CZ68" s="311"/>
      <c r="DA68" s="331"/>
      <c r="DB68" s="278"/>
      <c r="DC68" s="265"/>
      <c r="DD68" s="265"/>
      <c r="DE68" s="265"/>
      <c r="DF68" s="265"/>
      <c r="DG68" s="265"/>
      <c r="DH68" s="265"/>
      <c r="DI68" s="265"/>
      <c r="DJ68" s="265"/>
      <c r="DK68" s="265"/>
      <c r="DL68" s="265"/>
      <c r="DM68" s="265"/>
      <c r="DN68" s="265"/>
      <c r="DO68" s="265"/>
      <c r="DP68" s="265"/>
      <c r="DQ68" s="265"/>
      <c r="DR68" s="265"/>
      <c r="DS68" s="265"/>
      <c r="DT68" s="265"/>
      <c r="DU68" s="265"/>
      <c r="DV68" s="265"/>
      <c r="DW68" s="265"/>
      <c r="DX68" s="265"/>
      <c r="DY68" s="265"/>
      <c r="DZ68" s="265"/>
      <c r="EA68" s="265"/>
      <c r="EB68" s="265"/>
      <c r="EC68" s="265"/>
      <c r="ED68" s="265"/>
      <c r="EE68" s="265"/>
      <c r="EF68" s="269"/>
      <c r="EG68" s="278"/>
      <c r="EH68" s="269"/>
      <c r="EI68" s="265"/>
      <c r="EJ68" s="265"/>
      <c r="EK68" s="265"/>
      <c r="EL68" s="265"/>
      <c r="EM68" s="265"/>
      <c r="EN68" s="265"/>
      <c r="EO68" s="265"/>
      <c r="EP68" s="265"/>
      <c r="EQ68" s="265"/>
      <c r="ER68" s="265"/>
      <c r="ES68" s="265"/>
      <c r="ET68" s="265"/>
      <c r="EU68" s="265"/>
      <c r="EV68" s="265"/>
      <c r="EW68" s="265"/>
      <c r="EX68" s="265"/>
      <c r="EY68" s="265"/>
      <c r="EZ68" s="265"/>
      <c r="FA68" s="265"/>
      <c r="FB68" s="265"/>
      <c r="FC68" s="265"/>
      <c r="FD68" s="265"/>
      <c r="FE68" s="265"/>
      <c r="FF68" s="265"/>
      <c r="FG68" s="265"/>
      <c r="FH68" s="265"/>
      <c r="FI68" s="265"/>
      <c r="FJ68" s="269"/>
      <c r="FK68" s="278"/>
      <c r="FL68" s="265"/>
      <c r="FM68" s="265"/>
      <c r="FN68" s="265"/>
      <c r="FO68" s="265"/>
      <c r="FP68" s="265"/>
      <c r="FQ68" s="265"/>
      <c r="FR68" s="265"/>
      <c r="FS68" s="265"/>
      <c r="FT68" s="265"/>
      <c r="FU68" s="265"/>
      <c r="FV68" s="265"/>
      <c r="FW68" s="265"/>
      <c r="FX68" s="265"/>
      <c r="FY68" s="265"/>
      <c r="FZ68" s="265"/>
      <c r="GA68" s="265"/>
      <c r="GB68" s="265"/>
      <c r="GC68" s="265"/>
      <c r="GD68" s="265"/>
      <c r="GE68" s="265"/>
      <c r="GF68" s="265"/>
      <c r="GG68" s="265"/>
      <c r="GH68" s="265"/>
      <c r="GI68" s="265"/>
      <c r="GJ68" s="265"/>
      <c r="GK68" s="265"/>
      <c r="GL68" s="265"/>
      <c r="GM68" s="265"/>
      <c r="GN68" s="265"/>
      <c r="GO68" s="269"/>
      <c r="GP68" s="278"/>
      <c r="GQ68" s="265"/>
      <c r="GR68" s="265"/>
      <c r="GS68" s="265"/>
      <c r="GT68" s="265"/>
      <c r="GU68" s="265"/>
      <c r="GV68" s="265"/>
      <c r="GW68" s="265">
        <v>0</v>
      </c>
      <c r="GX68" s="265">
        <v>0</v>
      </c>
      <c r="GY68" s="265">
        <v>0</v>
      </c>
      <c r="GZ68" s="265">
        <v>0</v>
      </c>
      <c r="HA68" s="265">
        <v>0</v>
      </c>
      <c r="HB68" s="265">
        <v>0</v>
      </c>
      <c r="HC68" s="265">
        <v>0</v>
      </c>
      <c r="HD68" s="265">
        <v>0</v>
      </c>
      <c r="HE68" s="265">
        <v>0</v>
      </c>
      <c r="HF68" s="265">
        <v>0</v>
      </c>
      <c r="HG68" s="265">
        <v>0</v>
      </c>
      <c r="HH68" s="265">
        <v>0</v>
      </c>
      <c r="HI68" s="265"/>
      <c r="HJ68" s="265"/>
      <c r="HK68" s="265"/>
      <c r="HL68" s="265"/>
      <c r="HM68" s="265"/>
      <c r="HN68" s="265"/>
      <c r="HO68" s="265"/>
      <c r="HP68" s="265"/>
      <c r="HQ68" s="265"/>
      <c r="HR68" s="265"/>
      <c r="HS68" s="265"/>
      <c r="HT68" s="368"/>
      <c r="HU68" s="329">
        <f t="shared" si="167"/>
        <v>0</v>
      </c>
    </row>
    <row r="69" spans="1:229" s="7" customFormat="1" ht="24.75" customHeight="1" thickBot="1" x14ac:dyDescent="0.3">
      <c r="A69" s="258"/>
      <c r="B69" s="259"/>
      <c r="C69" s="260"/>
      <c r="D69" s="261"/>
      <c r="E69" s="262"/>
      <c r="F69" s="263"/>
      <c r="G69" s="263"/>
      <c r="H69" s="263"/>
      <c r="I69" s="263"/>
      <c r="J69" s="263"/>
      <c r="K69" s="263"/>
      <c r="L69" s="263"/>
      <c r="M69" s="264"/>
      <c r="N69" s="133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  <c r="AL69" s="262"/>
      <c r="AM69" s="262"/>
      <c r="AN69" s="262"/>
      <c r="AO69" s="262"/>
      <c r="AP69" s="262"/>
      <c r="AQ69" s="262"/>
      <c r="AR69" s="262"/>
      <c r="AS69" s="262"/>
      <c r="AT69" s="262"/>
      <c r="AU69" s="262"/>
      <c r="AV69" s="262"/>
      <c r="AW69" s="262"/>
      <c r="AX69" s="262"/>
      <c r="AY69" s="262"/>
      <c r="AZ69" s="262"/>
      <c r="BA69" s="262"/>
      <c r="BB69" s="262"/>
      <c r="BC69" s="262"/>
      <c r="BD69" s="262"/>
      <c r="BE69" s="262"/>
      <c r="BF69" s="262"/>
      <c r="BG69" s="262"/>
      <c r="BH69" s="262"/>
      <c r="BI69" s="262"/>
      <c r="BJ69" s="262"/>
      <c r="BK69" s="262"/>
      <c r="BL69" s="262"/>
      <c r="BM69" s="262"/>
      <c r="BN69" s="262"/>
      <c r="BO69" s="262"/>
      <c r="BP69" s="262"/>
      <c r="BQ69" s="262"/>
      <c r="BR69" s="262"/>
      <c r="BS69" s="262"/>
      <c r="BT69" s="262"/>
      <c r="BU69" s="262"/>
      <c r="BV69" s="262"/>
      <c r="BW69" s="312"/>
      <c r="BX69" s="262"/>
      <c r="BY69" s="262"/>
      <c r="BZ69" s="262"/>
      <c r="CA69" s="262"/>
      <c r="CB69" s="262"/>
      <c r="CC69" s="262"/>
      <c r="CD69" s="262"/>
      <c r="CE69" s="262"/>
      <c r="CF69" s="262"/>
      <c r="CG69" s="262"/>
      <c r="CH69" s="262"/>
      <c r="CI69" s="262"/>
      <c r="CJ69" s="262"/>
      <c r="CK69" s="262"/>
      <c r="CL69" s="262"/>
      <c r="CM69" s="262"/>
      <c r="CN69" s="262"/>
      <c r="CO69" s="262"/>
      <c r="CP69" s="262"/>
      <c r="CQ69" s="262"/>
      <c r="CR69" s="262"/>
      <c r="CS69" s="262"/>
      <c r="CT69" s="262"/>
      <c r="CU69" s="262"/>
      <c r="CV69" s="262"/>
      <c r="CW69" s="262"/>
      <c r="CX69" s="262"/>
      <c r="CY69" s="262"/>
      <c r="CZ69" s="262"/>
      <c r="DA69" s="271"/>
      <c r="DB69" s="83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159"/>
      <c r="EG69" s="83"/>
      <c r="EH69" s="159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>
        <f t="shared" ref="EU69:GW69" si="168">SUM(EU58:EU68)</f>
        <v>0</v>
      </c>
      <c r="EV69" s="20">
        <f t="shared" si="168"/>
        <v>0</v>
      </c>
      <c r="EW69" s="20">
        <f t="shared" si="168"/>
        <v>0</v>
      </c>
      <c r="EX69" s="20">
        <f t="shared" si="168"/>
        <v>0</v>
      </c>
      <c r="EY69" s="20">
        <f t="shared" si="168"/>
        <v>0</v>
      </c>
      <c r="EZ69" s="20">
        <f t="shared" si="168"/>
        <v>0</v>
      </c>
      <c r="FA69" s="20">
        <f t="shared" si="168"/>
        <v>0</v>
      </c>
      <c r="FB69" s="20">
        <f t="shared" si="168"/>
        <v>0</v>
      </c>
      <c r="FC69" s="20">
        <f t="shared" si="168"/>
        <v>0</v>
      </c>
      <c r="FD69" s="20">
        <f t="shared" si="168"/>
        <v>0</v>
      </c>
      <c r="FE69" s="20">
        <f t="shared" si="168"/>
        <v>0</v>
      </c>
      <c r="FF69" s="20">
        <f t="shared" si="168"/>
        <v>0</v>
      </c>
      <c r="FG69" s="20">
        <f t="shared" si="168"/>
        <v>0</v>
      </c>
      <c r="FH69" s="20">
        <f t="shared" si="168"/>
        <v>0</v>
      </c>
      <c r="FI69" s="20">
        <f t="shared" si="168"/>
        <v>0</v>
      </c>
      <c r="FJ69" s="159">
        <f t="shared" si="168"/>
        <v>0</v>
      </c>
      <c r="FK69" s="83">
        <f t="shared" si="168"/>
        <v>0</v>
      </c>
      <c r="FL69" s="20">
        <f t="shared" si="168"/>
        <v>0</v>
      </c>
      <c r="FM69" s="20">
        <f t="shared" si="168"/>
        <v>0</v>
      </c>
      <c r="FN69" s="20">
        <f t="shared" si="168"/>
        <v>0</v>
      </c>
      <c r="FO69" s="20">
        <f t="shared" si="168"/>
        <v>0</v>
      </c>
      <c r="FP69" s="20">
        <f t="shared" si="168"/>
        <v>0</v>
      </c>
      <c r="FQ69" s="20">
        <f t="shared" si="168"/>
        <v>0</v>
      </c>
      <c r="FR69" s="20">
        <f t="shared" si="168"/>
        <v>0</v>
      </c>
      <c r="FS69" s="20">
        <f t="shared" si="168"/>
        <v>0</v>
      </c>
      <c r="FT69" s="20">
        <f t="shared" si="168"/>
        <v>0</v>
      </c>
      <c r="FU69" s="20">
        <f t="shared" si="168"/>
        <v>0</v>
      </c>
      <c r="FV69" s="20">
        <f t="shared" si="168"/>
        <v>0</v>
      </c>
      <c r="FW69" s="20">
        <f t="shared" si="168"/>
        <v>0</v>
      </c>
      <c r="FX69" s="20">
        <f t="shared" si="168"/>
        <v>0</v>
      </c>
      <c r="FY69" s="20">
        <f t="shared" si="168"/>
        <v>0</v>
      </c>
      <c r="FZ69" s="20">
        <f t="shared" si="168"/>
        <v>0</v>
      </c>
      <c r="GA69" s="20">
        <f t="shared" si="168"/>
        <v>0</v>
      </c>
      <c r="GB69" s="20">
        <f t="shared" si="168"/>
        <v>0</v>
      </c>
      <c r="GC69" s="20">
        <f t="shared" si="168"/>
        <v>0</v>
      </c>
      <c r="GD69" s="20">
        <f t="shared" si="168"/>
        <v>0</v>
      </c>
      <c r="GE69" s="20">
        <f t="shared" si="168"/>
        <v>0</v>
      </c>
      <c r="GF69" s="20">
        <f t="shared" si="168"/>
        <v>0</v>
      </c>
      <c r="GG69" s="20">
        <f t="shared" si="168"/>
        <v>0</v>
      </c>
      <c r="GH69" s="20">
        <f t="shared" si="168"/>
        <v>0</v>
      </c>
      <c r="GI69" s="20">
        <f t="shared" si="168"/>
        <v>0</v>
      </c>
      <c r="GJ69" s="20">
        <f t="shared" si="168"/>
        <v>0</v>
      </c>
      <c r="GK69" s="20">
        <f t="shared" si="168"/>
        <v>0</v>
      </c>
      <c r="GL69" s="20">
        <f t="shared" si="168"/>
        <v>0</v>
      </c>
      <c r="GM69" s="20">
        <f t="shared" si="168"/>
        <v>0</v>
      </c>
      <c r="GN69" s="20">
        <f t="shared" si="168"/>
        <v>0</v>
      </c>
      <c r="GO69" s="159">
        <f t="shared" si="168"/>
        <v>0</v>
      </c>
      <c r="GP69" s="83">
        <f t="shared" si="168"/>
        <v>0</v>
      </c>
      <c r="GQ69" s="20">
        <f t="shared" si="168"/>
        <v>0</v>
      </c>
      <c r="GR69" s="20">
        <f t="shared" si="168"/>
        <v>0</v>
      </c>
      <c r="GS69" s="20">
        <f t="shared" si="168"/>
        <v>0</v>
      </c>
      <c r="GT69" s="20">
        <f t="shared" si="168"/>
        <v>0</v>
      </c>
      <c r="GU69" s="20">
        <f t="shared" si="168"/>
        <v>0</v>
      </c>
      <c r="GV69" s="20">
        <f t="shared" si="168"/>
        <v>0</v>
      </c>
      <c r="GW69" s="20">
        <f t="shared" si="168"/>
        <v>12</v>
      </c>
      <c r="GX69" s="20">
        <f t="shared" ref="GX69:GY69" si="169">SUM(GX58:GX68)</f>
        <v>0</v>
      </c>
      <c r="GY69" s="20">
        <f t="shared" si="169"/>
        <v>0</v>
      </c>
      <c r="GZ69" s="20">
        <f t="shared" ref="GZ69:HA69" si="170">SUM(GZ58:GZ68)</f>
        <v>0</v>
      </c>
      <c r="HA69" s="20">
        <f t="shared" si="170"/>
        <v>0</v>
      </c>
      <c r="HB69" s="20">
        <f t="shared" ref="HB69:HE69" si="171">SUM(HB58:HB68)</f>
        <v>0</v>
      </c>
      <c r="HC69" s="20">
        <f t="shared" si="171"/>
        <v>0</v>
      </c>
      <c r="HD69" s="20">
        <f t="shared" si="171"/>
        <v>0</v>
      </c>
      <c r="HE69" s="20">
        <f t="shared" si="171"/>
        <v>0</v>
      </c>
      <c r="HF69" s="20">
        <f t="shared" ref="HF69:HG69" si="172">SUM(HF58:HF68)</f>
        <v>0</v>
      </c>
      <c r="HG69" s="20">
        <f t="shared" si="172"/>
        <v>80</v>
      </c>
      <c r="HH69" s="20">
        <f t="shared" ref="HH69" si="173">SUM(HH58:HH68)</f>
        <v>0</v>
      </c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369"/>
      <c r="HU69" s="332">
        <f t="shared" ref="HU69" si="174">SUM(HU58:HU68)</f>
        <v>92</v>
      </c>
    </row>
    <row r="70" spans="1:229" s="7" customFormat="1" ht="19.149999999999999" customHeight="1" thickBot="1" x14ac:dyDescent="0.3">
      <c r="A70" s="505" t="s">
        <v>29</v>
      </c>
      <c r="B70" s="506"/>
      <c r="C70" s="506"/>
      <c r="D70" s="81" t="s">
        <v>30</v>
      </c>
      <c r="E70" s="39">
        <v>56</v>
      </c>
      <c r="F70" s="38">
        <v>0</v>
      </c>
      <c r="G70" s="38">
        <v>250</v>
      </c>
      <c r="H70" s="38">
        <v>80</v>
      </c>
      <c r="I70" s="38">
        <v>0</v>
      </c>
      <c r="J70" s="38">
        <v>0</v>
      </c>
      <c r="K70" s="38">
        <v>0</v>
      </c>
      <c r="L70" s="38">
        <v>0</v>
      </c>
      <c r="M70" s="85">
        <f>SUM(E70:L70)</f>
        <v>386</v>
      </c>
      <c r="N70" s="148"/>
      <c r="O70" s="38">
        <v>22</v>
      </c>
      <c r="P70" s="38">
        <v>0</v>
      </c>
      <c r="Q70" s="38">
        <v>0</v>
      </c>
      <c r="R70" s="38">
        <v>390</v>
      </c>
      <c r="S70" s="38">
        <v>0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0</v>
      </c>
      <c r="Z70" s="38">
        <v>0</v>
      </c>
      <c r="AA70" s="38">
        <v>0</v>
      </c>
      <c r="AB70" s="38">
        <v>699</v>
      </c>
      <c r="AC70" s="38">
        <v>0</v>
      </c>
      <c r="AD70" s="38">
        <v>0</v>
      </c>
      <c r="AE70" s="38">
        <v>0</v>
      </c>
      <c r="AF70" s="38">
        <v>0</v>
      </c>
      <c r="AG70" s="38">
        <v>46</v>
      </c>
      <c r="AH70" s="38">
        <v>0</v>
      </c>
      <c r="AI70" s="38">
        <v>0</v>
      </c>
      <c r="AJ70" s="38">
        <v>0</v>
      </c>
      <c r="AK70" s="38">
        <v>324</v>
      </c>
      <c r="AL70" s="38">
        <v>0</v>
      </c>
      <c r="AM70" s="38">
        <v>203</v>
      </c>
      <c r="AN70" s="38">
        <v>155</v>
      </c>
      <c r="AO70" s="38">
        <v>0</v>
      </c>
      <c r="AP70" s="161">
        <v>19</v>
      </c>
      <c r="AQ70" s="171"/>
      <c r="AR70" s="38">
        <v>0</v>
      </c>
      <c r="AS70" s="38">
        <v>623</v>
      </c>
      <c r="AT70" s="38">
        <v>0</v>
      </c>
      <c r="AU70" s="38">
        <v>0</v>
      </c>
      <c r="AV70" s="38">
        <v>0</v>
      </c>
      <c r="AW70" s="38">
        <v>0</v>
      </c>
      <c r="AX70" s="38">
        <v>0</v>
      </c>
      <c r="AY70" s="38">
        <v>0</v>
      </c>
      <c r="AZ70" s="38">
        <v>64</v>
      </c>
      <c r="BA70" s="38">
        <v>28</v>
      </c>
      <c r="BB70" s="38">
        <v>0</v>
      </c>
      <c r="BC70" s="38">
        <v>0</v>
      </c>
      <c r="BD70" s="38">
        <v>0</v>
      </c>
      <c r="BE70" s="38">
        <v>248</v>
      </c>
      <c r="BF70" s="38">
        <v>0</v>
      </c>
      <c r="BG70" s="38">
        <v>529</v>
      </c>
      <c r="BH70" s="38">
        <v>0</v>
      </c>
      <c r="BI70" s="38">
        <v>0</v>
      </c>
      <c r="BJ70" s="38">
        <v>0</v>
      </c>
      <c r="BK70" s="38">
        <v>0</v>
      </c>
      <c r="BL70" s="38">
        <v>0</v>
      </c>
      <c r="BM70" s="38">
        <v>0</v>
      </c>
      <c r="BN70" s="38">
        <v>0</v>
      </c>
      <c r="BO70" s="38">
        <v>0</v>
      </c>
      <c r="BP70" s="38">
        <v>60</v>
      </c>
      <c r="BQ70" s="38">
        <v>0</v>
      </c>
      <c r="BR70" s="38">
        <v>0</v>
      </c>
      <c r="BS70" s="38">
        <v>380</v>
      </c>
      <c r="BT70" s="38">
        <v>170</v>
      </c>
      <c r="BU70" s="38">
        <v>0</v>
      </c>
      <c r="BV70" s="161">
        <v>121</v>
      </c>
      <c r="BW70" s="171"/>
      <c r="BX70" s="38">
        <v>0</v>
      </c>
      <c r="BY70" s="38">
        <v>0</v>
      </c>
      <c r="BZ70" s="38">
        <v>0</v>
      </c>
      <c r="CA70" s="38">
        <v>23</v>
      </c>
      <c r="CB70" s="38">
        <v>0</v>
      </c>
      <c r="CC70" s="38">
        <v>35</v>
      </c>
      <c r="CD70" s="38">
        <v>11</v>
      </c>
      <c r="CE70" s="38">
        <v>279</v>
      </c>
      <c r="CF70" s="38">
        <v>50</v>
      </c>
      <c r="CG70" s="38">
        <v>0</v>
      </c>
      <c r="CH70" s="38">
        <v>0</v>
      </c>
      <c r="CI70" s="38">
        <v>640</v>
      </c>
      <c r="CJ70" s="38">
        <v>0</v>
      </c>
      <c r="CK70" s="38">
        <v>0</v>
      </c>
      <c r="CL70" s="38">
        <v>0</v>
      </c>
      <c r="CM70" s="38">
        <v>0</v>
      </c>
      <c r="CN70" s="38">
        <v>0</v>
      </c>
      <c r="CO70" s="38">
        <v>9</v>
      </c>
      <c r="CP70" s="38">
        <v>68</v>
      </c>
      <c r="CQ70" s="38">
        <v>0</v>
      </c>
      <c r="CR70" s="38">
        <v>486</v>
      </c>
      <c r="CS70" s="38">
        <v>0</v>
      </c>
      <c r="CT70" s="38">
        <v>777</v>
      </c>
      <c r="CU70" s="38">
        <v>0</v>
      </c>
      <c r="CV70" s="38">
        <v>25</v>
      </c>
      <c r="CW70" s="38">
        <v>0</v>
      </c>
      <c r="CX70" s="38">
        <v>131</v>
      </c>
      <c r="CY70" s="38">
        <v>56</v>
      </c>
      <c r="CZ70" s="38">
        <v>285</v>
      </c>
      <c r="DA70" s="38">
        <v>324</v>
      </c>
      <c r="DB70" s="333">
        <v>0</v>
      </c>
      <c r="DC70" s="333">
        <v>0</v>
      </c>
      <c r="DD70" s="333">
        <v>71</v>
      </c>
      <c r="DE70" s="333">
        <v>0</v>
      </c>
      <c r="DF70" s="333">
        <v>0</v>
      </c>
      <c r="DG70" s="333">
        <v>0</v>
      </c>
      <c r="DH70" s="333">
        <v>78</v>
      </c>
      <c r="DI70" s="333">
        <v>0</v>
      </c>
      <c r="DJ70" s="333">
        <v>157</v>
      </c>
      <c r="DK70" s="333">
        <v>0</v>
      </c>
      <c r="DL70" s="333">
        <v>0</v>
      </c>
      <c r="DM70" s="333">
        <v>0</v>
      </c>
      <c r="DN70" s="333">
        <v>128</v>
      </c>
      <c r="DO70" s="333">
        <v>0</v>
      </c>
      <c r="DP70" s="333">
        <v>0</v>
      </c>
      <c r="DQ70" s="333">
        <v>0</v>
      </c>
      <c r="DR70" s="333">
        <v>447</v>
      </c>
      <c r="DS70" s="333">
        <v>0</v>
      </c>
      <c r="DT70" s="333">
        <v>0</v>
      </c>
      <c r="DU70" s="333">
        <v>330</v>
      </c>
      <c r="DV70" s="333">
        <v>114</v>
      </c>
      <c r="DW70" s="333">
        <v>0</v>
      </c>
      <c r="DX70" s="333">
        <v>0</v>
      </c>
      <c r="DY70" s="333">
        <v>170</v>
      </c>
      <c r="DZ70" s="333">
        <v>434</v>
      </c>
      <c r="EA70" s="333">
        <v>0</v>
      </c>
      <c r="EB70" s="333">
        <v>0</v>
      </c>
      <c r="EC70" s="333">
        <v>0</v>
      </c>
      <c r="ED70" s="333">
        <v>0</v>
      </c>
      <c r="EE70" s="333">
        <v>0</v>
      </c>
      <c r="EF70" s="350">
        <v>0</v>
      </c>
      <c r="EG70" s="333">
        <v>16</v>
      </c>
      <c r="EH70" s="333">
        <v>449</v>
      </c>
      <c r="EI70" s="333">
        <v>0</v>
      </c>
      <c r="EJ70" s="333">
        <v>160</v>
      </c>
      <c r="EK70" s="333">
        <v>0</v>
      </c>
      <c r="EL70" s="333">
        <v>107</v>
      </c>
      <c r="EM70" s="333">
        <v>0</v>
      </c>
      <c r="EN70" s="333">
        <v>0</v>
      </c>
      <c r="EO70" s="333">
        <v>0</v>
      </c>
      <c r="EP70" s="333">
        <v>0</v>
      </c>
      <c r="EQ70" s="333">
        <v>393</v>
      </c>
      <c r="ER70" s="333">
        <v>0</v>
      </c>
      <c r="ES70" s="333">
        <v>16</v>
      </c>
      <c r="ET70" s="333">
        <v>0</v>
      </c>
      <c r="EU70" s="333">
        <v>12</v>
      </c>
      <c r="EV70" s="333">
        <v>0</v>
      </c>
      <c r="EW70" s="333">
        <v>0</v>
      </c>
      <c r="EX70" s="333">
        <v>0</v>
      </c>
      <c r="EY70" s="333">
        <v>0</v>
      </c>
      <c r="EZ70" s="333">
        <v>0</v>
      </c>
      <c r="FA70" s="333">
        <v>188</v>
      </c>
      <c r="FB70" s="333">
        <v>0</v>
      </c>
      <c r="FC70" s="333">
        <v>0</v>
      </c>
      <c r="FD70" s="333">
        <v>0</v>
      </c>
      <c r="FE70" s="333">
        <v>46</v>
      </c>
      <c r="FF70" s="333">
        <v>0</v>
      </c>
      <c r="FG70" s="333">
        <v>0</v>
      </c>
      <c r="FH70" s="333">
        <v>100</v>
      </c>
      <c r="FI70" s="333">
        <v>109</v>
      </c>
      <c r="FJ70" s="333">
        <v>14</v>
      </c>
      <c r="FK70" s="333">
        <v>27</v>
      </c>
      <c r="FL70" s="333">
        <v>292</v>
      </c>
      <c r="FM70" s="333">
        <v>0</v>
      </c>
      <c r="FN70" s="333">
        <v>0</v>
      </c>
      <c r="FO70" s="333">
        <v>150</v>
      </c>
      <c r="FP70" s="333">
        <v>0</v>
      </c>
      <c r="FQ70" s="333">
        <v>0</v>
      </c>
      <c r="FR70" s="333">
        <v>0</v>
      </c>
      <c r="FS70" s="333">
        <v>144</v>
      </c>
      <c r="FT70" s="333">
        <v>0</v>
      </c>
      <c r="FU70" s="333">
        <v>0</v>
      </c>
      <c r="FV70" s="333">
        <v>0</v>
      </c>
      <c r="FW70" s="333">
        <v>0</v>
      </c>
      <c r="FX70" s="333">
        <v>162</v>
      </c>
      <c r="FY70" s="333">
        <v>106</v>
      </c>
      <c r="FZ70" s="333">
        <v>266</v>
      </c>
      <c r="GA70" s="333">
        <v>266</v>
      </c>
      <c r="GB70" s="333">
        <v>0</v>
      </c>
      <c r="GC70" s="333">
        <v>0</v>
      </c>
      <c r="GD70" s="333">
        <v>65</v>
      </c>
      <c r="GE70" s="333">
        <v>0</v>
      </c>
      <c r="GF70" s="333">
        <v>116</v>
      </c>
      <c r="GG70" s="333">
        <v>0</v>
      </c>
      <c r="GH70" s="333">
        <v>0</v>
      </c>
      <c r="GI70" s="333">
        <v>180</v>
      </c>
      <c r="GJ70" s="333">
        <v>0</v>
      </c>
      <c r="GK70" s="333">
        <v>0</v>
      </c>
      <c r="GL70" s="333">
        <v>299</v>
      </c>
      <c r="GM70" s="333">
        <v>208</v>
      </c>
      <c r="GN70" s="333">
        <v>0</v>
      </c>
      <c r="GO70" s="350">
        <v>0</v>
      </c>
      <c r="GP70" s="419">
        <v>0</v>
      </c>
      <c r="GQ70" s="419">
        <v>17</v>
      </c>
      <c r="GR70" s="333">
        <v>63</v>
      </c>
      <c r="GS70" s="333">
        <v>58</v>
      </c>
      <c r="GT70" s="333">
        <v>165</v>
      </c>
      <c r="GU70" s="333">
        <v>90</v>
      </c>
      <c r="GV70" s="333">
        <v>0</v>
      </c>
      <c r="GW70" s="333">
        <v>116</v>
      </c>
      <c r="GX70" s="333">
        <v>0</v>
      </c>
      <c r="GY70" s="333">
        <v>0</v>
      </c>
      <c r="GZ70" s="333">
        <v>0</v>
      </c>
      <c r="HA70" s="333">
        <v>0</v>
      </c>
      <c r="HB70" s="333">
        <v>0</v>
      </c>
      <c r="HC70" s="333">
        <v>0</v>
      </c>
      <c r="HD70" s="333">
        <v>215</v>
      </c>
      <c r="HE70" s="333">
        <v>160</v>
      </c>
      <c r="HF70" s="333">
        <v>0</v>
      </c>
      <c r="HG70" s="333">
        <v>75</v>
      </c>
      <c r="HH70" s="333">
        <v>0</v>
      </c>
      <c r="HI70" s="416"/>
      <c r="HJ70" s="416"/>
      <c r="HK70" s="416"/>
      <c r="HL70" s="416"/>
      <c r="HM70" s="416"/>
      <c r="HN70" s="416"/>
      <c r="HO70" s="416"/>
      <c r="HP70" s="416"/>
      <c r="HQ70" s="416"/>
      <c r="HR70" s="416"/>
      <c r="HS70" s="416"/>
      <c r="HT70" s="418"/>
      <c r="HU70" s="351">
        <f>SUM(O70:HT70)</f>
        <v>14059</v>
      </c>
    </row>
    <row r="74" spans="1:229" x14ac:dyDescent="0.25">
      <c r="B74" s="495" t="s">
        <v>23</v>
      </c>
      <c r="C74" s="345" t="s">
        <v>79</v>
      </c>
      <c r="E74" s="194">
        <f>E10+E11+E13+E14+E15</f>
        <v>0</v>
      </c>
      <c r="F74" s="194">
        <f t="shared" ref="F74:BQ74" si="175">F10+F11+F13+F14+F15</f>
        <v>0</v>
      </c>
      <c r="G74" s="194">
        <f t="shared" si="175"/>
        <v>0</v>
      </c>
      <c r="H74" s="194">
        <f t="shared" si="175"/>
        <v>0</v>
      </c>
      <c r="I74" s="194">
        <f t="shared" si="175"/>
        <v>0</v>
      </c>
      <c r="J74" s="194">
        <f t="shared" si="175"/>
        <v>0</v>
      </c>
      <c r="K74" s="194">
        <f t="shared" si="175"/>
        <v>0</v>
      </c>
      <c r="L74" s="194">
        <f t="shared" si="175"/>
        <v>0</v>
      </c>
      <c r="M74" s="194">
        <f t="shared" si="175"/>
        <v>0</v>
      </c>
      <c r="N74" s="194">
        <f t="shared" si="175"/>
        <v>0</v>
      </c>
      <c r="O74" s="292">
        <f t="shared" si="175"/>
        <v>0</v>
      </c>
      <c r="P74" s="194">
        <f t="shared" si="175"/>
        <v>0</v>
      </c>
      <c r="Q74" s="194">
        <f t="shared" si="175"/>
        <v>0</v>
      </c>
      <c r="R74" s="194">
        <f t="shared" si="175"/>
        <v>0</v>
      </c>
      <c r="S74" s="194">
        <f t="shared" si="175"/>
        <v>0</v>
      </c>
      <c r="T74" s="194">
        <f t="shared" si="175"/>
        <v>0</v>
      </c>
      <c r="U74" s="194">
        <f t="shared" si="175"/>
        <v>0</v>
      </c>
      <c r="V74" s="194">
        <f t="shared" si="175"/>
        <v>0</v>
      </c>
      <c r="W74" s="194">
        <f t="shared" si="175"/>
        <v>0</v>
      </c>
      <c r="X74" s="194">
        <f t="shared" si="175"/>
        <v>0</v>
      </c>
      <c r="Y74" s="194">
        <f t="shared" si="175"/>
        <v>0</v>
      </c>
      <c r="Z74" s="194">
        <f t="shared" si="175"/>
        <v>0</v>
      </c>
      <c r="AA74" s="194">
        <f t="shared" si="175"/>
        <v>0</v>
      </c>
      <c r="AB74" s="194">
        <f t="shared" si="175"/>
        <v>0</v>
      </c>
      <c r="AC74" s="194">
        <f t="shared" si="175"/>
        <v>0</v>
      </c>
      <c r="AD74" s="194">
        <f t="shared" si="175"/>
        <v>0</v>
      </c>
      <c r="AE74" s="194">
        <f t="shared" si="175"/>
        <v>0</v>
      </c>
      <c r="AF74" s="194">
        <f t="shared" si="175"/>
        <v>0</v>
      </c>
      <c r="AG74" s="194">
        <f t="shared" si="175"/>
        <v>153</v>
      </c>
      <c r="AH74" s="194">
        <f t="shared" si="175"/>
        <v>0</v>
      </c>
      <c r="AI74" s="194">
        <f t="shared" si="175"/>
        <v>0</v>
      </c>
      <c r="AJ74" s="194">
        <f t="shared" si="175"/>
        <v>0</v>
      </c>
      <c r="AK74" s="194">
        <f t="shared" si="175"/>
        <v>0</v>
      </c>
      <c r="AL74" s="194">
        <f t="shared" si="175"/>
        <v>0</v>
      </c>
      <c r="AM74" s="194">
        <f t="shared" si="175"/>
        <v>0</v>
      </c>
      <c r="AN74" s="194">
        <f t="shared" si="175"/>
        <v>517</v>
      </c>
      <c r="AO74" s="194">
        <f t="shared" si="175"/>
        <v>0</v>
      </c>
      <c r="AP74" s="194">
        <f t="shared" si="175"/>
        <v>12</v>
      </c>
      <c r="AQ74" s="194">
        <f t="shared" si="175"/>
        <v>0</v>
      </c>
      <c r="AR74" s="194">
        <f t="shared" si="175"/>
        <v>0</v>
      </c>
      <c r="AS74" s="194">
        <f t="shared" si="175"/>
        <v>1467</v>
      </c>
      <c r="AT74" s="194">
        <f t="shared" si="175"/>
        <v>0</v>
      </c>
      <c r="AU74" s="194">
        <f t="shared" si="175"/>
        <v>0</v>
      </c>
      <c r="AV74" s="194">
        <f t="shared" si="175"/>
        <v>0</v>
      </c>
      <c r="AW74" s="194">
        <f t="shared" si="175"/>
        <v>0</v>
      </c>
      <c r="AX74" s="194">
        <f t="shared" si="175"/>
        <v>0</v>
      </c>
      <c r="AY74" s="194">
        <f t="shared" si="175"/>
        <v>0</v>
      </c>
      <c r="AZ74" s="194">
        <f t="shared" si="175"/>
        <v>0</v>
      </c>
      <c r="BA74" s="194">
        <f t="shared" si="175"/>
        <v>0</v>
      </c>
      <c r="BB74" s="194">
        <f t="shared" si="175"/>
        <v>0</v>
      </c>
      <c r="BC74" s="194">
        <f t="shared" si="175"/>
        <v>0</v>
      </c>
      <c r="BD74" s="194">
        <f t="shared" si="175"/>
        <v>0</v>
      </c>
      <c r="BE74" s="194">
        <f t="shared" si="175"/>
        <v>0</v>
      </c>
      <c r="BF74" s="194">
        <f t="shared" si="175"/>
        <v>0</v>
      </c>
      <c r="BG74" s="194">
        <f t="shared" si="175"/>
        <v>0</v>
      </c>
      <c r="BH74" s="194">
        <f t="shared" si="175"/>
        <v>0</v>
      </c>
      <c r="BI74" s="194">
        <f t="shared" si="175"/>
        <v>0</v>
      </c>
      <c r="BJ74" s="194">
        <f t="shared" si="175"/>
        <v>0</v>
      </c>
      <c r="BK74" s="194">
        <f t="shared" si="175"/>
        <v>0</v>
      </c>
      <c r="BL74" s="194">
        <f t="shared" si="175"/>
        <v>0</v>
      </c>
      <c r="BM74" s="194">
        <f t="shared" si="175"/>
        <v>0</v>
      </c>
      <c r="BN74" s="194">
        <f t="shared" si="175"/>
        <v>0</v>
      </c>
      <c r="BO74" s="194">
        <f t="shared" si="175"/>
        <v>0</v>
      </c>
      <c r="BP74" s="194">
        <f t="shared" si="175"/>
        <v>200</v>
      </c>
      <c r="BQ74" s="194">
        <f t="shared" si="175"/>
        <v>0</v>
      </c>
      <c r="BR74" s="194">
        <f t="shared" ref="BR74:CW74" si="176">BR10+BR11+BR13+BR14+BR15</f>
        <v>0</v>
      </c>
      <c r="BS74" s="194">
        <f t="shared" si="176"/>
        <v>950</v>
      </c>
      <c r="BT74" s="194">
        <f t="shared" si="176"/>
        <v>0</v>
      </c>
      <c r="BU74" s="194">
        <f t="shared" si="176"/>
        <v>0</v>
      </c>
      <c r="BV74" s="194">
        <f t="shared" si="176"/>
        <v>50</v>
      </c>
      <c r="BW74" s="194">
        <f t="shared" si="176"/>
        <v>0</v>
      </c>
      <c r="BX74" s="194">
        <f t="shared" si="176"/>
        <v>0</v>
      </c>
      <c r="BY74" s="194">
        <f t="shared" si="176"/>
        <v>0</v>
      </c>
      <c r="BZ74" s="194">
        <f t="shared" si="176"/>
        <v>0</v>
      </c>
      <c r="CA74" s="194">
        <f t="shared" si="176"/>
        <v>0</v>
      </c>
      <c r="CB74" s="194">
        <f t="shared" si="176"/>
        <v>0</v>
      </c>
      <c r="CC74" s="194">
        <f t="shared" si="176"/>
        <v>0</v>
      </c>
      <c r="CD74" s="194">
        <f t="shared" si="176"/>
        <v>0</v>
      </c>
      <c r="CE74" s="194">
        <f t="shared" si="176"/>
        <v>0</v>
      </c>
      <c r="CF74" s="194">
        <f t="shared" si="176"/>
        <v>0</v>
      </c>
      <c r="CG74" s="194">
        <f t="shared" si="176"/>
        <v>0</v>
      </c>
      <c r="CH74" s="194">
        <f t="shared" si="176"/>
        <v>0</v>
      </c>
      <c r="CI74" s="194">
        <f t="shared" si="176"/>
        <v>924</v>
      </c>
      <c r="CJ74" s="194">
        <f t="shared" si="176"/>
        <v>0</v>
      </c>
      <c r="CK74" s="194">
        <f t="shared" si="176"/>
        <v>0</v>
      </c>
      <c r="CL74" s="194">
        <f t="shared" si="176"/>
        <v>0</v>
      </c>
      <c r="CM74" s="194">
        <f t="shared" si="176"/>
        <v>0</v>
      </c>
      <c r="CN74" s="194">
        <f t="shared" si="176"/>
        <v>0</v>
      </c>
      <c r="CO74" s="194">
        <f t="shared" si="176"/>
        <v>16</v>
      </c>
      <c r="CP74" s="194">
        <f t="shared" si="176"/>
        <v>0</v>
      </c>
      <c r="CQ74" s="194">
        <f t="shared" si="176"/>
        <v>0</v>
      </c>
      <c r="CR74" s="194">
        <f t="shared" si="176"/>
        <v>0</v>
      </c>
      <c r="CS74" s="194">
        <f t="shared" si="176"/>
        <v>0</v>
      </c>
      <c r="CT74" s="194">
        <f t="shared" si="176"/>
        <v>75</v>
      </c>
      <c r="CU74" s="194">
        <f t="shared" si="176"/>
        <v>0</v>
      </c>
      <c r="CV74" s="194">
        <f t="shared" si="176"/>
        <v>0</v>
      </c>
      <c r="CW74" s="194">
        <f t="shared" si="176"/>
        <v>0</v>
      </c>
      <c r="CX74" s="194">
        <f t="shared" ref="CX74:DE74" si="177">CX10+CX11+CX13+CX14+CX15</f>
        <v>0</v>
      </c>
      <c r="CY74" s="194">
        <f t="shared" si="177"/>
        <v>66</v>
      </c>
      <c r="CZ74" s="194">
        <f t="shared" si="177"/>
        <v>0</v>
      </c>
      <c r="DA74" s="194">
        <f t="shared" si="177"/>
        <v>884</v>
      </c>
      <c r="DB74" s="194">
        <f t="shared" si="177"/>
        <v>0</v>
      </c>
      <c r="DC74" s="194">
        <f t="shared" si="177"/>
        <v>0</v>
      </c>
      <c r="DD74" s="194">
        <f t="shared" si="177"/>
        <v>0</v>
      </c>
      <c r="DE74" s="194">
        <f t="shared" si="177"/>
        <v>0</v>
      </c>
      <c r="DF74" s="194">
        <f t="shared" ref="DF74:DK74" si="178">DF10+DF11+DF13+DF14+DF15</f>
        <v>0</v>
      </c>
      <c r="DG74" s="194">
        <f t="shared" si="178"/>
        <v>0</v>
      </c>
      <c r="DH74" s="194">
        <f t="shared" si="178"/>
        <v>0</v>
      </c>
      <c r="DI74" s="194">
        <f t="shared" si="178"/>
        <v>0</v>
      </c>
      <c r="DJ74" s="194">
        <f t="shared" si="178"/>
        <v>0</v>
      </c>
      <c r="DK74" s="194">
        <f t="shared" si="178"/>
        <v>0</v>
      </c>
      <c r="DL74" s="194">
        <f t="shared" ref="DL74:DR74" si="179">DL10+DL11+DL13+DL14+DL15</f>
        <v>0</v>
      </c>
      <c r="DM74" s="194">
        <f t="shared" si="179"/>
        <v>0</v>
      </c>
      <c r="DN74" s="194">
        <f t="shared" si="179"/>
        <v>0</v>
      </c>
      <c r="DO74" s="194">
        <f t="shared" si="179"/>
        <v>0</v>
      </c>
      <c r="DP74" s="194">
        <f t="shared" si="179"/>
        <v>0</v>
      </c>
      <c r="DQ74" s="194">
        <f t="shared" si="179"/>
        <v>0</v>
      </c>
      <c r="DR74" s="194">
        <f t="shared" si="179"/>
        <v>0</v>
      </c>
      <c r="DS74" s="194">
        <f t="shared" ref="DS74:EF74" si="180">DS10+DS11+DS13+DS14+DS15</f>
        <v>0</v>
      </c>
      <c r="DT74" s="194">
        <f t="shared" si="180"/>
        <v>0</v>
      </c>
      <c r="DU74" s="194">
        <f t="shared" si="180"/>
        <v>0</v>
      </c>
      <c r="DV74" s="194">
        <f t="shared" si="180"/>
        <v>0</v>
      </c>
      <c r="DW74" s="194">
        <f t="shared" si="180"/>
        <v>0</v>
      </c>
      <c r="DX74" s="194">
        <f t="shared" si="180"/>
        <v>0</v>
      </c>
      <c r="DY74" s="194">
        <f t="shared" si="180"/>
        <v>0</v>
      </c>
      <c r="DZ74" s="194">
        <f t="shared" si="180"/>
        <v>0</v>
      </c>
      <c r="EA74" s="194">
        <f t="shared" si="180"/>
        <v>0</v>
      </c>
      <c r="EB74" s="194">
        <f t="shared" si="180"/>
        <v>0</v>
      </c>
      <c r="EC74" s="194">
        <f t="shared" si="180"/>
        <v>0</v>
      </c>
      <c r="ED74" s="194">
        <f t="shared" si="180"/>
        <v>0</v>
      </c>
      <c r="EE74" s="194">
        <f t="shared" si="180"/>
        <v>0</v>
      </c>
      <c r="EF74" s="194">
        <f t="shared" si="180"/>
        <v>0</v>
      </c>
      <c r="EG74" s="194">
        <f t="shared" ref="EG74:EZ74" si="181">EG10+EG11+EG13+EG14+EG15</f>
        <v>0</v>
      </c>
      <c r="EH74" s="194">
        <f t="shared" si="181"/>
        <v>0</v>
      </c>
      <c r="EI74" s="194">
        <f t="shared" si="181"/>
        <v>0</v>
      </c>
      <c r="EJ74" s="194">
        <f t="shared" si="181"/>
        <v>0</v>
      </c>
      <c r="EK74" s="194">
        <f t="shared" si="181"/>
        <v>0</v>
      </c>
      <c r="EL74" s="194">
        <f t="shared" si="181"/>
        <v>0</v>
      </c>
      <c r="EM74" s="194">
        <f t="shared" si="181"/>
        <v>0</v>
      </c>
      <c r="EN74" s="194">
        <f t="shared" si="181"/>
        <v>0</v>
      </c>
      <c r="EO74" s="194">
        <f t="shared" si="181"/>
        <v>0</v>
      </c>
      <c r="EP74" s="194">
        <f t="shared" si="181"/>
        <v>0</v>
      </c>
      <c r="EQ74" s="194">
        <f t="shared" si="181"/>
        <v>0</v>
      </c>
      <c r="ER74" s="194">
        <f t="shared" si="181"/>
        <v>0</v>
      </c>
      <c r="ES74" s="194">
        <f t="shared" si="181"/>
        <v>0</v>
      </c>
      <c r="ET74" s="194">
        <f t="shared" si="181"/>
        <v>0</v>
      </c>
      <c r="EU74" s="194">
        <f t="shared" si="181"/>
        <v>0</v>
      </c>
      <c r="EV74" s="194">
        <f t="shared" si="181"/>
        <v>0</v>
      </c>
      <c r="EW74" s="194">
        <f t="shared" si="181"/>
        <v>0</v>
      </c>
      <c r="EX74" s="194">
        <f t="shared" si="181"/>
        <v>0</v>
      </c>
      <c r="EY74" s="194">
        <f t="shared" si="181"/>
        <v>0</v>
      </c>
      <c r="EZ74" s="194">
        <f t="shared" si="181"/>
        <v>0</v>
      </c>
      <c r="FA74" s="194">
        <f t="shared" ref="FA74:FJ74" si="182">FA10+FA11+FA13+FA14+FA15</f>
        <v>0</v>
      </c>
      <c r="FB74" s="194">
        <f t="shared" si="182"/>
        <v>0</v>
      </c>
      <c r="FC74" s="194">
        <f t="shared" si="182"/>
        <v>0</v>
      </c>
      <c r="FD74" s="194">
        <f t="shared" si="182"/>
        <v>0</v>
      </c>
      <c r="FE74" s="194">
        <f t="shared" si="182"/>
        <v>0</v>
      </c>
      <c r="FF74" s="194">
        <f t="shared" si="182"/>
        <v>0</v>
      </c>
      <c r="FG74" s="194">
        <f t="shared" si="182"/>
        <v>0</v>
      </c>
      <c r="FH74" s="194">
        <f t="shared" si="182"/>
        <v>0</v>
      </c>
      <c r="FI74" s="194">
        <f t="shared" si="182"/>
        <v>0</v>
      </c>
      <c r="FJ74" s="194">
        <f t="shared" si="182"/>
        <v>0</v>
      </c>
      <c r="FK74" s="194">
        <f t="shared" ref="FK74:FY74" si="183">FK10+FK11+FK13+FK14+FK15</f>
        <v>0</v>
      </c>
      <c r="FL74" s="194">
        <f t="shared" si="183"/>
        <v>0</v>
      </c>
      <c r="FM74" s="194">
        <f t="shared" si="183"/>
        <v>0</v>
      </c>
      <c r="FN74" s="194">
        <f t="shared" si="183"/>
        <v>0</v>
      </c>
      <c r="FO74" s="194">
        <f t="shared" si="183"/>
        <v>0</v>
      </c>
      <c r="FP74" s="194">
        <f t="shared" si="183"/>
        <v>0</v>
      </c>
      <c r="FQ74" s="194">
        <f t="shared" si="183"/>
        <v>0</v>
      </c>
      <c r="FR74" s="194">
        <f t="shared" si="183"/>
        <v>0</v>
      </c>
      <c r="FS74" s="194">
        <f t="shared" si="183"/>
        <v>0</v>
      </c>
      <c r="FT74" s="194">
        <f t="shared" si="183"/>
        <v>0</v>
      </c>
      <c r="FU74" s="194">
        <f t="shared" si="183"/>
        <v>0</v>
      </c>
      <c r="FV74" s="194">
        <f t="shared" si="183"/>
        <v>0</v>
      </c>
      <c r="FW74" s="194">
        <f t="shared" si="183"/>
        <v>0</v>
      </c>
      <c r="FX74" s="194">
        <f t="shared" si="183"/>
        <v>0</v>
      </c>
      <c r="FY74" s="194">
        <f t="shared" si="183"/>
        <v>0</v>
      </c>
      <c r="FZ74" s="194">
        <f t="shared" ref="FZ74:GN74" si="184">FZ10+FZ11+FZ13+FZ14+FZ15</f>
        <v>0</v>
      </c>
      <c r="GA74" s="194">
        <f t="shared" si="184"/>
        <v>0</v>
      </c>
      <c r="GB74" s="194">
        <f t="shared" si="184"/>
        <v>0</v>
      </c>
      <c r="GC74" s="194">
        <f t="shared" si="184"/>
        <v>0</v>
      </c>
      <c r="GD74" s="194">
        <f t="shared" si="184"/>
        <v>0</v>
      </c>
      <c r="GE74" s="194">
        <f t="shared" si="184"/>
        <v>0</v>
      </c>
      <c r="GF74" s="194">
        <f t="shared" si="184"/>
        <v>0</v>
      </c>
      <c r="GG74" s="194">
        <f t="shared" si="184"/>
        <v>0</v>
      </c>
      <c r="GH74" s="194">
        <f t="shared" si="184"/>
        <v>0</v>
      </c>
      <c r="GI74" s="194">
        <f t="shared" si="184"/>
        <v>0</v>
      </c>
      <c r="GJ74" s="194">
        <f t="shared" si="184"/>
        <v>0</v>
      </c>
      <c r="GK74" s="194">
        <f t="shared" si="184"/>
        <v>0</v>
      </c>
      <c r="GL74" s="194">
        <f t="shared" si="184"/>
        <v>0</v>
      </c>
      <c r="GM74" s="194">
        <f t="shared" si="184"/>
        <v>0</v>
      </c>
      <c r="GN74" s="194">
        <f t="shared" si="184"/>
        <v>0</v>
      </c>
      <c r="GO74" s="194">
        <f t="shared" ref="GO74:HT74" si="185">GO10+GO11+GO13+GO14+GO15</f>
        <v>0</v>
      </c>
      <c r="GP74" s="194">
        <f t="shared" si="185"/>
        <v>0</v>
      </c>
      <c r="GQ74" s="194">
        <f t="shared" si="185"/>
        <v>0</v>
      </c>
      <c r="GR74" s="194">
        <f t="shared" si="185"/>
        <v>0</v>
      </c>
      <c r="GS74" s="194">
        <f t="shared" si="185"/>
        <v>0</v>
      </c>
      <c r="GT74" s="194">
        <f t="shared" si="185"/>
        <v>0</v>
      </c>
      <c r="GU74" s="194">
        <f t="shared" si="185"/>
        <v>0</v>
      </c>
      <c r="GV74" s="194">
        <f t="shared" si="185"/>
        <v>0</v>
      </c>
      <c r="GW74" s="194">
        <f t="shared" si="185"/>
        <v>0</v>
      </c>
      <c r="GX74" s="194">
        <f t="shared" si="185"/>
        <v>0</v>
      </c>
      <c r="GY74" s="194">
        <f t="shared" si="185"/>
        <v>0</v>
      </c>
      <c r="GZ74" s="194">
        <f t="shared" si="185"/>
        <v>0</v>
      </c>
      <c r="HA74" s="194">
        <f t="shared" si="185"/>
        <v>0</v>
      </c>
      <c r="HB74" s="194">
        <f t="shared" si="185"/>
        <v>0</v>
      </c>
      <c r="HC74" s="194">
        <f t="shared" si="185"/>
        <v>0</v>
      </c>
      <c r="HD74" s="194">
        <f t="shared" si="185"/>
        <v>0</v>
      </c>
      <c r="HE74" s="194">
        <f t="shared" si="185"/>
        <v>0</v>
      </c>
      <c r="HF74" s="194">
        <f t="shared" si="185"/>
        <v>0</v>
      </c>
      <c r="HG74" s="194">
        <f t="shared" si="185"/>
        <v>0</v>
      </c>
      <c r="HH74" s="194">
        <f t="shared" si="185"/>
        <v>0</v>
      </c>
      <c r="HI74" s="194">
        <f t="shared" si="185"/>
        <v>0</v>
      </c>
      <c r="HJ74" s="194">
        <f t="shared" si="185"/>
        <v>0</v>
      </c>
      <c r="HK74" s="194">
        <f t="shared" si="185"/>
        <v>0</v>
      </c>
      <c r="HL74" s="194">
        <f t="shared" si="185"/>
        <v>0</v>
      </c>
      <c r="HM74" s="194">
        <f t="shared" si="185"/>
        <v>0</v>
      </c>
      <c r="HN74" s="194">
        <f t="shared" si="185"/>
        <v>0</v>
      </c>
      <c r="HO74" s="194">
        <f t="shared" si="185"/>
        <v>0</v>
      </c>
      <c r="HP74" s="194">
        <f t="shared" si="185"/>
        <v>0</v>
      </c>
      <c r="HQ74" s="194">
        <f t="shared" si="185"/>
        <v>0</v>
      </c>
      <c r="HR74" s="194">
        <f t="shared" si="185"/>
        <v>0</v>
      </c>
      <c r="HS74" s="194">
        <f t="shared" si="185"/>
        <v>0</v>
      </c>
      <c r="HT74" s="194">
        <f t="shared" si="185"/>
        <v>0</v>
      </c>
    </row>
    <row r="75" spans="1:229" x14ac:dyDescent="0.25">
      <c r="B75" s="495"/>
      <c r="C75" s="345" t="s">
        <v>80</v>
      </c>
      <c r="E75" s="194">
        <f>E9/2+E12+E17+E18</f>
        <v>186</v>
      </c>
      <c r="F75" s="194">
        <f t="shared" ref="F75:BQ75" si="186">F9/2+F12+F17+F18</f>
        <v>0</v>
      </c>
      <c r="G75" s="194">
        <f t="shared" si="186"/>
        <v>625</v>
      </c>
      <c r="H75" s="194">
        <f t="shared" si="186"/>
        <v>0</v>
      </c>
      <c r="I75" s="194">
        <f t="shared" si="186"/>
        <v>0</v>
      </c>
      <c r="J75" s="194">
        <f t="shared" si="186"/>
        <v>0</v>
      </c>
      <c r="K75" s="194">
        <f t="shared" si="186"/>
        <v>0</v>
      </c>
      <c r="L75" s="194">
        <f t="shared" si="186"/>
        <v>0</v>
      </c>
      <c r="M75" s="194">
        <f t="shared" si="186"/>
        <v>811</v>
      </c>
      <c r="N75" s="194">
        <f t="shared" si="186"/>
        <v>0</v>
      </c>
      <c r="O75" s="292">
        <f t="shared" si="186"/>
        <v>68</v>
      </c>
      <c r="P75" s="194">
        <f t="shared" si="186"/>
        <v>0</v>
      </c>
      <c r="Q75" s="194">
        <f t="shared" si="186"/>
        <v>0</v>
      </c>
      <c r="R75" s="194">
        <f t="shared" si="186"/>
        <v>0</v>
      </c>
      <c r="S75" s="194">
        <f t="shared" si="186"/>
        <v>0</v>
      </c>
      <c r="T75" s="194">
        <f t="shared" si="186"/>
        <v>0</v>
      </c>
      <c r="U75" s="194">
        <f t="shared" si="186"/>
        <v>0</v>
      </c>
      <c r="V75" s="194">
        <f t="shared" si="186"/>
        <v>0</v>
      </c>
      <c r="W75" s="194">
        <f t="shared" si="186"/>
        <v>0</v>
      </c>
      <c r="X75" s="194">
        <f t="shared" si="186"/>
        <v>0</v>
      </c>
      <c r="Y75" s="194">
        <f t="shared" si="186"/>
        <v>0</v>
      </c>
      <c r="Z75" s="194">
        <f t="shared" si="186"/>
        <v>0</v>
      </c>
      <c r="AA75" s="194">
        <f t="shared" si="186"/>
        <v>0</v>
      </c>
      <c r="AB75" s="194">
        <f t="shared" si="186"/>
        <v>0</v>
      </c>
      <c r="AC75" s="194">
        <f t="shared" si="186"/>
        <v>0</v>
      </c>
      <c r="AD75" s="194">
        <f t="shared" si="186"/>
        <v>0</v>
      </c>
      <c r="AE75" s="194">
        <f t="shared" si="186"/>
        <v>0</v>
      </c>
      <c r="AF75" s="194">
        <f t="shared" si="186"/>
        <v>0</v>
      </c>
      <c r="AG75" s="194">
        <f t="shared" si="186"/>
        <v>0</v>
      </c>
      <c r="AH75" s="194">
        <f t="shared" si="186"/>
        <v>0</v>
      </c>
      <c r="AI75" s="194">
        <f t="shared" si="186"/>
        <v>0</v>
      </c>
      <c r="AJ75" s="194">
        <f t="shared" si="186"/>
        <v>0</v>
      </c>
      <c r="AK75" s="194">
        <f t="shared" si="186"/>
        <v>1260</v>
      </c>
      <c r="AL75" s="194">
        <f t="shared" si="186"/>
        <v>0</v>
      </c>
      <c r="AM75" s="194">
        <f t="shared" si="186"/>
        <v>0</v>
      </c>
      <c r="AN75" s="194">
        <f t="shared" si="186"/>
        <v>0</v>
      </c>
      <c r="AO75" s="194">
        <f t="shared" si="186"/>
        <v>0</v>
      </c>
      <c r="AP75" s="194">
        <f t="shared" si="186"/>
        <v>0</v>
      </c>
      <c r="AQ75" s="194">
        <f t="shared" si="186"/>
        <v>0</v>
      </c>
      <c r="AR75" s="194">
        <f t="shared" si="186"/>
        <v>0</v>
      </c>
      <c r="AS75" s="194">
        <f t="shared" si="186"/>
        <v>0</v>
      </c>
      <c r="AT75" s="194">
        <f t="shared" si="186"/>
        <v>0</v>
      </c>
      <c r="AU75" s="194">
        <f t="shared" si="186"/>
        <v>0</v>
      </c>
      <c r="AV75" s="194">
        <f t="shared" si="186"/>
        <v>0</v>
      </c>
      <c r="AW75" s="194">
        <f t="shared" si="186"/>
        <v>0</v>
      </c>
      <c r="AX75" s="194">
        <f t="shared" si="186"/>
        <v>0</v>
      </c>
      <c r="AY75" s="194">
        <f t="shared" si="186"/>
        <v>0</v>
      </c>
      <c r="AZ75" s="194">
        <f t="shared" si="186"/>
        <v>0</v>
      </c>
      <c r="BA75" s="194">
        <f t="shared" si="186"/>
        <v>73</v>
      </c>
      <c r="BB75" s="194">
        <f t="shared" si="186"/>
        <v>0</v>
      </c>
      <c r="BC75" s="194">
        <f t="shared" si="186"/>
        <v>0</v>
      </c>
      <c r="BD75" s="194">
        <f t="shared" si="186"/>
        <v>0</v>
      </c>
      <c r="BE75" s="194">
        <f t="shared" si="186"/>
        <v>710</v>
      </c>
      <c r="BF75" s="194">
        <f t="shared" si="186"/>
        <v>0</v>
      </c>
      <c r="BG75" s="194">
        <f t="shared" si="186"/>
        <v>0</v>
      </c>
      <c r="BH75" s="194">
        <f t="shared" si="186"/>
        <v>0</v>
      </c>
      <c r="BI75" s="194">
        <f t="shared" si="186"/>
        <v>0</v>
      </c>
      <c r="BJ75" s="194">
        <f t="shared" si="186"/>
        <v>0</v>
      </c>
      <c r="BK75" s="194">
        <f t="shared" si="186"/>
        <v>0</v>
      </c>
      <c r="BL75" s="194">
        <f t="shared" si="186"/>
        <v>0</v>
      </c>
      <c r="BM75" s="194">
        <f t="shared" si="186"/>
        <v>0</v>
      </c>
      <c r="BN75" s="194">
        <f t="shared" si="186"/>
        <v>0</v>
      </c>
      <c r="BO75" s="194">
        <f t="shared" si="186"/>
        <v>0</v>
      </c>
      <c r="BP75" s="194">
        <f t="shared" si="186"/>
        <v>0</v>
      </c>
      <c r="BQ75" s="194">
        <f t="shared" si="186"/>
        <v>0</v>
      </c>
      <c r="BR75" s="194">
        <f t="shared" ref="BR75:CW75" si="187">BR9/2+BR12+BR17+BR18</f>
        <v>0</v>
      </c>
      <c r="BS75" s="194">
        <f t="shared" si="187"/>
        <v>0</v>
      </c>
      <c r="BT75" s="194">
        <f t="shared" si="187"/>
        <v>850</v>
      </c>
      <c r="BU75" s="194">
        <f t="shared" si="187"/>
        <v>0</v>
      </c>
      <c r="BV75" s="194">
        <f t="shared" si="187"/>
        <v>0</v>
      </c>
      <c r="BW75" s="194">
        <f t="shared" si="187"/>
        <v>0</v>
      </c>
      <c r="BX75" s="194">
        <f t="shared" si="187"/>
        <v>0</v>
      </c>
      <c r="BY75" s="194">
        <f t="shared" si="187"/>
        <v>0</v>
      </c>
      <c r="BZ75" s="194">
        <f t="shared" si="187"/>
        <v>0</v>
      </c>
      <c r="CA75" s="194">
        <f t="shared" si="187"/>
        <v>58</v>
      </c>
      <c r="CB75" s="194">
        <f t="shared" si="187"/>
        <v>0</v>
      </c>
      <c r="CC75" s="194">
        <f t="shared" si="187"/>
        <v>48</v>
      </c>
      <c r="CD75" s="194">
        <f t="shared" si="187"/>
        <v>50</v>
      </c>
      <c r="CE75" s="194">
        <f t="shared" si="187"/>
        <v>350</v>
      </c>
      <c r="CF75" s="194">
        <f t="shared" si="187"/>
        <v>62.5</v>
      </c>
      <c r="CG75" s="194">
        <f t="shared" si="187"/>
        <v>0</v>
      </c>
      <c r="CH75" s="194">
        <f t="shared" si="187"/>
        <v>0</v>
      </c>
      <c r="CI75" s="194">
        <f t="shared" si="187"/>
        <v>0</v>
      </c>
      <c r="CJ75" s="194">
        <f t="shared" si="187"/>
        <v>0</v>
      </c>
      <c r="CK75" s="194">
        <f t="shared" si="187"/>
        <v>0</v>
      </c>
      <c r="CL75" s="194">
        <f t="shared" si="187"/>
        <v>0</v>
      </c>
      <c r="CM75" s="194">
        <f t="shared" si="187"/>
        <v>0</v>
      </c>
      <c r="CN75" s="194">
        <f t="shared" si="187"/>
        <v>0</v>
      </c>
      <c r="CO75" s="194">
        <f t="shared" si="187"/>
        <v>0</v>
      </c>
      <c r="CP75" s="194">
        <f t="shared" si="187"/>
        <v>80</v>
      </c>
      <c r="CQ75" s="194">
        <f t="shared" si="187"/>
        <v>0</v>
      </c>
      <c r="CR75" s="194">
        <f t="shared" si="187"/>
        <v>0</v>
      </c>
      <c r="CS75" s="194">
        <f t="shared" si="187"/>
        <v>0</v>
      </c>
      <c r="CT75" s="194">
        <f t="shared" si="187"/>
        <v>0</v>
      </c>
      <c r="CU75" s="194">
        <f t="shared" si="187"/>
        <v>0</v>
      </c>
      <c r="CV75" s="194">
        <f t="shared" si="187"/>
        <v>0</v>
      </c>
      <c r="CW75" s="194">
        <f t="shared" si="187"/>
        <v>0</v>
      </c>
      <c r="CX75" s="194">
        <f t="shared" ref="CX75:DE75" si="188">CX9/2+CX12+CX17+CX18</f>
        <v>165</v>
      </c>
      <c r="CY75" s="194">
        <f t="shared" si="188"/>
        <v>0</v>
      </c>
      <c r="CZ75" s="194">
        <f t="shared" si="188"/>
        <v>0</v>
      </c>
      <c r="DA75" s="194">
        <f t="shared" si="188"/>
        <v>0</v>
      </c>
      <c r="DB75" s="194">
        <f t="shared" si="188"/>
        <v>0</v>
      </c>
      <c r="DC75" s="194">
        <f t="shared" si="188"/>
        <v>0</v>
      </c>
      <c r="DD75" s="194">
        <f t="shared" si="188"/>
        <v>90</v>
      </c>
      <c r="DE75" s="194">
        <f t="shared" si="188"/>
        <v>0</v>
      </c>
      <c r="DF75" s="194">
        <f t="shared" ref="DF75:DK75" si="189">DF9/2+DF12+DF17+DF18</f>
        <v>0</v>
      </c>
      <c r="DG75" s="194">
        <f t="shared" si="189"/>
        <v>0</v>
      </c>
      <c r="DH75" s="194">
        <f t="shared" si="189"/>
        <v>90</v>
      </c>
      <c r="DI75" s="194">
        <f t="shared" si="189"/>
        <v>0</v>
      </c>
      <c r="DJ75" s="194">
        <f t="shared" si="189"/>
        <v>0</v>
      </c>
      <c r="DK75" s="194">
        <f t="shared" si="189"/>
        <v>0</v>
      </c>
      <c r="DL75" s="194">
        <f t="shared" ref="DL75:DR75" si="190">DL9/2+DL12+DL17+DL18</f>
        <v>0</v>
      </c>
      <c r="DM75" s="194">
        <f t="shared" si="190"/>
        <v>0</v>
      </c>
      <c r="DN75" s="194">
        <f t="shared" si="190"/>
        <v>160</v>
      </c>
      <c r="DO75" s="194">
        <f t="shared" si="190"/>
        <v>0</v>
      </c>
      <c r="DP75" s="194">
        <f t="shared" si="190"/>
        <v>0</v>
      </c>
      <c r="DQ75" s="194">
        <f t="shared" si="190"/>
        <v>0</v>
      </c>
      <c r="DR75" s="194">
        <f t="shared" si="190"/>
        <v>0</v>
      </c>
      <c r="DS75" s="194">
        <f t="shared" ref="DS75:EF75" si="191">DS9/2+DS12+DS17+DS18</f>
        <v>0</v>
      </c>
      <c r="DT75" s="194">
        <f t="shared" si="191"/>
        <v>0</v>
      </c>
      <c r="DU75" s="194">
        <f t="shared" si="191"/>
        <v>0</v>
      </c>
      <c r="DV75" s="194">
        <f t="shared" si="191"/>
        <v>5</v>
      </c>
      <c r="DW75" s="194">
        <f t="shared" si="191"/>
        <v>0</v>
      </c>
      <c r="DX75" s="194">
        <f t="shared" si="191"/>
        <v>0</v>
      </c>
      <c r="DY75" s="194">
        <f t="shared" si="191"/>
        <v>0</v>
      </c>
      <c r="DZ75" s="194">
        <f t="shared" si="191"/>
        <v>0</v>
      </c>
      <c r="EA75" s="194">
        <f t="shared" si="191"/>
        <v>0</v>
      </c>
      <c r="EB75" s="194">
        <f t="shared" si="191"/>
        <v>0</v>
      </c>
      <c r="EC75" s="194">
        <f t="shared" si="191"/>
        <v>0</v>
      </c>
      <c r="ED75" s="194">
        <f t="shared" si="191"/>
        <v>0</v>
      </c>
      <c r="EE75" s="194">
        <f t="shared" si="191"/>
        <v>0</v>
      </c>
      <c r="EF75" s="194">
        <f t="shared" si="191"/>
        <v>0</v>
      </c>
      <c r="EG75" s="194">
        <f t="shared" ref="EG75:EZ75" si="192">EG9/2+EG12+EG17+EG18</f>
        <v>0</v>
      </c>
      <c r="EH75" s="194">
        <f t="shared" si="192"/>
        <v>0</v>
      </c>
      <c r="EI75" s="194">
        <f t="shared" si="192"/>
        <v>0</v>
      </c>
      <c r="EJ75" s="194">
        <f t="shared" si="192"/>
        <v>50</v>
      </c>
      <c r="EK75" s="194">
        <f t="shared" si="192"/>
        <v>0</v>
      </c>
      <c r="EL75" s="194">
        <f t="shared" si="192"/>
        <v>107.5</v>
      </c>
      <c r="EM75" s="194">
        <f t="shared" si="192"/>
        <v>0</v>
      </c>
      <c r="EN75" s="194">
        <f t="shared" si="192"/>
        <v>0</v>
      </c>
      <c r="EO75" s="194">
        <f t="shared" si="192"/>
        <v>0</v>
      </c>
      <c r="EP75" s="194">
        <f t="shared" si="192"/>
        <v>0</v>
      </c>
      <c r="EQ75" s="194">
        <f t="shared" si="192"/>
        <v>0</v>
      </c>
      <c r="ER75" s="194">
        <f t="shared" si="192"/>
        <v>0</v>
      </c>
      <c r="ES75" s="194">
        <f t="shared" si="192"/>
        <v>0</v>
      </c>
      <c r="ET75" s="194">
        <f t="shared" si="192"/>
        <v>0</v>
      </c>
      <c r="EU75" s="194">
        <f t="shared" si="192"/>
        <v>0</v>
      </c>
      <c r="EV75" s="194">
        <f t="shared" si="192"/>
        <v>0</v>
      </c>
      <c r="EW75" s="194">
        <f t="shared" si="192"/>
        <v>0</v>
      </c>
      <c r="EX75" s="194">
        <f t="shared" si="192"/>
        <v>0</v>
      </c>
      <c r="EY75" s="194">
        <f t="shared" si="192"/>
        <v>0</v>
      </c>
      <c r="EZ75" s="194">
        <f t="shared" si="192"/>
        <v>0</v>
      </c>
      <c r="FA75" s="194">
        <f t="shared" ref="FA75:FJ75" si="193">FA9/2+FA12+FA17+FA18</f>
        <v>0</v>
      </c>
      <c r="FB75" s="194">
        <f t="shared" si="193"/>
        <v>0</v>
      </c>
      <c r="FC75" s="194">
        <f t="shared" si="193"/>
        <v>0</v>
      </c>
      <c r="FD75" s="194">
        <f t="shared" si="193"/>
        <v>0</v>
      </c>
      <c r="FE75" s="194">
        <f t="shared" si="193"/>
        <v>0</v>
      </c>
      <c r="FF75" s="194">
        <f t="shared" si="193"/>
        <v>0</v>
      </c>
      <c r="FG75" s="194">
        <f t="shared" si="193"/>
        <v>0</v>
      </c>
      <c r="FH75" s="194">
        <f t="shared" si="193"/>
        <v>0</v>
      </c>
      <c r="FI75" s="194">
        <f t="shared" si="193"/>
        <v>195</v>
      </c>
      <c r="FJ75" s="194">
        <f t="shared" si="193"/>
        <v>14.5</v>
      </c>
      <c r="FK75" s="194">
        <f t="shared" ref="FK75:FY75" si="194">FK9/2+FK12+FK17+FK18</f>
        <v>12.5</v>
      </c>
      <c r="FL75" s="194">
        <f t="shared" si="194"/>
        <v>0</v>
      </c>
      <c r="FM75" s="194">
        <f t="shared" si="194"/>
        <v>0</v>
      </c>
      <c r="FN75" s="194">
        <f t="shared" si="194"/>
        <v>0</v>
      </c>
      <c r="FO75" s="194">
        <f t="shared" si="194"/>
        <v>0</v>
      </c>
      <c r="FP75" s="194">
        <f t="shared" si="194"/>
        <v>0</v>
      </c>
      <c r="FQ75" s="194">
        <f t="shared" si="194"/>
        <v>0</v>
      </c>
      <c r="FR75" s="194">
        <f t="shared" si="194"/>
        <v>0</v>
      </c>
      <c r="FS75" s="194">
        <f t="shared" si="194"/>
        <v>0</v>
      </c>
      <c r="FT75" s="194">
        <f t="shared" si="194"/>
        <v>0</v>
      </c>
      <c r="FU75" s="194">
        <f t="shared" si="194"/>
        <v>0</v>
      </c>
      <c r="FV75" s="194">
        <f t="shared" si="194"/>
        <v>0</v>
      </c>
      <c r="FW75" s="194">
        <f t="shared" si="194"/>
        <v>0</v>
      </c>
      <c r="FX75" s="194">
        <f t="shared" si="194"/>
        <v>0</v>
      </c>
      <c r="FY75" s="194">
        <f t="shared" si="194"/>
        <v>0</v>
      </c>
      <c r="FZ75" s="194">
        <f t="shared" ref="FZ75:GN75" si="195">FZ9/2+FZ12+FZ17+FZ18</f>
        <v>0</v>
      </c>
      <c r="GA75" s="194">
        <f t="shared" si="195"/>
        <v>0</v>
      </c>
      <c r="GB75" s="194">
        <f t="shared" si="195"/>
        <v>0</v>
      </c>
      <c r="GC75" s="194">
        <f t="shared" si="195"/>
        <v>0</v>
      </c>
      <c r="GD75" s="194">
        <f t="shared" si="195"/>
        <v>0</v>
      </c>
      <c r="GE75" s="194">
        <f t="shared" si="195"/>
        <v>0</v>
      </c>
      <c r="GF75" s="194">
        <f t="shared" si="195"/>
        <v>0</v>
      </c>
      <c r="GG75" s="194">
        <f t="shared" si="195"/>
        <v>0</v>
      </c>
      <c r="GH75" s="194">
        <f t="shared" si="195"/>
        <v>0</v>
      </c>
      <c r="GI75" s="194">
        <f t="shared" si="195"/>
        <v>0</v>
      </c>
      <c r="GJ75" s="194">
        <f t="shared" si="195"/>
        <v>0</v>
      </c>
      <c r="GK75" s="194">
        <f t="shared" si="195"/>
        <v>0</v>
      </c>
      <c r="GL75" s="194">
        <f t="shared" si="195"/>
        <v>0</v>
      </c>
      <c r="GM75" s="194">
        <f t="shared" si="195"/>
        <v>0</v>
      </c>
      <c r="GN75" s="194">
        <f t="shared" si="195"/>
        <v>0</v>
      </c>
      <c r="GO75" s="194">
        <f t="shared" ref="GO75:HT75" si="196">GO9/2+GO12+GO17+GO18</f>
        <v>0</v>
      </c>
      <c r="GP75" s="194">
        <f t="shared" si="196"/>
        <v>0</v>
      </c>
      <c r="GQ75" s="194">
        <f t="shared" si="196"/>
        <v>0</v>
      </c>
      <c r="GR75" s="194">
        <f t="shared" si="196"/>
        <v>0</v>
      </c>
      <c r="GS75" s="194">
        <f t="shared" si="196"/>
        <v>0</v>
      </c>
      <c r="GT75" s="194">
        <f t="shared" si="196"/>
        <v>0</v>
      </c>
      <c r="GU75" s="194">
        <f t="shared" si="196"/>
        <v>0</v>
      </c>
      <c r="GV75" s="194">
        <f t="shared" si="196"/>
        <v>0</v>
      </c>
      <c r="GW75" s="194">
        <f t="shared" si="196"/>
        <v>0</v>
      </c>
      <c r="GX75" s="194">
        <f t="shared" si="196"/>
        <v>0</v>
      </c>
      <c r="GY75" s="194">
        <f t="shared" si="196"/>
        <v>0</v>
      </c>
      <c r="GZ75" s="194">
        <f t="shared" si="196"/>
        <v>0</v>
      </c>
      <c r="HA75" s="194">
        <f t="shared" si="196"/>
        <v>0</v>
      </c>
      <c r="HB75" s="194">
        <f t="shared" si="196"/>
        <v>0</v>
      </c>
      <c r="HC75" s="194">
        <f t="shared" si="196"/>
        <v>0</v>
      </c>
      <c r="HD75" s="194">
        <f t="shared" si="196"/>
        <v>0</v>
      </c>
      <c r="HE75" s="194">
        <f t="shared" si="196"/>
        <v>0</v>
      </c>
      <c r="HF75" s="194">
        <f t="shared" si="196"/>
        <v>0</v>
      </c>
      <c r="HG75" s="194">
        <f t="shared" si="196"/>
        <v>0</v>
      </c>
      <c r="HH75" s="194">
        <f t="shared" si="196"/>
        <v>0</v>
      </c>
      <c r="HI75" s="194">
        <f t="shared" si="196"/>
        <v>0</v>
      </c>
      <c r="HJ75" s="194">
        <f t="shared" si="196"/>
        <v>0</v>
      </c>
      <c r="HK75" s="194">
        <f t="shared" si="196"/>
        <v>0</v>
      </c>
      <c r="HL75" s="194">
        <f t="shared" si="196"/>
        <v>0</v>
      </c>
      <c r="HM75" s="194">
        <f t="shared" si="196"/>
        <v>0</v>
      </c>
      <c r="HN75" s="194">
        <f t="shared" si="196"/>
        <v>0</v>
      </c>
      <c r="HO75" s="194">
        <f t="shared" si="196"/>
        <v>0</v>
      </c>
      <c r="HP75" s="194">
        <f t="shared" si="196"/>
        <v>0</v>
      </c>
      <c r="HQ75" s="194">
        <f t="shared" si="196"/>
        <v>0</v>
      </c>
      <c r="HR75" s="194">
        <f t="shared" si="196"/>
        <v>0</v>
      </c>
      <c r="HS75" s="194">
        <f t="shared" si="196"/>
        <v>0</v>
      </c>
      <c r="HT75" s="194">
        <f t="shared" si="196"/>
        <v>0</v>
      </c>
    </row>
    <row r="76" spans="1:229" x14ac:dyDescent="0.25">
      <c r="B76" s="495"/>
      <c r="C76" s="345" t="s">
        <v>89</v>
      </c>
      <c r="E76" s="194">
        <f>E9/2+E16+E19</f>
        <v>0</v>
      </c>
      <c r="F76" s="194">
        <f t="shared" ref="F76:BQ76" si="197">F9/2+F16+F19</f>
        <v>0</v>
      </c>
      <c r="G76" s="194">
        <f t="shared" si="197"/>
        <v>0</v>
      </c>
      <c r="H76" s="194">
        <f t="shared" si="197"/>
        <v>225</v>
      </c>
      <c r="I76" s="194">
        <f t="shared" si="197"/>
        <v>0</v>
      </c>
      <c r="J76" s="194">
        <f t="shared" si="197"/>
        <v>0</v>
      </c>
      <c r="K76" s="194">
        <f t="shared" si="197"/>
        <v>0</v>
      </c>
      <c r="L76" s="194">
        <f t="shared" si="197"/>
        <v>0</v>
      </c>
      <c r="M76" s="194">
        <f t="shared" si="197"/>
        <v>225</v>
      </c>
      <c r="N76" s="194">
        <f t="shared" si="197"/>
        <v>0</v>
      </c>
      <c r="O76" s="292">
        <f t="shared" si="197"/>
        <v>0</v>
      </c>
      <c r="P76" s="194">
        <f t="shared" si="197"/>
        <v>0</v>
      </c>
      <c r="Q76" s="194">
        <f t="shared" si="197"/>
        <v>0</v>
      </c>
      <c r="R76" s="194">
        <f t="shared" si="197"/>
        <v>975</v>
      </c>
      <c r="S76" s="194">
        <f t="shared" si="197"/>
        <v>0</v>
      </c>
      <c r="T76" s="194">
        <f t="shared" si="197"/>
        <v>0</v>
      </c>
      <c r="U76" s="194">
        <f t="shared" si="197"/>
        <v>0</v>
      </c>
      <c r="V76" s="194">
        <f t="shared" si="197"/>
        <v>0</v>
      </c>
      <c r="W76" s="194">
        <f t="shared" si="197"/>
        <v>0</v>
      </c>
      <c r="X76" s="194">
        <f t="shared" si="197"/>
        <v>0</v>
      </c>
      <c r="Y76" s="194">
        <f t="shared" si="197"/>
        <v>0</v>
      </c>
      <c r="Z76" s="194">
        <f t="shared" si="197"/>
        <v>0</v>
      </c>
      <c r="AA76" s="194">
        <f t="shared" si="197"/>
        <v>0</v>
      </c>
      <c r="AB76" s="194">
        <f t="shared" si="197"/>
        <v>0</v>
      </c>
      <c r="AC76" s="194">
        <f t="shared" si="197"/>
        <v>0</v>
      </c>
      <c r="AD76" s="194">
        <f t="shared" si="197"/>
        <v>0</v>
      </c>
      <c r="AE76" s="194">
        <f t="shared" si="197"/>
        <v>0</v>
      </c>
      <c r="AF76" s="194">
        <f t="shared" si="197"/>
        <v>0</v>
      </c>
      <c r="AG76" s="194">
        <f t="shared" si="197"/>
        <v>0</v>
      </c>
      <c r="AH76" s="194">
        <f t="shared" si="197"/>
        <v>0</v>
      </c>
      <c r="AI76" s="194">
        <f t="shared" si="197"/>
        <v>0</v>
      </c>
      <c r="AJ76" s="194">
        <f t="shared" si="197"/>
        <v>0</v>
      </c>
      <c r="AK76" s="194">
        <f t="shared" si="197"/>
        <v>0</v>
      </c>
      <c r="AL76" s="194">
        <f t="shared" si="197"/>
        <v>0</v>
      </c>
      <c r="AM76" s="194">
        <f t="shared" si="197"/>
        <v>683</v>
      </c>
      <c r="AN76" s="194">
        <f t="shared" si="197"/>
        <v>0</v>
      </c>
      <c r="AO76" s="194">
        <f t="shared" si="197"/>
        <v>0</v>
      </c>
      <c r="AP76" s="194">
        <f t="shared" si="197"/>
        <v>0</v>
      </c>
      <c r="AQ76" s="194">
        <f t="shared" si="197"/>
        <v>0</v>
      </c>
      <c r="AR76" s="194">
        <f t="shared" si="197"/>
        <v>0</v>
      </c>
      <c r="AS76" s="194">
        <f t="shared" si="197"/>
        <v>0</v>
      </c>
      <c r="AT76" s="194">
        <f t="shared" si="197"/>
        <v>0</v>
      </c>
      <c r="AU76" s="194">
        <f t="shared" si="197"/>
        <v>0</v>
      </c>
      <c r="AV76" s="194">
        <f t="shared" si="197"/>
        <v>0</v>
      </c>
      <c r="AW76" s="194">
        <f t="shared" si="197"/>
        <v>0</v>
      </c>
      <c r="AX76" s="194">
        <f t="shared" si="197"/>
        <v>0</v>
      </c>
      <c r="AY76" s="194">
        <f t="shared" si="197"/>
        <v>0</v>
      </c>
      <c r="AZ76" s="194">
        <f t="shared" si="197"/>
        <v>168</v>
      </c>
      <c r="BA76" s="194">
        <f t="shared" si="197"/>
        <v>0</v>
      </c>
      <c r="BB76" s="194">
        <f t="shared" si="197"/>
        <v>0</v>
      </c>
      <c r="BC76" s="194">
        <f t="shared" si="197"/>
        <v>0</v>
      </c>
      <c r="BD76" s="194">
        <f t="shared" si="197"/>
        <v>0</v>
      </c>
      <c r="BE76" s="194">
        <f t="shared" si="197"/>
        <v>0</v>
      </c>
      <c r="BF76" s="194">
        <f t="shared" si="197"/>
        <v>0</v>
      </c>
      <c r="BG76" s="194">
        <f t="shared" si="197"/>
        <v>0</v>
      </c>
      <c r="BH76" s="194">
        <f t="shared" si="197"/>
        <v>0</v>
      </c>
      <c r="BI76" s="194">
        <f t="shared" si="197"/>
        <v>0</v>
      </c>
      <c r="BJ76" s="194">
        <f t="shared" si="197"/>
        <v>0</v>
      </c>
      <c r="BK76" s="194">
        <f t="shared" si="197"/>
        <v>0</v>
      </c>
      <c r="BL76" s="194">
        <f t="shared" si="197"/>
        <v>0</v>
      </c>
      <c r="BM76" s="194">
        <f t="shared" si="197"/>
        <v>0</v>
      </c>
      <c r="BN76" s="194">
        <f t="shared" si="197"/>
        <v>0</v>
      </c>
      <c r="BO76" s="194">
        <f t="shared" si="197"/>
        <v>0</v>
      </c>
      <c r="BP76" s="194">
        <f t="shared" si="197"/>
        <v>0</v>
      </c>
      <c r="BQ76" s="194">
        <f t="shared" si="197"/>
        <v>0</v>
      </c>
      <c r="BR76" s="194">
        <f t="shared" ref="BR76:CW76" si="198">BR9/2+BR16+BR19</f>
        <v>0</v>
      </c>
      <c r="BS76" s="194">
        <f t="shared" si="198"/>
        <v>0</v>
      </c>
      <c r="BT76" s="194">
        <f t="shared" si="198"/>
        <v>0</v>
      </c>
      <c r="BU76" s="194">
        <f t="shared" si="198"/>
        <v>0</v>
      </c>
      <c r="BV76" s="194">
        <f t="shared" si="198"/>
        <v>0</v>
      </c>
      <c r="BW76" s="194">
        <f t="shared" si="198"/>
        <v>0</v>
      </c>
      <c r="BX76" s="194">
        <f t="shared" si="198"/>
        <v>0</v>
      </c>
      <c r="BY76" s="194">
        <f t="shared" si="198"/>
        <v>0</v>
      </c>
      <c r="BZ76" s="194">
        <f t="shared" si="198"/>
        <v>0</v>
      </c>
      <c r="CA76" s="194">
        <f t="shared" si="198"/>
        <v>0</v>
      </c>
      <c r="CB76" s="194">
        <f t="shared" si="198"/>
        <v>0</v>
      </c>
      <c r="CC76" s="194">
        <f t="shared" si="198"/>
        <v>0</v>
      </c>
      <c r="CD76" s="194">
        <f t="shared" si="198"/>
        <v>0</v>
      </c>
      <c r="CE76" s="194">
        <f t="shared" si="198"/>
        <v>350</v>
      </c>
      <c r="CF76" s="194">
        <f t="shared" si="198"/>
        <v>62.5</v>
      </c>
      <c r="CG76" s="194">
        <f t="shared" si="198"/>
        <v>0</v>
      </c>
      <c r="CH76" s="194">
        <f t="shared" si="198"/>
        <v>0</v>
      </c>
      <c r="CI76" s="194">
        <f t="shared" si="198"/>
        <v>600</v>
      </c>
      <c r="CJ76" s="194">
        <f t="shared" si="198"/>
        <v>0</v>
      </c>
      <c r="CK76" s="194">
        <f t="shared" si="198"/>
        <v>0</v>
      </c>
      <c r="CL76" s="194">
        <f t="shared" si="198"/>
        <v>0</v>
      </c>
      <c r="CM76" s="194">
        <f t="shared" si="198"/>
        <v>0</v>
      </c>
      <c r="CN76" s="194">
        <f t="shared" si="198"/>
        <v>0</v>
      </c>
      <c r="CO76" s="194">
        <f t="shared" si="198"/>
        <v>0</v>
      </c>
      <c r="CP76" s="194">
        <f t="shared" si="198"/>
        <v>80</v>
      </c>
      <c r="CQ76" s="194">
        <f t="shared" si="198"/>
        <v>0</v>
      </c>
      <c r="CR76" s="194">
        <f t="shared" si="198"/>
        <v>0</v>
      </c>
      <c r="CS76" s="194">
        <f t="shared" si="198"/>
        <v>0</v>
      </c>
      <c r="CT76" s="194">
        <f t="shared" si="198"/>
        <v>0</v>
      </c>
      <c r="CU76" s="194">
        <f t="shared" si="198"/>
        <v>0</v>
      </c>
      <c r="CV76" s="194">
        <f t="shared" si="198"/>
        <v>0</v>
      </c>
      <c r="CW76" s="194">
        <f t="shared" si="198"/>
        <v>0</v>
      </c>
      <c r="CX76" s="194">
        <f t="shared" ref="CX76:DE76" si="199">CX9/2+CX16+CX19</f>
        <v>165</v>
      </c>
      <c r="CY76" s="194">
        <f t="shared" si="199"/>
        <v>0</v>
      </c>
      <c r="CZ76" s="194">
        <f t="shared" si="199"/>
        <v>0</v>
      </c>
      <c r="DA76" s="194">
        <f t="shared" si="199"/>
        <v>0</v>
      </c>
      <c r="DB76" s="194">
        <f t="shared" si="199"/>
        <v>0</v>
      </c>
      <c r="DC76" s="194">
        <f t="shared" si="199"/>
        <v>0</v>
      </c>
      <c r="DD76" s="194">
        <f t="shared" si="199"/>
        <v>90</v>
      </c>
      <c r="DE76" s="194">
        <f t="shared" si="199"/>
        <v>0</v>
      </c>
      <c r="DF76" s="194">
        <f t="shared" ref="DF76:DK76" si="200">DF9/2+DF16+DF19</f>
        <v>0</v>
      </c>
      <c r="DG76" s="194">
        <f t="shared" si="200"/>
        <v>0</v>
      </c>
      <c r="DH76" s="194">
        <f t="shared" si="200"/>
        <v>90</v>
      </c>
      <c r="DI76" s="194">
        <f t="shared" si="200"/>
        <v>0</v>
      </c>
      <c r="DJ76" s="194">
        <f t="shared" si="200"/>
        <v>0</v>
      </c>
      <c r="DK76" s="194">
        <f t="shared" si="200"/>
        <v>0</v>
      </c>
      <c r="DL76" s="194">
        <f t="shared" ref="DL76:DR76" si="201">DL9/2+DL16+DL19</f>
        <v>0</v>
      </c>
      <c r="DM76" s="194">
        <f t="shared" si="201"/>
        <v>0</v>
      </c>
      <c r="DN76" s="194">
        <f t="shared" si="201"/>
        <v>160</v>
      </c>
      <c r="DO76" s="194">
        <f t="shared" si="201"/>
        <v>0</v>
      </c>
      <c r="DP76" s="194">
        <f t="shared" si="201"/>
        <v>0</v>
      </c>
      <c r="DQ76" s="194">
        <f t="shared" si="201"/>
        <v>0</v>
      </c>
      <c r="DR76" s="194">
        <f t="shared" si="201"/>
        <v>0</v>
      </c>
      <c r="DS76" s="194">
        <f t="shared" ref="DS76:EF76" si="202">DS9/2+DS16+DS19</f>
        <v>0</v>
      </c>
      <c r="DT76" s="194">
        <f t="shared" si="202"/>
        <v>0</v>
      </c>
      <c r="DU76" s="194">
        <f t="shared" si="202"/>
        <v>0</v>
      </c>
      <c r="DV76" s="194">
        <f t="shared" si="202"/>
        <v>5</v>
      </c>
      <c r="DW76" s="194">
        <f t="shared" si="202"/>
        <v>0</v>
      </c>
      <c r="DX76" s="194">
        <f t="shared" si="202"/>
        <v>0</v>
      </c>
      <c r="DY76" s="194">
        <f t="shared" si="202"/>
        <v>0</v>
      </c>
      <c r="DZ76" s="194">
        <f t="shared" si="202"/>
        <v>0</v>
      </c>
      <c r="EA76" s="194">
        <f t="shared" si="202"/>
        <v>0</v>
      </c>
      <c r="EB76" s="194">
        <f t="shared" si="202"/>
        <v>0</v>
      </c>
      <c r="EC76" s="194">
        <f t="shared" si="202"/>
        <v>0</v>
      </c>
      <c r="ED76" s="194">
        <f t="shared" si="202"/>
        <v>0</v>
      </c>
      <c r="EE76" s="194">
        <f t="shared" si="202"/>
        <v>0</v>
      </c>
      <c r="EF76" s="194">
        <f t="shared" si="202"/>
        <v>0</v>
      </c>
      <c r="EG76" s="194">
        <f t="shared" ref="EG76:EZ76" si="203">EG9/2+EG16+EG19</f>
        <v>0</v>
      </c>
      <c r="EH76" s="194">
        <f t="shared" si="203"/>
        <v>0</v>
      </c>
      <c r="EI76" s="194">
        <f t="shared" si="203"/>
        <v>0</v>
      </c>
      <c r="EJ76" s="194">
        <f t="shared" si="203"/>
        <v>50</v>
      </c>
      <c r="EK76" s="194">
        <f t="shared" si="203"/>
        <v>0</v>
      </c>
      <c r="EL76" s="194">
        <f t="shared" si="203"/>
        <v>107.5</v>
      </c>
      <c r="EM76" s="194">
        <f t="shared" si="203"/>
        <v>0</v>
      </c>
      <c r="EN76" s="194">
        <f t="shared" si="203"/>
        <v>0</v>
      </c>
      <c r="EO76" s="194">
        <f t="shared" si="203"/>
        <v>0</v>
      </c>
      <c r="EP76" s="194">
        <f t="shared" si="203"/>
        <v>0</v>
      </c>
      <c r="EQ76" s="194">
        <f t="shared" si="203"/>
        <v>0</v>
      </c>
      <c r="ER76" s="194">
        <f t="shared" si="203"/>
        <v>0</v>
      </c>
      <c r="ES76" s="194">
        <f t="shared" si="203"/>
        <v>0</v>
      </c>
      <c r="ET76" s="194">
        <f t="shared" si="203"/>
        <v>0</v>
      </c>
      <c r="EU76" s="194">
        <f t="shared" si="203"/>
        <v>0</v>
      </c>
      <c r="EV76" s="194">
        <f t="shared" si="203"/>
        <v>0</v>
      </c>
      <c r="EW76" s="194">
        <f t="shared" si="203"/>
        <v>0</v>
      </c>
      <c r="EX76" s="194">
        <f t="shared" si="203"/>
        <v>0</v>
      </c>
      <c r="EY76" s="194">
        <f t="shared" si="203"/>
        <v>0</v>
      </c>
      <c r="EZ76" s="194">
        <f t="shared" si="203"/>
        <v>0</v>
      </c>
      <c r="FA76" s="194">
        <f t="shared" ref="FA76:FJ76" si="204">FA9/2+FA16+FA19</f>
        <v>0</v>
      </c>
      <c r="FB76" s="194">
        <f t="shared" si="204"/>
        <v>0</v>
      </c>
      <c r="FC76" s="194">
        <f t="shared" si="204"/>
        <v>0</v>
      </c>
      <c r="FD76" s="194">
        <f t="shared" si="204"/>
        <v>0</v>
      </c>
      <c r="FE76" s="194">
        <f t="shared" si="204"/>
        <v>0</v>
      </c>
      <c r="FF76" s="194">
        <f t="shared" si="204"/>
        <v>0</v>
      </c>
      <c r="FG76" s="194">
        <f t="shared" si="204"/>
        <v>0</v>
      </c>
      <c r="FH76" s="194">
        <f t="shared" si="204"/>
        <v>0</v>
      </c>
      <c r="FI76" s="194">
        <f t="shared" si="204"/>
        <v>0</v>
      </c>
      <c r="FJ76" s="194">
        <f t="shared" si="204"/>
        <v>14.5</v>
      </c>
      <c r="FK76" s="194">
        <f t="shared" ref="FK76:FY76" si="205">FK9/2+FK16+FK19</f>
        <v>12.5</v>
      </c>
      <c r="FL76" s="194">
        <f t="shared" si="205"/>
        <v>0</v>
      </c>
      <c r="FM76" s="194">
        <f t="shared" si="205"/>
        <v>0</v>
      </c>
      <c r="FN76" s="194">
        <f t="shared" si="205"/>
        <v>0</v>
      </c>
      <c r="FO76" s="194">
        <f t="shared" si="205"/>
        <v>0</v>
      </c>
      <c r="FP76" s="194">
        <f t="shared" si="205"/>
        <v>0</v>
      </c>
      <c r="FQ76" s="194">
        <f t="shared" si="205"/>
        <v>0</v>
      </c>
      <c r="FR76" s="194">
        <f t="shared" si="205"/>
        <v>0</v>
      </c>
      <c r="FS76" s="194">
        <f t="shared" si="205"/>
        <v>350</v>
      </c>
      <c r="FT76" s="194">
        <f t="shared" si="205"/>
        <v>0</v>
      </c>
      <c r="FU76" s="194">
        <f t="shared" si="205"/>
        <v>0</v>
      </c>
      <c r="FV76" s="194">
        <f t="shared" si="205"/>
        <v>0</v>
      </c>
      <c r="FW76" s="194">
        <f t="shared" si="205"/>
        <v>0</v>
      </c>
      <c r="FX76" s="194">
        <f t="shared" si="205"/>
        <v>0</v>
      </c>
      <c r="FY76" s="194">
        <f t="shared" si="205"/>
        <v>0</v>
      </c>
      <c r="FZ76" s="194">
        <f t="shared" ref="FZ76:GN76" si="206">FZ9/2+FZ16+FZ19</f>
        <v>0</v>
      </c>
      <c r="GA76" s="194">
        <f t="shared" si="206"/>
        <v>0</v>
      </c>
      <c r="GB76" s="194">
        <f t="shared" si="206"/>
        <v>0</v>
      </c>
      <c r="GC76" s="194">
        <f t="shared" si="206"/>
        <v>0</v>
      </c>
      <c r="GD76" s="194">
        <f t="shared" si="206"/>
        <v>0</v>
      </c>
      <c r="GE76" s="194">
        <f t="shared" si="206"/>
        <v>0</v>
      </c>
      <c r="GF76" s="194">
        <f t="shared" si="206"/>
        <v>0</v>
      </c>
      <c r="GG76" s="194">
        <f t="shared" si="206"/>
        <v>0</v>
      </c>
      <c r="GH76" s="194">
        <f t="shared" si="206"/>
        <v>0</v>
      </c>
      <c r="GI76" s="194">
        <f t="shared" si="206"/>
        <v>0</v>
      </c>
      <c r="GJ76" s="194">
        <f t="shared" si="206"/>
        <v>0</v>
      </c>
      <c r="GK76" s="194">
        <f t="shared" si="206"/>
        <v>0</v>
      </c>
      <c r="GL76" s="194">
        <f t="shared" si="206"/>
        <v>0</v>
      </c>
      <c r="GM76" s="194">
        <f t="shared" si="206"/>
        <v>0</v>
      </c>
      <c r="GN76" s="194">
        <f t="shared" si="206"/>
        <v>0</v>
      </c>
      <c r="GO76" s="194">
        <f t="shared" ref="GO76:HT76" si="207">GO9/2+GO16+GO19</f>
        <v>0</v>
      </c>
      <c r="GP76" s="194">
        <f t="shared" si="207"/>
        <v>0</v>
      </c>
      <c r="GQ76" s="194">
        <f t="shared" si="207"/>
        <v>0</v>
      </c>
      <c r="GR76" s="194">
        <f t="shared" si="207"/>
        <v>220</v>
      </c>
      <c r="GS76" s="194">
        <f t="shared" si="207"/>
        <v>0</v>
      </c>
      <c r="GT76" s="194">
        <f t="shared" si="207"/>
        <v>0</v>
      </c>
      <c r="GU76" s="194">
        <f t="shared" si="207"/>
        <v>0</v>
      </c>
      <c r="GV76" s="194">
        <f t="shared" si="207"/>
        <v>0</v>
      </c>
      <c r="GW76" s="194">
        <f t="shared" si="207"/>
        <v>0</v>
      </c>
      <c r="GX76" s="194">
        <f t="shared" si="207"/>
        <v>0</v>
      </c>
      <c r="GY76" s="194">
        <f t="shared" si="207"/>
        <v>0</v>
      </c>
      <c r="GZ76" s="194">
        <f t="shared" si="207"/>
        <v>0</v>
      </c>
      <c r="HA76" s="194">
        <f t="shared" si="207"/>
        <v>0</v>
      </c>
      <c r="HB76" s="194">
        <f t="shared" si="207"/>
        <v>0</v>
      </c>
      <c r="HC76" s="194">
        <f t="shared" si="207"/>
        <v>0</v>
      </c>
      <c r="HD76" s="194">
        <f t="shared" si="207"/>
        <v>0</v>
      </c>
      <c r="HE76" s="194">
        <f t="shared" si="207"/>
        <v>0</v>
      </c>
      <c r="HF76" s="194">
        <f t="shared" si="207"/>
        <v>0</v>
      </c>
      <c r="HG76" s="194">
        <f t="shared" si="207"/>
        <v>0</v>
      </c>
      <c r="HH76" s="194">
        <f t="shared" si="207"/>
        <v>0</v>
      </c>
      <c r="HI76" s="194">
        <f t="shared" si="207"/>
        <v>0</v>
      </c>
      <c r="HJ76" s="194">
        <f t="shared" si="207"/>
        <v>0</v>
      </c>
      <c r="HK76" s="194">
        <f t="shared" si="207"/>
        <v>0</v>
      </c>
      <c r="HL76" s="194">
        <f t="shared" si="207"/>
        <v>0</v>
      </c>
      <c r="HM76" s="194">
        <f t="shared" si="207"/>
        <v>0</v>
      </c>
      <c r="HN76" s="194">
        <f t="shared" si="207"/>
        <v>0</v>
      </c>
      <c r="HO76" s="194">
        <f t="shared" si="207"/>
        <v>0</v>
      </c>
      <c r="HP76" s="194">
        <f t="shared" si="207"/>
        <v>0</v>
      </c>
      <c r="HQ76" s="194">
        <f t="shared" si="207"/>
        <v>0</v>
      </c>
      <c r="HR76" s="194">
        <f t="shared" si="207"/>
        <v>0</v>
      </c>
      <c r="HS76" s="194">
        <f t="shared" si="207"/>
        <v>0</v>
      </c>
      <c r="HT76" s="194">
        <f t="shared" si="207"/>
        <v>0</v>
      </c>
    </row>
    <row r="77" spans="1:229" x14ac:dyDescent="0.25">
      <c r="C77" s="345"/>
      <c r="M77"/>
      <c r="N77"/>
      <c r="O77" s="293"/>
    </row>
    <row r="78" spans="1:229" x14ac:dyDescent="0.25">
      <c r="B78" s="495" t="s">
        <v>16</v>
      </c>
      <c r="C78" s="345" t="s">
        <v>79</v>
      </c>
      <c r="E78" s="194">
        <f>E23+E24+E26+E27+E28</f>
        <v>0</v>
      </c>
      <c r="F78" s="194">
        <f t="shared" ref="F78:BQ78" si="208">F23+F24+F26+F27+F28</f>
        <v>0</v>
      </c>
      <c r="G78" s="194">
        <f t="shared" si="208"/>
        <v>0</v>
      </c>
      <c r="H78" s="194">
        <f t="shared" si="208"/>
        <v>0</v>
      </c>
      <c r="I78" s="194">
        <f t="shared" si="208"/>
        <v>0</v>
      </c>
      <c r="J78" s="194">
        <f t="shared" si="208"/>
        <v>0</v>
      </c>
      <c r="K78" s="194">
        <f t="shared" si="208"/>
        <v>0</v>
      </c>
      <c r="L78" s="194">
        <f t="shared" si="208"/>
        <v>0</v>
      </c>
      <c r="M78" s="194">
        <f t="shared" si="208"/>
        <v>0</v>
      </c>
      <c r="N78" s="194">
        <f t="shared" si="208"/>
        <v>0</v>
      </c>
      <c r="O78" s="292">
        <f t="shared" si="208"/>
        <v>0</v>
      </c>
      <c r="P78" s="194">
        <f t="shared" si="208"/>
        <v>0</v>
      </c>
      <c r="Q78" s="194">
        <f t="shared" si="208"/>
        <v>0</v>
      </c>
      <c r="R78" s="194">
        <f t="shared" si="208"/>
        <v>0</v>
      </c>
      <c r="S78" s="194">
        <f t="shared" si="208"/>
        <v>0</v>
      </c>
      <c r="T78" s="194">
        <f t="shared" si="208"/>
        <v>0</v>
      </c>
      <c r="U78" s="194">
        <f t="shared" si="208"/>
        <v>0</v>
      </c>
      <c r="V78" s="194">
        <f t="shared" si="208"/>
        <v>0</v>
      </c>
      <c r="W78" s="194">
        <f t="shared" si="208"/>
        <v>0</v>
      </c>
      <c r="X78" s="194">
        <f t="shared" si="208"/>
        <v>0</v>
      </c>
      <c r="Y78" s="194">
        <f t="shared" si="208"/>
        <v>0</v>
      </c>
      <c r="Z78" s="194">
        <f t="shared" si="208"/>
        <v>0</v>
      </c>
      <c r="AA78" s="194">
        <f t="shared" si="208"/>
        <v>0</v>
      </c>
      <c r="AB78" s="194">
        <f t="shared" si="208"/>
        <v>1906</v>
      </c>
      <c r="AC78" s="194">
        <f t="shared" si="208"/>
        <v>0</v>
      </c>
      <c r="AD78" s="194">
        <f t="shared" si="208"/>
        <v>0</v>
      </c>
      <c r="AE78" s="194">
        <f t="shared" si="208"/>
        <v>0</v>
      </c>
      <c r="AF78" s="194">
        <f t="shared" si="208"/>
        <v>0</v>
      </c>
      <c r="AG78" s="194">
        <f t="shared" si="208"/>
        <v>0</v>
      </c>
      <c r="AH78" s="194">
        <f t="shared" si="208"/>
        <v>0</v>
      </c>
      <c r="AI78" s="194">
        <f t="shared" si="208"/>
        <v>0</v>
      </c>
      <c r="AJ78" s="194">
        <f t="shared" si="208"/>
        <v>0</v>
      </c>
      <c r="AK78" s="194">
        <f t="shared" si="208"/>
        <v>0</v>
      </c>
      <c r="AL78" s="194">
        <f t="shared" si="208"/>
        <v>0</v>
      </c>
      <c r="AM78" s="194">
        <f t="shared" si="208"/>
        <v>0</v>
      </c>
      <c r="AN78" s="194">
        <f t="shared" si="208"/>
        <v>0</v>
      </c>
      <c r="AO78" s="194">
        <f t="shared" si="208"/>
        <v>0</v>
      </c>
      <c r="AP78" s="194">
        <f t="shared" si="208"/>
        <v>0</v>
      </c>
      <c r="AQ78" s="194">
        <f t="shared" si="208"/>
        <v>0</v>
      </c>
      <c r="AR78" s="194">
        <f t="shared" si="208"/>
        <v>0</v>
      </c>
      <c r="AS78" s="194">
        <f t="shared" si="208"/>
        <v>0</v>
      </c>
      <c r="AT78" s="194">
        <f t="shared" si="208"/>
        <v>0</v>
      </c>
      <c r="AU78" s="194">
        <f t="shared" si="208"/>
        <v>0</v>
      </c>
      <c r="AV78" s="194">
        <f t="shared" si="208"/>
        <v>0</v>
      </c>
      <c r="AW78" s="194">
        <f t="shared" si="208"/>
        <v>0</v>
      </c>
      <c r="AX78" s="194">
        <f t="shared" si="208"/>
        <v>0</v>
      </c>
      <c r="AY78" s="194">
        <f t="shared" si="208"/>
        <v>0</v>
      </c>
      <c r="AZ78" s="194">
        <f t="shared" si="208"/>
        <v>0</v>
      </c>
      <c r="BA78" s="194">
        <f t="shared" si="208"/>
        <v>0</v>
      </c>
      <c r="BB78" s="194">
        <f t="shared" si="208"/>
        <v>0</v>
      </c>
      <c r="BC78" s="194">
        <f t="shared" si="208"/>
        <v>0</v>
      </c>
      <c r="BD78" s="194">
        <f t="shared" si="208"/>
        <v>0</v>
      </c>
      <c r="BE78" s="194">
        <f t="shared" si="208"/>
        <v>0</v>
      </c>
      <c r="BF78" s="194">
        <f t="shared" si="208"/>
        <v>0</v>
      </c>
      <c r="BG78" s="194">
        <f t="shared" si="208"/>
        <v>1340</v>
      </c>
      <c r="BH78" s="194">
        <f t="shared" si="208"/>
        <v>0</v>
      </c>
      <c r="BI78" s="194">
        <f t="shared" si="208"/>
        <v>0</v>
      </c>
      <c r="BJ78" s="194">
        <f t="shared" si="208"/>
        <v>0</v>
      </c>
      <c r="BK78" s="194">
        <f t="shared" si="208"/>
        <v>0</v>
      </c>
      <c r="BL78" s="194">
        <f t="shared" si="208"/>
        <v>0</v>
      </c>
      <c r="BM78" s="194">
        <f t="shared" si="208"/>
        <v>0</v>
      </c>
      <c r="BN78" s="194">
        <f t="shared" si="208"/>
        <v>0</v>
      </c>
      <c r="BO78" s="194">
        <f t="shared" si="208"/>
        <v>0</v>
      </c>
      <c r="BP78" s="194">
        <f t="shared" si="208"/>
        <v>0</v>
      </c>
      <c r="BQ78" s="194">
        <f t="shared" si="208"/>
        <v>0</v>
      </c>
      <c r="BR78" s="194">
        <f t="shared" ref="BR78:CW78" si="209">BR23+BR24+BR26+BR27+BR28</f>
        <v>0</v>
      </c>
      <c r="BS78" s="194">
        <f t="shared" si="209"/>
        <v>0</v>
      </c>
      <c r="BT78" s="194">
        <f t="shared" si="209"/>
        <v>0</v>
      </c>
      <c r="BU78" s="194">
        <f t="shared" si="209"/>
        <v>0</v>
      </c>
      <c r="BV78" s="194">
        <f t="shared" si="209"/>
        <v>0</v>
      </c>
      <c r="BW78" s="194">
        <f t="shared" si="209"/>
        <v>0</v>
      </c>
      <c r="BX78" s="194">
        <f t="shared" si="209"/>
        <v>0</v>
      </c>
      <c r="BY78" s="194">
        <f t="shared" si="209"/>
        <v>0</v>
      </c>
      <c r="BZ78" s="194">
        <f t="shared" si="209"/>
        <v>0</v>
      </c>
      <c r="CA78" s="194">
        <f t="shared" si="209"/>
        <v>0</v>
      </c>
      <c r="CB78" s="194">
        <f t="shared" si="209"/>
        <v>0</v>
      </c>
      <c r="CC78" s="194">
        <f t="shared" si="209"/>
        <v>0</v>
      </c>
      <c r="CD78" s="194">
        <f t="shared" si="209"/>
        <v>0</v>
      </c>
      <c r="CE78" s="194">
        <f t="shared" si="209"/>
        <v>0</v>
      </c>
      <c r="CF78" s="194">
        <f t="shared" si="209"/>
        <v>0</v>
      </c>
      <c r="CG78" s="194">
        <f t="shared" si="209"/>
        <v>0</v>
      </c>
      <c r="CH78" s="194">
        <f t="shared" si="209"/>
        <v>0</v>
      </c>
      <c r="CI78" s="194">
        <f t="shared" si="209"/>
        <v>0</v>
      </c>
      <c r="CJ78" s="194">
        <f t="shared" si="209"/>
        <v>0</v>
      </c>
      <c r="CK78" s="194">
        <f t="shared" si="209"/>
        <v>0</v>
      </c>
      <c r="CL78" s="194">
        <f t="shared" si="209"/>
        <v>0</v>
      </c>
      <c r="CM78" s="194">
        <f t="shared" si="209"/>
        <v>0</v>
      </c>
      <c r="CN78" s="194">
        <f t="shared" si="209"/>
        <v>0</v>
      </c>
      <c r="CO78" s="194">
        <f t="shared" si="209"/>
        <v>0</v>
      </c>
      <c r="CP78" s="194">
        <f t="shared" si="209"/>
        <v>0</v>
      </c>
      <c r="CQ78" s="194">
        <f t="shared" si="209"/>
        <v>0</v>
      </c>
      <c r="CR78" s="194">
        <f t="shared" si="209"/>
        <v>0</v>
      </c>
      <c r="CS78" s="194">
        <f t="shared" si="209"/>
        <v>0</v>
      </c>
      <c r="CT78" s="194">
        <f t="shared" si="209"/>
        <v>1850</v>
      </c>
      <c r="CU78" s="194">
        <f t="shared" si="209"/>
        <v>0</v>
      </c>
      <c r="CV78" s="194">
        <f t="shared" si="209"/>
        <v>0</v>
      </c>
      <c r="CW78" s="194">
        <f t="shared" si="209"/>
        <v>0</v>
      </c>
      <c r="CX78" s="194">
        <f t="shared" ref="CX78:DE78" si="210">CX23+CX24+CX26+CX27+CX28</f>
        <v>0</v>
      </c>
      <c r="CY78" s="194">
        <f t="shared" si="210"/>
        <v>0</v>
      </c>
      <c r="CZ78" s="194">
        <f t="shared" si="210"/>
        <v>0</v>
      </c>
      <c r="DA78" s="194">
        <f t="shared" si="210"/>
        <v>0</v>
      </c>
      <c r="DB78" s="194">
        <f t="shared" si="210"/>
        <v>0</v>
      </c>
      <c r="DC78" s="194">
        <f t="shared" si="210"/>
        <v>0</v>
      </c>
      <c r="DD78" s="194">
        <f t="shared" si="210"/>
        <v>0</v>
      </c>
      <c r="DE78" s="194">
        <f t="shared" si="210"/>
        <v>0</v>
      </c>
      <c r="DF78" s="194">
        <f t="shared" ref="DF78:DK78" si="211">DF23+DF24+DF26+DF27+DF28</f>
        <v>0</v>
      </c>
      <c r="DG78" s="194">
        <f t="shared" si="211"/>
        <v>0</v>
      </c>
      <c r="DH78" s="194">
        <f t="shared" si="211"/>
        <v>0</v>
      </c>
      <c r="DI78" s="194">
        <f t="shared" si="211"/>
        <v>0</v>
      </c>
      <c r="DJ78" s="194">
        <f t="shared" si="211"/>
        <v>0</v>
      </c>
      <c r="DK78" s="194">
        <f t="shared" si="211"/>
        <v>0</v>
      </c>
      <c r="DL78" s="194">
        <f t="shared" ref="DL78:DR78" si="212">DL23+DL24+DL26+DL27+DL28</f>
        <v>0</v>
      </c>
      <c r="DM78" s="194">
        <f t="shared" si="212"/>
        <v>0</v>
      </c>
      <c r="DN78" s="194">
        <f t="shared" si="212"/>
        <v>0</v>
      </c>
      <c r="DO78" s="194">
        <f t="shared" si="212"/>
        <v>0</v>
      </c>
      <c r="DP78" s="194">
        <f t="shared" si="212"/>
        <v>0</v>
      </c>
      <c r="DQ78" s="194">
        <f t="shared" si="212"/>
        <v>0</v>
      </c>
      <c r="DR78" s="194">
        <f t="shared" si="212"/>
        <v>1211</v>
      </c>
      <c r="DS78" s="194">
        <f t="shared" ref="DS78:EF78" si="213">DS23+DS24+DS26+DS27+DS28</f>
        <v>0</v>
      </c>
      <c r="DT78" s="194">
        <f t="shared" si="213"/>
        <v>0</v>
      </c>
      <c r="DU78" s="194">
        <f t="shared" si="213"/>
        <v>710</v>
      </c>
      <c r="DV78" s="194">
        <f t="shared" si="213"/>
        <v>75</v>
      </c>
      <c r="DW78" s="194">
        <f t="shared" si="213"/>
        <v>0</v>
      </c>
      <c r="DX78" s="194">
        <f t="shared" si="213"/>
        <v>0</v>
      </c>
      <c r="DY78" s="194">
        <f t="shared" si="213"/>
        <v>0</v>
      </c>
      <c r="DZ78" s="194">
        <f t="shared" si="213"/>
        <v>780</v>
      </c>
      <c r="EA78" s="194">
        <f t="shared" si="213"/>
        <v>0</v>
      </c>
      <c r="EB78" s="194">
        <f t="shared" si="213"/>
        <v>0</v>
      </c>
      <c r="EC78" s="194">
        <f t="shared" si="213"/>
        <v>0</v>
      </c>
      <c r="ED78" s="194">
        <f t="shared" si="213"/>
        <v>0</v>
      </c>
      <c r="EE78" s="194">
        <f t="shared" si="213"/>
        <v>0</v>
      </c>
      <c r="EF78" s="194">
        <f t="shared" si="213"/>
        <v>0</v>
      </c>
      <c r="EG78" s="194">
        <f t="shared" ref="EG78:EZ78" si="214">EG23+EG24+EG26+EG27+EG28</f>
        <v>40</v>
      </c>
      <c r="EH78" s="194">
        <f t="shared" si="214"/>
        <v>1600</v>
      </c>
      <c r="EI78" s="194">
        <f t="shared" si="214"/>
        <v>0</v>
      </c>
      <c r="EJ78" s="194">
        <f t="shared" si="214"/>
        <v>0</v>
      </c>
      <c r="EK78" s="194">
        <f t="shared" si="214"/>
        <v>0</v>
      </c>
      <c r="EL78" s="194">
        <f t="shared" si="214"/>
        <v>0</v>
      </c>
      <c r="EM78" s="194">
        <f t="shared" si="214"/>
        <v>0</v>
      </c>
      <c r="EN78" s="194">
        <f t="shared" si="214"/>
        <v>0</v>
      </c>
      <c r="EO78" s="194">
        <f t="shared" si="214"/>
        <v>0</v>
      </c>
      <c r="EP78" s="194">
        <f t="shared" si="214"/>
        <v>0</v>
      </c>
      <c r="EQ78" s="194">
        <f t="shared" si="214"/>
        <v>0</v>
      </c>
      <c r="ER78" s="194">
        <f t="shared" si="214"/>
        <v>0</v>
      </c>
      <c r="ES78" s="194">
        <f t="shared" si="214"/>
        <v>63</v>
      </c>
      <c r="ET78" s="194">
        <f t="shared" si="214"/>
        <v>0</v>
      </c>
      <c r="EU78" s="194">
        <f t="shared" si="214"/>
        <v>0</v>
      </c>
      <c r="EV78" s="194">
        <f t="shared" si="214"/>
        <v>0</v>
      </c>
      <c r="EW78" s="194">
        <f t="shared" si="214"/>
        <v>0</v>
      </c>
      <c r="EX78" s="194">
        <f t="shared" si="214"/>
        <v>0</v>
      </c>
      <c r="EY78" s="194">
        <f t="shared" si="214"/>
        <v>0</v>
      </c>
      <c r="EZ78" s="194">
        <f t="shared" si="214"/>
        <v>0</v>
      </c>
      <c r="FA78" s="194">
        <f t="shared" ref="FA78:FJ78" si="215">FA23+FA24+FA26+FA27+FA28</f>
        <v>0</v>
      </c>
      <c r="FB78" s="194">
        <f t="shared" si="215"/>
        <v>0</v>
      </c>
      <c r="FC78" s="194">
        <f t="shared" si="215"/>
        <v>0</v>
      </c>
      <c r="FD78" s="194">
        <f t="shared" si="215"/>
        <v>0</v>
      </c>
      <c r="FE78" s="194">
        <f t="shared" si="215"/>
        <v>0</v>
      </c>
      <c r="FF78" s="194">
        <f t="shared" si="215"/>
        <v>0</v>
      </c>
      <c r="FG78" s="194">
        <f t="shared" si="215"/>
        <v>0</v>
      </c>
      <c r="FH78" s="194">
        <f t="shared" si="215"/>
        <v>0</v>
      </c>
      <c r="FI78" s="194">
        <f t="shared" si="215"/>
        <v>0</v>
      </c>
      <c r="FJ78" s="194">
        <f t="shared" si="215"/>
        <v>0</v>
      </c>
      <c r="FK78" s="194">
        <f t="shared" ref="FK78:FY78" si="216">FK23+FK24+FK26+FK27+FK28</f>
        <v>0</v>
      </c>
      <c r="FL78" s="194">
        <f t="shared" si="216"/>
        <v>0</v>
      </c>
      <c r="FM78" s="194">
        <f t="shared" si="216"/>
        <v>0</v>
      </c>
      <c r="FN78" s="194">
        <f t="shared" si="216"/>
        <v>0</v>
      </c>
      <c r="FO78" s="194">
        <f t="shared" si="216"/>
        <v>0</v>
      </c>
      <c r="FP78" s="194">
        <f t="shared" si="216"/>
        <v>0</v>
      </c>
      <c r="FQ78" s="194">
        <f t="shared" si="216"/>
        <v>0</v>
      </c>
      <c r="FR78" s="194">
        <f t="shared" si="216"/>
        <v>0</v>
      </c>
      <c r="FS78" s="194">
        <f t="shared" si="216"/>
        <v>0</v>
      </c>
      <c r="FT78" s="194">
        <f t="shared" si="216"/>
        <v>0</v>
      </c>
      <c r="FU78" s="194">
        <f t="shared" si="216"/>
        <v>0</v>
      </c>
      <c r="FV78" s="194">
        <f t="shared" si="216"/>
        <v>0</v>
      </c>
      <c r="FW78" s="194">
        <f t="shared" si="216"/>
        <v>0</v>
      </c>
      <c r="FX78" s="194">
        <f t="shared" si="216"/>
        <v>0</v>
      </c>
      <c r="FY78" s="194">
        <f t="shared" si="216"/>
        <v>0</v>
      </c>
      <c r="FZ78" s="194">
        <f t="shared" ref="FZ78:GN78" si="217">FZ23+FZ24+FZ26+FZ27+FZ28</f>
        <v>0</v>
      </c>
      <c r="GA78" s="194">
        <f t="shared" si="217"/>
        <v>0</v>
      </c>
      <c r="GB78" s="194">
        <f t="shared" si="217"/>
        <v>0</v>
      </c>
      <c r="GC78" s="194">
        <f t="shared" si="217"/>
        <v>0</v>
      </c>
      <c r="GD78" s="194">
        <f t="shared" si="217"/>
        <v>0</v>
      </c>
      <c r="GE78" s="194">
        <f t="shared" si="217"/>
        <v>0</v>
      </c>
      <c r="GF78" s="194">
        <f t="shared" si="217"/>
        <v>0</v>
      </c>
      <c r="GG78" s="194">
        <f t="shared" si="217"/>
        <v>0</v>
      </c>
      <c r="GH78" s="194">
        <f t="shared" si="217"/>
        <v>0</v>
      </c>
      <c r="GI78" s="194">
        <f t="shared" si="217"/>
        <v>0</v>
      </c>
      <c r="GJ78" s="194">
        <f t="shared" si="217"/>
        <v>0</v>
      </c>
      <c r="GK78" s="194">
        <f t="shared" si="217"/>
        <v>0</v>
      </c>
      <c r="GL78" s="194">
        <f t="shared" si="217"/>
        <v>0</v>
      </c>
      <c r="GM78" s="194">
        <f t="shared" si="217"/>
        <v>0</v>
      </c>
      <c r="GN78" s="194">
        <f t="shared" si="217"/>
        <v>0</v>
      </c>
      <c r="GO78" s="194">
        <f t="shared" ref="GO78:HT78" si="218">GO23+GO24+GO26+GO27+GO28</f>
        <v>0</v>
      </c>
      <c r="GP78" s="194">
        <f t="shared" si="218"/>
        <v>0</v>
      </c>
      <c r="GQ78" s="194">
        <f t="shared" si="218"/>
        <v>0</v>
      </c>
      <c r="GR78" s="194">
        <f t="shared" si="218"/>
        <v>0</v>
      </c>
      <c r="GS78" s="194">
        <f t="shared" si="218"/>
        <v>0</v>
      </c>
      <c r="GT78" s="194">
        <f t="shared" si="218"/>
        <v>0</v>
      </c>
      <c r="GU78" s="194">
        <f t="shared" si="218"/>
        <v>0</v>
      </c>
      <c r="GV78" s="194">
        <f t="shared" si="218"/>
        <v>0</v>
      </c>
      <c r="GW78" s="194">
        <f t="shared" si="218"/>
        <v>0</v>
      </c>
      <c r="GX78" s="194">
        <f t="shared" si="218"/>
        <v>0</v>
      </c>
      <c r="GY78" s="194">
        <f t="shared" si="218"/>
        <v>0</v>
      </c>
      <c r="GZ78" s="194">
        <f t="shared" si="218"/>
        <v>0</v>
      </c>
      <c r="HA78" s="194">
        <f t="shared" si="218"/>
        <v>0</v>
      </c>
      <c r="HB78" s="194">
        <f t="shared" si="218"/>
        <v>0</v>
      </c>
      <c r="HC78" s="194">
        <f t="shared" si="218"/>
        <v>0</v>
      </c>
      <c r="HD78" s="194">
        <f t="shared" si="218"/>
        <v>0</v>
      </c>
      <c r="HE78" s="194">
        <f t="shared" si="218"/>
        <v>0</v>
      </c>
      <c r="HF78" s="194">
        <f t="shared" si="218"/>
        <v>0</v>
      </c>
      <c r="HG78" s="194">
        <f t="shared" si="218"/>
        <v>0</v>
      </c>
      <c r="HH78" s="194">
        <f t="shared" si="218"/>
        <v>0</v>
      </c>
      <c r="HI78" s="194">
        <f t="shared" si="218"/>
        <v>0</v>
      </c>
      <c r="HJ78" s="194">
        <f t="shared" si="218"/>
        <v>0</v>
      </c>
      <c r="HK78" s="194">
        <f t="shared" si="218"/>
        <v>0</v>
      </c>
      <c r="HL78" s="194">
        <f t="shared" si="218"/>
        <v>0</v>
      </c>
      <c r="HM78" s="194">
        <f t="shared" si="218"/>
        <v>0</v>
      </c>
      <c r="HN78" s="194">
        <f t="shared" si="218"/>
        <v>0</v>
      </c>
      <c r="HO78" s="194">
        <f t="shared" si="218"/>
        <v>0</v>
      </c>
      <c r="HP78" s="194">
        <f t="shared" si="218"/>
        <v>0</v>
      </c>
      <c r="HQ78" s="194">
        <f t="shared" si="218"/>
        <v>0</v>
      </c>
      <c r="HR78" s="194">
        <f t="shared" si="218"/>
        <v>0</v>
      </c>
      <c r="HS78" s="194">
        <f t="shared" si="218"/>
        <v>0</v>
      </c>
      <c r="HT78" s="194">
        <f t="shared" si="218"/>
        <v>0</v>
      </c>
    </row>
    <row r="79" spans="1:229" x14ac:dyDescent="0.25">
      <c r="B79" s="495"/>
      <c r="C79" s="345" t="s">
        <v>80</v>
      </c>
      <c r="E79" s="194">
        <f>E22/2+E25+E30+E31</f>
        <v>0</v>
      </c>
      <c r="F79" s="194">
        <f t="shared" ref="F79:BQ79" si="219">F22/2+F25+F30+F31</f>
        <v>0</v>
      </c>
      <c r="G79" s="194">
        <f t="shared" si="219"/>
        <v>0</v>
      </c>
      <c r="H79" s="194">
        <f t="shared" si="219"/>
        <v>0</v>
      </c>
      <c r="I79" s="194">
        <f t="shared" si="219"/>
        <v>0</v>
      </c>
      <c r="J79" s="194">
        <f t="shared" si="219"/>
        <v>0</v>
      </c>
      <c r="K79" s="194">
        <f t="shared" si="219"/>
        <v>0</v>
      </c>
      <c r="L79" s="194">
        <f t="shared" si="219"/>
        <v>0</v>
      </c>
      <c r="M79" s="194">
        <f t="shared" si="219"/>
        <v>0</v>
      </c>
      <c r="N79" s="194">
        <f t="shared" si="219"/>
        <v>0</v>
      </c>
      <c r="O79" s="292">
        <f t="shared" si="219"/>
        <v>0</v>
      </c>
      <c r="P79" s="194">
        <f t="shared" si="219"/>
        <v>0</v>
      </c>
      <c r="Q79" s="194">
        <f t="shared" si="219"/>
        <v>0</v>
      </c>
      <c r="R79" s="194">
        <f t="shared" si="219"/>
        <v>0</v>
      </c>
      <c r="S79" s="194">
        <f t="shared" si="219"/>
        <v>0</v>
      </c>
      <c r="T79" s="194">
        <f t="shared" si="219"/>
        <v>0</v>
      </c>
      <c r="U79" s="194">
        <f t="shared" si="219"/>
        <v>0</v>
      </c>
      <c r="V79" s="194">
        <f t="shared" si="219"/>
        <v>0</v>
      </c>
      <c r="W79" s="194">
        <f t="shared" si="219"/>
        <v>0</v>
      </c>
      <c r="X79" s="194">
        <f t="shared" si="219"/>
        <v>0</v>
      </c>
      <c r="Y79" s="194">
        <f t="shared" si="219"/>
        <v>0</v>
      </c>
      <c r="Z79" s="194">
        <f t="shared" si="219"/>
        <v>0</v>
      </c>
      <c r="AA79" s="194">
        <f t="shared" si="219"/>
        <v>0</v>
      </c>
      <c r="AB79" s="194">
        <f t="shared" si="219"/>
        <v>0</v>
      </c>
      <c r="AC79" s="194">
        <f t="shared" si="219"/>
        <v>0</v>
      </c>
      <c r="AD79" s="194">
        <f t="shared" si="219"/>
        <v>0</v>
      </c>
      <c r="AE79" s="194">
        <f t="shared" si="219"/>
        <v>0</v>
      </c>
      <c r="AF79" s="194">
        <f t="shared" si="219"/>
        <v>0</v>
      </c>
      <c r="AG79" s="194">
        <f t="shared" si="219"/>
        <v>0</v>
      </c>
      <c r="AH79" s="194">
        <f t="shared" si="219"/>
        <v>0</v>
      </c>
      <c r="AI79" s="194">
        <f t="shared" si="219"/>
        <v>0</v>
      </c>
      <c r="AJ79" s="194">
        <f t="shared" si="219"/>
        <v>0</v>
      </c>
      <c r="AK79" s="194">
        <f t="shared" si="219"/>
        <v>0</v>
      </c>
      <c r="AL79" s="194">
        <f t="shared" si="219"/>
        <v>0</v>
      </c>
      <c r="AM79" s="194">
        <f t="shared" si="219"/>
        <v>0</v>
      </c>
      <c r="AN79" s="194">
        <f t="shared" si="219"/>
        <v>0</v>
      </c>
      <c r="AO79" s="194">
        <f t="shared" si="219"/>
        <v>0</v>
      </c>
      <c r="AP79" s="194">
        <f t="shared" si="219"/>
        <v>0</v>
      </c>
      <c r="AQ79" s="194">
        <f t="shared" si="219"/>
        <v>0</v>
      </c>
      <c r="AR79" s="194">
        <f t="shared" si="219"/>
        <v>0</v>
      </c>
      <c r="AS79" s="194">
        <f t="shared" si="219"/>
        <v>0</v>
      </c>
      <c r="AT79" s="194">
        <f t="shared" si="219"/>
        <v>0</v>
      </c>
      <c r="AU79" s="194">
        <f t="shared" si="219"/>
        <v>0</v>
      </c>
      <c r="AV79" s="194">
        <f t="shared" si="219"/>
        <v>0</v>
      </c>
      <c r="AW79" s="194">
        <f t="shared" si="219"/>
        <v>0</v>
      </c>
      <c r="AX79" s="194">
        <f t="shared" si="219"/>
        <v>0</v>
      </c>
      <c r="AY79" s="194">
        <f t="shared" si="219"/>
        <v>0</v>
      </c>
      <c r="AZ79" s="194">
        <f t="shared" si="219"/>
        <v>0</v>
      </c>
      <c r="BA79" s="194">
        <f t="shared" si="219"/>
        <v>0</v>
      </c>
      <c r="BB79" s="194">
        <f t="shared" si="219"/>
        <v>0</v>
      </c>
      <c r="BC79" s="194">
        <f t="shared" si="219"/>
        <v>0</v>
      </c>
      <c r="BD79" s="194">
        <f t="shared" si="219"/>
        <v>0</v>
      </c>
      <c r="BE79" s="194">
        <f t="shared" si="219"/>
        <v>0</v>
      </c>
      <c r="BF79" s="194">
        <f t="shared" si="219"/>
        <v>0</v>
      </c>
      <c r="BG79" s="194">
        <f t="shared" si="219"/>
        <v>0</v>
      </c>
      <c r="BH79" s="194">
        <f t="shared" si="219"/>
        <v>0</v>
      </c>
      <c r="BI79" s="194">
        <f t="shared" si="219"/>
        <v>0</v>
      </c>
      <c r="BJ79" s="194">
        <f t="shared" si="219"/>
        <v>0</v>
      </c>
      <c r="BK79" s="194">
        <f t="shared" si="219"/>
        <v>0</v>
      </c>
      <c r="BL79" s="194">
        <f t="shared" si="219"/>
        <v>0</v>
      </c>
      <c r="BM79" s="194">
        <f t="shared" si="219"/>
        <v>0</v>
      </c>
      <c r="BN79" s="194">
        <f t="shared" si="219"/>
        <v>0</v>
      </c>
      <c r="BO79" s="194">
        <f t="shared" si="219"/>
        <v>0</v>
      </c>
      <c r="BP79" s="194">
        <f t="shared" si="219"/>
        <v>0</v>
      </c>
      <c r="BQ79" s="194">
        <f t="shared" si="219"/>
        <v>0</v>
      </c>
      <c r="BR79" s="194">
        <f t="shared" ref="BR79:CW79" si="220">BR22/2+BR25+BR30+BR31</f>
        <v>0</v>
      </c>
      <c r="BS79" s="194">
        <f t="shared" si="220"/>
        <v>0</v>
      </c>
      <c r="BT79" s="194">
        <f t="shared" si="220"/>
        <v>0</v>
      </c>
      <c r="BU79" s="194">
        <f t="shared" si="220"/>
        <v>0</v>
      </c>
      <c r="BV79" s="194">
        <f t="shared" si="220"/>
        <v>0</v>
      </c>
      <c r="BW79" s="194">
        <f t="shared" si="220"/>
        <v>0</v>
      </c>
      <c r="BX79" s="194">
        <f t="shared" si="220"/>
        <v>0</v>
      </c>
      <c r="BY79" s="194">
        <f t="shared" si="220"/>
        <v>0</v>
      </c>
      <c r="BZ79" s="194">
        <f t="shared" si="220"/>
        <v>0</v>
      </c>
      <c r="CA79" s="194">
        <f t="shared" si="220"/>
        <v>0</v>
      </c>
      <c r="CB79" s="194">
        <f t="shared" si="220"/>
        <v>0</v>
      </c>
      <c r="CC79" s="194">
        <f t="shared" si="220"/>
        <v>0</v>
      </c>
      <c r="CD79" s="194">
        <f t="shared" si="220"/>
        <v>0</v>
      </c>
      <c r="CE79" s="194">
        <f t="shared" si="220"/>
        <v>0</v>
      </c>
      <c r="CF79" s="194">
        <f t="shared" si="220"/>
        <v>0</v>
      </c>
      <c r="CG79" s="194">
        <f t="shared" si="220"/>
        <v>0</v>
      </c>
      <c r="CH79" s="194">
        <f t="shared" si="220"/>
        <v>0</v>
      </c>
      <c r="CI79" s="194">
        <f t="shared" si="220"/>
        <v>0</v>
      </c>
      <c r="CJ79" s="194">
        <f t="shared" si="220"/>
        <v>0</v>
      </c>
      <c r="CK79" s="194">
        <f t="shared" si="220"/>
        <v>0</v>
      </c>
      <c r="CL79" s="194">
        <f t="shared" si="220"/>
        <v>0</v>
      </c>
      <c r="CM79" s="194">
        <f t="shared" si="220"/>
        <v>0</v>
      </c>
      <c r="CN79" s="194">
        <f t="shared" si="220"/>
        <v>0</v>
      </c>
      <c r="CO79" s="194">
        <f t="shared" si="220"/>
        <v>0</v>
      </c>
      <c r="CP79" s="194">
        <f t="shared" si="220"/>
        <v>0</v>
      </c>
      <c r="CQ79" s="194">
        <f t="shared" si="220"/>
        <v>0</v>
      </c>
      <c r="CR79" s="194">
        <f t="shared" si="220"/>
        <v>0</v>
      </c>
      <c r="CS79" s="194">
        <f t="shared" si="220"/>
        <v>0</v>
      </c>
      <c r="CT79" s="194">
        <f t="shared" si="220"/>
        <v>0</v>
      </c>
      <c r="CU79" s="194">
        <f t="shared" si="220"/>
        <v>0</v>
      </c>
      <c r="CV79" s="194">
        <f t="shared" si="220"/>
        <v>0</v>
      </c>
      <c r="CW79" s="194">
        <f t="shared" si="220"/>
        <v>0</v>
      </c>
      <c r="CX79" s="194">
        <f t="shared" ref="CX79:DE79" si="221">CX22/2+CX25+CX30+CX31</f>
        <v>0</v>
      </c>
      <c r="CY79" s="194">
        <f t="shared" si="221"/>
        <v>0</v>
      </c>
      <c r="CZ79" s="194">
        <f t="shared" si="221"/>
        <v>745</v>
      </c>
      <c r="DA79" s="194">
        <f t="shared" si="221"/>
        <v>0</v>
      </c>
      <c r="DB79" s="194">
        <f t="shared" si="221"/>
        <v>0</v>
      </c>
      <c r="DC79" s="194">
        <f t="shared" si="221"/>
        <v>0</v>
      </c>
      <c r="DD79" s="194">
        <f t="shared" si="221"/>
        <v>0</v>
      </c>
      <c r="DE79" s="194">
        <f t="shared" si="221"/>
        <v>0</v>
      </c>
      <c r="DF79" s="194">
        <f t="shared" ref="DF79:DK79" si="222">DF22/2+DF25+DF30+DF31</f>
        <v>0</v>
      </c>
      <c r="DG79" s="194">
        <f t="shared" si="222"/>
        <v>0</v>
      </c>
      <c r="DH79" s="194">
        <f t="shared" si="222"/>
        <v>0</v>
      </c>
      <c r="DI79" s="194">
        <f t="shared" si="222"/>
        <v>0</v>
      </c>
      <c r="DJ79" s="194">
        <f t="shared" si="222"/>
        <v>0</v>
      </c>
      <c r="DK79" s="194">
        <f t="shared" si="222"/>
        <v>0</v>
      </c>
      <c r="DL79" s="194">
        <f t="shared" ref="DL79:DR79" si="223">DL22/2+DL25+DL30+DL31</f>
        <v>0</v>
      </c>
      <c r="DM79" s="194">
        <f t="shared" si="223"/>
        <v>0</v>
      </c>
      <c r="DN79" s="194">
        <f t="shared" si="223"/>
        <v>0</v>
      </c>
      <c r="DO79" s="194">
        <f t="shared" si="223"/>
        <v>0</v>
      </c>
      <c r="DP79" s="194">
        <f t="shared" si="223"/>
        <v>0</v>
      </c>
      <c r="DQ79" s="194">
        <f t="shared" si="223"/>
        <v>0</v>
      </c>
      <c r="DR79" s="194">
        <f t="shared" si="223"/>
        <v>0</v>
      </c>
      <c r="DS79" s="194">
        <f t="shared" ref="DS79:EF79" si="224">DS22/2+DS25+DS30+DS31</f>
        <v>0</v>
      </c>
      <c r="DT79" s="194">
        <f t="shared" si="224"/>
        <v>0</v>
      </c>
      <c r="DU79" s="194">
        <f t="shared" si="224"/>
        <v>0</v>
      </c>
      <c r="DV79" s="194">
        <f t="shared" si="224"/>
        <v>200</v>
      </c>
      <c r="DW79" s="194">
        <f t="shared" si="224"/>
        <v>0</v>
      </c>
      <c r="DX79" s="194">
        <f t="shared" si="224"/>
        <v>0</v>
      </c>
      <c r="DY79" s="194">
        <f t="shared" si="224"/>
        <v>0</v>
      </c>
      <c r="DZ79" s="194">
        <f t="shared" si="224"/>
        <v>0</v>
      </c>
      <c r="EA79" s="194">
        <f t="shared" si="224"/>
        <v>0</v>
      </c>
      <c r="EB79" s="194">
        <f t="shared" si="224"/>
        <v>0</v>
      </c>
      <c r="EC79" s="194">
        <f t="shared" si="224"/>
        <v>0</v>
      </c>
      <c r="ED79" s="194">
        <f t="shared" si="224"/>
        <v>0</v>
      </c>
      <c r="EE79" s="194">
        <f t="shared" si="224"/>
        <v>0</v>
      </c>
      <c r="EF79" s="194">
        <f t="shared" si="224"/>
        <v>0</v>
      </c>
      <c r="EG79" s="194">
        <f t="shared" ref="EG79:EZ79" si="225">EG22/2+EG25+EG30+EG31</f>
        <v>0</v>
      </c>
      <c r="EH79" s="194">
        <f t="shared" si="225"/>
        <v>0</v>
      </c>
      <c r="EI79" s="194">
        <f t="shared" si="225"/>
        <v>0</v>
      </c>
      <c r="EJ79" s="194">
        <f t="shared" si="225"/>
        <v>105</v>
      </c>
      <c r="EK79" s="194">
        <f t="shared" si="225"/>
        <v>0</v>
      </c>
      <c r="EL79" s="194">
        <f t="shared" si="225"/>
        <v>0</v>
      </c>
      <c r="EM79" s="194">
        <f t="shared" si="225"/>
        <v>0</v>
      </c>
      <c r="EN79" s="194">
        <f t="shared" si="225"/>
        <v>0</v>
      </c>
      <c r="EO79" s="194">
        <f t="shared" si="225"/>
        <v>0</v>
      </c>
      <c r="EP79" s="194">
        <f t="shared" si="225"/>
        <v>0</v>
      </c>
      <c r="EQ79" s="194">
        <f t="shared" si="225"/>
        <v>0</v>
      </c>
      <c r="ER79" s="194">
        <f t="shared" si="225"/>
        <v>0</v>
      </c>
      <c r="ES79" s="194">
        <f t="shared" si="225"/>
        <v>0</v>
      </c>
      <c r="ET79" s="194">
        <f t="shared" si="225"/>
        <v>0</v>
      </c>
      <c r="EU79" s="194">
        <f t="shared" si="225"/>
        <v>0</v>
      </c>
      <c r="EV79" s="194">
        <f t="shared" si="225"/>
        <v>0</v>
      </c>
      <c r="EW79" s="194">
        <f t="shared" si="225"/>
        <v>0</v>
      </c>
      <c r="EX79" s="194">
        <f t="shared" si="225"/>
        <v>0</v>
      </c>
      <c r="EY79" s="194">
        <f t="shared" si="225"/>
        <v>0</v>
      </c>
      <c r="EZ79" s="194">
        <f t="shared" si="225"/>
        <v>0</v>
      </c>
      <c r="FA79" s="194">
        <f t="shared" ref="FA79:FJ79" si="226">FA22/2+FA25+FA30+FA31</f>
        <v>0</v>
      </c>
      <c r="FB79" s="194">
        <f t="shared" si="226"/>
        <v>0</v>
      </c>
      <c r="FC79" s="194">
        <f t="shared" si="226"/>
        <v>0</v>
      </c>
      <c r="FD79" s="194">
        <f t="shared" si="226"/>
        <v>0</v>
      </c>
      <c r="FE79" s="194">
        <f t="shared" si="226"/>
        <v>53</v>
      </c>
      <c r="FF79" s="194">
        <f t="shared" si="226"/>
        <v>0</v>
      </c>
      <c r="FG79" s="194">
        <f t="shared" si="226"/>
        <v>0</v>
      </c>
      <c r="FH79" s="194">
        <f t="shared" si="226"/>
        <v>115</v>
      </c>
      <c r="FI79" s="194">
        <f t="shared" si="226"/>
        <v>0</v>
      </c>
      <c r="FJ79" s="194">
        <f t="shared" si="226"/>
        <v>0</v>
      </c>
      <c r="FK79" s="194">
        <f t="shared" ref="FK79:FY79" si="227">FK22/2+FK25+FK30+FK31</f>
        <v>0</v>
      </c>
      <c r="FL79" s="194">
        <f t="shared" si="227"/>
        <v>287.5</v>
      </c>
      <c r="FM79" s="194">
        <f t="shared" si="227"/>
        <v>0</v>
      </c>
      <c r="FN79" s="194">
        <f t="shared" si="227"/>
        <v>0</v>
      </c>
      <c r="FO79" s="194">
        <f t="shared" si="227"/>
        <v>0</v>
      </c>
      <c r="FP79" s="194">
        <f t="shared" si="227"/>
        <v>0</v>
      </c>
      <c r="FQ79" s="194">
        <f t="shared" si="227"/>
        <v>0</v>
      </c>
      <c r="FR79" s="194">
        <f t="shared" si="227"/>
        <v>0</v>
      </c>
      <c r="FS79" s="194">
        <f t="shared" si="227"/>
        <v>0</v>
      </c>
      <c r="FT79" s="194">
        <f t="shared" si="227"/>
        <v>0</v>
      </c>
      <c r="FU79" s="194">
        <f t="shared" si="227"/>
        <v>0</v>
      </c>
      <c r="FV79" s="194">
        <f t="shared" si="227"/>
        <v>0</v>
      </c>
      <c r="FW79" s="194">
        <f t="shared" si="227"/>
        <v>0</v>
      </c>
      <c r="FX79" s="194">
        <f t="shared" si="227"/>
        <v>200</v>
      </c>
      <c r="FY79" s="194">
        <f t="shared" si="227"/>
        <v>140</v>
      </c>
      <c r="FZ79" s="194">
        <f t="shared" ref="FZ79:GN79" si="228">FZ22/2+FZ25+FZ30+FZ31</f>
        <v>150</v>
      </c>
      <c r="GA79" s="194">
        <f t="shared" si="228"/>
        <v>0</v>
      </c>
      <c r="GB79" s="194">
        <f t="shared" si="228"/>
        <v>0</v>
      </c>
      <c r="GC79" s="194">
        <f t="shared" si="228"/>
        <v>0</v>
      </c>
      <c r="GD79" s="194">
        <f t="shared" si="228"/>
        <v>75</v>
      </c>
      <c r="GE79" s="194">
        <f t="shared" si="228"/>
        <v>0</v>
      </c>
      <c r="GF79" s="194">
        <f t="shared" si="228"/>
        <v>130</v>
      </c>
      <c r="GG79" s="194">
        <f t="shared" si="228"/>
        <v>0</v>
      </c>
      <c r="GH79" s="194">
        <f t="shared" si="228"/>
        <v>0</v>
      </c>
      <c r="GI79" s="194">
        <f t="shared" si="228"/>
        <v>125</v>
      </c>
      <c r="GJ79" s="194">
        <f t="shared" si="228"/>
        <v>0</v>
      </c>
      <c r="GK79" s="194">
        <f t="shared" si="228"/>
        <v>0</v>
      </c>
      <c r="GL79" s="194">
        <f t="shared" si="228"/>
        <v>670</v>
      </c>
      <c r="GM79" s="194">
        <f t="shared" si="228"/>
        <v>150</v>
      </c>
      <c r="GN79" s="194">
        <f t="shared" si="228"/>
        <v>0</v>
      </c>
      <c r="GO79" s="194">
        <f t="shared" ref="GO79:HT79" si="229">GO22/2+GO25+GO30+GO31</f>
        <v>0</v>
      </c>
      <c r="GP79" s="194">
        <f t="shared" si="229"/>
        <v>0</v>
      </c>
      <c r="GQ79" s="194">
        <f t="shared" si="229"/>
        <v>0</v>
      </c>
      <c r="GR79" s="194">
        <f t="shared" si="229"/>
        <v>0</v>
      </c>
      <c r="GS79" s="194">
        <f t="shared" si="229"/>
        <v>23</v>
      </c>
      <c r="GT79" s="194">
        <f t="shared" si="229"/>
        <v>60</v>
      </c>
      <c r="GU79" s="194">
        <f t="shared" si="229"/>
        <v>55</v>
      </c>
      <c r="GV79" s="194">
        <f t="shared" si="229"/>
        <v>0</v>
      </c>
      <c r="GW79" s="194">
        <f t="shared" si="229"/>
        <v>0</v>
      </c>
      <c r="GX79" s="194">
        <f t="shared" si="229"/>
        <v>0</v>
      </c>
      <c r="GY79" s="194">
        <f t="shared" si="229"/>
        <v>0</v>
      </c>
      <c r="GZ79" s="194">
        <f t="shared" si="229"/>
        <v>0</v>
      </c>
      <c r="HA79" s="194">
        <f t="shared" si="229"/>
        <v>0</v>
      </c>
      <c r="HB79" s="194">
        <f t="shared" si="229"/>
        <v>0</v>
      </c>
      <c r="HC79" s="194">
        <f t="shared" si="229"/>
        <v>0</v>
      </c>
      <c r="HD79" s="194">
        <f t="shared" si="229"/>
        <v>0</v>
      </c>
      <c r="HE79" s="194">
        <f t="shared" si="229"/>
        <v>29</v>
      </c>
      <c r="HF79" s="194">
        <f t="shared" si="229"/>
        <v>0</v>
      </c>
      <c r="HG79" s="194">
        <f t="shared" si="229"/>
        <v>0</v>
      </c>
      <c r="HH79" s="194">
        <f t="shared" si="229"/>
        <v>0</v>
      </c>
      <c r="HI79" s="194">
        <f t="shared" si="229"/>
        <v>0</v>
      </c>
      <c r="HJ79" s="194">
        <f t="shared" si="229"/>
        <v>0</v>
      </c>
      <c r="HK79" s="194">
        <f t="shared" si="229"/>
        <v>0</v>
      </c>
      <c r="HL79" s="194">
        <f t="shared" si="229"/>
        <v>0</v>
      </c>
      <c r="HM79" s="194">
        <f t="shared" si="229"/>
        <v>0</v>
      </c>
      <c r="HN79" s="194">
        <f t="shared" si="229"/>
        <v>0</v>
      </c>
      <c r="HO79" s="194">
        <f t="shared" si="229"/>
        <v>0</v>
      </c>
      <c r="HP79" s="194">
        <f t="shared" si="229"/>
        <v>0</v>
      </c>
      <c r="HQ79" s="194">
        <f t="shared" si="229"/>
        <v>0</v>
      </c>
      <c r="HR79" s="194">
        <f t="shared" si="229"/>
        <v>0</v>
      </c>
      <c r="HS79" s="194">
        <f t="shared" si="229"/>
        <v>0</v>
      </c>
      <c r="HT79" s="194">
        <f t="shared" si="229"/>
        <v>0</v>
      </c>
    </row>
    <row r="80" spans="1:229" x14ac:dyDescent="0.25">
      <c r="B80" s="495"/>
      <c r="C80" s="345" t="s">
        <v>89</v>
      </c>
      <c r="E80">
        <f>E22/2+E29+E32</f>
        <v>0</v>
      </c>
      <c r="F80">
        <f t="shared" ref="F80:BQ80" si="230">F22/2+F29+F32</f>
        <v>0</v>
      </c>
      <c r="G80">
        <f t="shared" si="230"/>
        <v>0</v>
      </c>
      <c r="H80">
        <f t="shared" si="230"/>
        <v>0</v>
      </c>
      <c r="I80">
        <f t="shared" si="230"/>
        <v>0</v>
      </c>
      <c r="J80">
        <f t="shared" si="230"/>
        <v>0</v>
      </c>
      <c r="K80">
        <f t="shared" si="230"/>
        <v>0</v>
      </c>
      <c r="L80">
        <f t="shared" si="230"/>
        <v>0</v>
      </c>
      <c r="M80">
        <f t="shared" si="230"/>
        <v>0</v>
      </c>
      <c r="N80">
        <f t="shared" si="230"/>
        <v>0</v>
      </c>
      <c r="O80" s="293">
        <f t="shared" si="230"/>
        <v>0</v>
      </c>
      <c r="P80">
        <f t="shared" si="230"/>
        <v>0</v>
      </c>
      <c r="Q80">
        <f t="shared" si="230"/>
        <v>0</v>
      </c>
      <c r="R80">
        <f t="shared" si="230"/>
        <v>0</v>
      </c>
      <c r="S80">
        <f t="shared" si="230"/>
        <v>0</v>
      </c>
      <c r="T80">
        <f t="shared" si="230"/>
        <v>0</v>
      </c>
      <c r="U80">
        <f t="shared" si="230"/>
        <v>0</v>
      </c>
      <c r="V80">
        <f t="shared" si="230"/>
        <v>0</v>
      </c>
      <c r="W80">
        <f t="shared" si="230"/>
        <v>0</v>
      </c>
      <c r="X80">
        <f t="shared" si="230"/>
        <v>0</v>
      </c>
      <c r="Y80">
        <f t="shared" si="230"/>
        <v>0</v>
      </c>
      <c r="Z80">
        <f t="shared" si="230"/>
        <v>0</v>
      </c>
      <c r="AA80">
        <f t="shared" si="230"/>
        <v>0</v>
      </c>
      <c r="AB80">
        <f t="shared" si="230"/>
        <v>0</v>
      </c>
      <c r="AC80">
        <f t="shared" si="230"/>
        <v>0</v>
      </c>
      <c r="AD80">
        <f t="shared" si="230"/>
        <v>0</v>
      </c>
      <c r="AE80">
        <f t="shared" si="230"/>
        <v>0</v>
      </c>
      <c r="AF80">
        <f t="shared" si="230"/>
        <v>0</v>
      </c>
      <c r="AG80">
        <f t="shared" si="230"/>
        <v>0</v>
      </c>
      <c r="AH80">
        <f t="shared" si="230"/>
        <v>0</v>
      </c>
      <c r="AI80">
        <f t="shared" si="230"/>
        <v>0</v>
      </c>
      <c r="AJ80">
        <f t="shared" si="230"/>
        <v>0</v>
      </c>
      <c r="AK80">
        <f t="shared" si="230"/>
        <v>0</v>
      </c>
      <c r="AL80">
        <f t="shared" si="230"/>
        <v>0</v>
      </c>
      <c r="AM80">
        <f t="shared" si="230"/>
        <v>0</v>
      </c>
      <c r="AN80">
        <f t="shared" si="230"/>
        <v>0</v>
      </c>
      <c r="AO80">
        <f t="shared" si="230"/>
        <v>0</v>
      </c>
      <c r="AP80">
        <f t="shared" si="230"/>
        <v>0</v>
      </c>
      <c r="AQ80">
        <f t="shared" si="230"/>
        <v>0</v>
      </c>
      <c r="AR80">
        <f t="shared" si="230"/>
        <v>0</v>
      </c>
      <c r="AS80">
        <f t="shared" si="230"/>
        <v>0</v>
      </c>
      <c r="AT80">
        <f t="shared" si="230"/>
        <v>0</v>
      </c>
      <c r="AU80">
        <f t="shared" si="230"/>
        <v>0</v>
      </c>
      <c r="AV80">
        <f t="shared" si="230"/>
        <v>0</v>
      </c>
      <c r="AW80">
        <f t="shared" si="230"/>
        <v>0</v>
      </c>
      <c r="AX80">
        <f t="shared" si="230"/>
        <v>0</v>
      </c>
      <c r="AY80">
        <f t="shared" si="230"/>
        <v>0</v>
      </c>
      <c r="AZ80">
        <f t="shared" si="230"/>
        <v>0</v>
      </c>
      <c r="BA80">
        <f t="shared" si="230"/>
        <v>0</v>
      </c>
      <c r="BB80">
        <f t="shared" si="230"/>
        <v>0</v>
      </c>
      <c r="BC80">
        <f t="shared" si="230"/>
        <v>0</v>
      </c>
      <c r="BD80">
        <f t="shared" si="230"/>
        <v>0</v>
      </c>
      <c r="BE80">
        <f t="shared" si="230"/>
        <v>0</v>
      </c>
      <c r="BF80">
        <f t="shared" si="230"/>
        <v>0</v>
      </c>
      <c r="BG80">
        <f t="shared" si="230"/>
        <v>0</v>
      </c>
      <c r="BH80">
        <f t="shared" si="230"/>
        <v>0</v>
      </c>
      <c r="BI80">
        <f t="shared" si="230"/>
        <v>0</v>
      </c>
      <c r="BJ80">
        <f t="shared" si="230"/>
        <v>0</v>
      </c>
      <c r="BK80">
        <f t="shared" si="230"/>
        <v>0</v>
      </c>
      <c r="BL80">
        <f t="shared" si="230"/>
        <v>0</v>
      </c>
      <c r="BM80">
        <f t="shared" si="230"/>
        <v>0</v>
      </c>
      <c r="BN80">
        <f t="shared" si="230"/>
        <v>0</v>
      </c>
      <c r="BO80">
        <f t="shared" si="230"/>
        <v>0</v>
      </c>
      <c r="BP80">
        <f t="shared" si="230"/>
        <v>0</v>
      </c>
      <c r="BQ80">
        <f t="shared" si="230"/>
        <v>0</v>
      </c>
      <c r="BR80">
        <f t="shared" ref="BR80:CW80" si="231">BR22/2+BR29+BR32</f>
        <v>0</v>
      </c>
      <c r="BS80">
        <f t="shared" si="231"/>
        <v>0</v>
      </c>
      <c r="BT80">
        <f t="shared" si="231"/>
        <v>0</v>
      </c>
      <c r="BU80">
        <f t="shared" si="231"/>
        <v>0</v>
      </c>
      <c r="BV80">
        <f t="shared" si="231"/>
        <v>0</v>
      </c>
      <c r="BW80">
        <f t="shared" si="231"/>
        <v>0</v>
      </c>
      <c r="BX80">
        <f t="shared" si="231"/>
        <v>0</v>
      </c>
      <c r="BY80">
        <f t="shared" si="231"/>
        <v>0</v>
      </c>
      <c r="BZ80">
        <f t="shared" si="231"/>
        <v>0</v>
      </c>
      <c r="CA80">
        <f t="shared" si="231"/>
        <v>0</v>
      </c>
      <c r="CB80">
        <f t="shared" si="231"/>
        <v>0</v>
      </c>
      <c r="CC80">
        <f t="shared" si="231"/>
        <v>0</v>
      </c>
      <c r="CD80">
        <f t="shared" si="231"/>
        <v>0</v>
      </c>
      <c r="CE80">
        <f t="shared" si="231"/>
        <v>0</v>
      </c>
      <c r="CF80">
        <f t="shared" si="231"/>
        <v>0</v>
      </c>
      <c r="CG80">
        <f t="shared" si="231"/>
        <v>0</v>
      </c>
      <c r="CH80">
        <f t="shared" si="231"/>
        <v>0</v>
      </c>
      <c r="CI80">
        <f t="shared" si="231"/>
        <v>0</v>
      </c>
      <c r="CJ80">
        <f t="shared" si="231"/>
        <v>0</v>
      </c>
      <c r="CK80">
        <f t="shared" si="231"/>
        <v>0</v>
      </c>
      <c r="CL80">
        <f t="shared" si="231"/>
        <v>0</v>
      </c>
      <c r="CM80">
        <f t="shared" si="231"/>
        <v>0</v>
      </c>
      <c r="CN80">
        <f t="shared" si="231"/>
        <v>0</v>
      </c>
      <c r="CO80">
        <f t="shared" si="231"/>
        <v>0</v>
      </c>
      <c r="CP80">
        <f t="shared" si="231"/>
        <v>0</v>
      </c>
      <c r="CQ80">
        <f t="shared" si="231"/>
        <v>0</v>
      </c>
      <c r="CR80">
        <f t="shared" si="231"/>
        <v>1350</v>
      </c>
      <c r="CS80">
        <f t="shared" si="231"/>
        <v>0</v>
      </c>
      <c r="CT80">
        <f t="shared" si="231"/>
        <v>0</v>
      </c>
      <c r="CU80">
        <f t="shared" si="231"/>
        <v>0</v>
      </c>
      <c r="CV80">
        <f t="shared" si="231"/>
        <v>0</v>
      </c>
      <c r="CW80">
        <f t="shared" si="231"/>
        <v>0</v>
      </c>
      <c r="CX80">
        <f t="shared" ref="CX80:DE80" si="232">CX22/2+CX29+CX32</f>
        <v>0</v>
      </c>
      <c r="CY80">
        <f t="shared" si="232"/>
        <v>0</v>
      </c>
      <c r="CZ80">
        <f t="shared" si="232"/>
        <v>0</v>
      </c>
      <c r="DA80">
        <f t="shared" si="232"/>
        <v>0</v>
      </c>
      <c r="DB80">
        <f t="shared" si="232"/>
        <v>0</v>
      </c>
      <c r="DC80">
        <f t="shared" si="232"/>
        <v>0</v>
      </c>
      <c r="DD80">
        <f>DD22/2+DD29+DD32</f>
        <v>0</v>
      </c>
      <c r="DE80">
        <f t="shared" si="232"/>
        <v>0</v>
      </c>
      <c r="DF80">
        <f t="shared" ref="DF80:DK80" si="233">DF22/2+DF29+DF32</f>
        <v>0</v>
      </c>
      <c r="DG80">
        <f t="shared" si="233"/>
        <v>0</v>
      </c>
      <c r="DH80">
        <f t="shared" si="233"/>
        <v>0</v>
      </c>
      <c r="DI80">
        <f t="shared" si="233"/>
        <v>0</v>
      </c>
      <c r="DJ80">
        <f>DJ22/2+DJ29+DJ32</f>
        <v>400</v>
      </c>
      <c r="DK80">
        <f t="shared" si="233"/>
        <v>0</v>
      </c>
      <c r="DL80">
        <f t="shared" ref="DL80:DR80" si="234">DL22/2+DL29+DL32</f>
        <v>0</v>
      </c>
      <c r="DM80">
        <f t="shared" si="234"/>
        <v>0</v>
      </c>
      <c r="DN80">
        <f t="shared" si="234"/>
        <v>0</v>
      </c>
      <c r="DO80">
        <f t="shared" si="234"/>
        <v>0</v>
      </c>
      <c r="DP80">
        <f t="shared" si="234"/>
        <v>0</v>
      </c>
      <c r="DQ80">
        <f t="shared" si="234"/>
        <v>0</v>
      </c>
      <c r="DR80">
        <f t="shared" si="234"/>
        <v>0</v>
      </c>
      <c r="DS80">
        <f t="shared" ref="DS80:EF80" si="235">DS22/2+DS29+DS32</f>
        <v>0</v>
      </c>
      <c r="DT80">
        <f t="shared" si="235"/>
        <v>0</v>
      </c>
      <c r="DU80">
        <f t="shared" si="235"/>
        <v>0</v>
      </c>
      <c r="DV80">
        <f t="shared" si="235"/>
        <v>0</v>
      </c>
      <c r="DW80">
        <f t="shared" si="235"/>
        <v>0</v>
      </c>
      <c r="DX80">
        <f t="shared" si="235"/>
        <v>0</v>
      </c>
      <c r="DY80">
        <f t="shared" si="235"/>
        <v>400</v>
      </c>
      <c r="DZ80">
        <f t="shared" si="235"/>
        <v>275</v>
      </c>
      <c r="EA80">
        <f t="shared" si="235"/>
        <v>0</v>
      </c>
      <c r="EB80">
        <f t="shared" si="235"/>
        <v>0</v>
      </c>
      <c r="EC80">
        <f t="shared" si="235"/>
        <v>0</v>
      </c>
      <c r="ED80">
        <f t="shared" si="235"/>
        <v>0</v>
      </c>
      <c r="EE80">
        <f t="shared" si="235"/>
        <v>0</v>
      </c>
      <c r="EF80">
        <f t="shared" si="235"/>
        <v>0</v>
      </c>
      <c r="EG80">
        <f t="shared" ref="EG80:EZ80" si="236">EG22/2+EG29+EG32</f>
        <v>0</v>
      </c>
      <c r="EH80">
        <f t="shared" si="236"/>
        <v>0</v>
      </c>
      <c r="EI80">
        <f t="shared" si="236"/>
        <v>0</v>
      </c>
      <c r="EJ80">
        <f t="shared" si="236"/>
        <v>105</v>
      </c>
      <c r="EK80">
        <f t="shared" si="236"/>
        <v>0</v>
      </c>
      <c r="EL80">
        <f t="shared" si="236"/>
        <v>0</v>
      </c>
      <c r="EM80">
        <f t="shared" si="236"/>
        <v>0</v>
      </c>
      <c r="EN80">
        <f t="shared" si="236"/>
        <v>0</v>
      </c>
      <c r="EO80">
        <f t="shared" si="236"/>
        <v>0</v>
      </c>
      <c r="EP80">
        <f t="shared" si="236"/>
        <v>0</v>
      </c>
      <c r="EQ80">
        <f t="shared" si="236"/>
        <v>525</v>
      </c>
      <c r="ER80">
        <f t="shared" si="236"/>
        <v>0</v>
      </c>
      <c r="ES80">
        <f t="shared" si="236"/>
        <v>0</v>
      </c>
      <c r="ET80">
        <f t="shared" si="236"/>
        <v>0</v>
      </c>
      <c r="EU80">
        <f t="shared" si="236"/>
        <v>0</v>
      </c>
      <c r="EV80">
        <f t="shared" si="236"/>
        <v>0</v>
      </c>
      <c r="EW80">
        <f t="shared" si="236"/>
        <v>0</v>
      </c>
      <c r="EX80">
        <f t="shared" si="236"/>
        <v>0</v>
      </c>
      <c r="EY80">
        <f t="shared" si="236"/>
        <v>0</v>
      </c>
      <c r="EZ80">
        <f t="shared" si="236"/>
        <v>0</v>
      </c>
      <c r="FA80">
        <f t="shared" ref="FA80:FJ80" si="237">FA22/2+FA29+FA32</f>
        <v>0</v>
      </c>
      <c r="FB80">
        <f t="shared" si="237"/>
        <v>0</v>
      </c>
      <c r="FC80">
        <f t="shared" si="237"/>
        <v>0</v>
      </c>
      <c r="FD80">
        <f t="shared" si="237"/>
        <v>0</v>
      </c>
      <c r="FE80">
        <f t="shared" si="237"/>
        <v>53</v>
      </c>
      <c r="FF80">
        <f t="shared" si="237"/>
        <v>0</v>
      </c>
      <c r="FG80">
        <f t="shared" si="237"/>
        <v>0</v>
      </c>
      <c r="FH80">
        <f t="shared" si="237"/>
        <v>115</v>
      </c>
      <c r="FI80">
        <f t="shared" si="237"/>
        <v>0</v>
      </c>
      <c r="FJ80">
        <f t="shared" si="237"/>
        <v>0</v>
      </c>
      <c r="FK80">
        <f t="shared" ref="FK80:FY80" si="238">FK22/2+FK29+FK32</f>
        <v>0</v>
      </c>
      <c r="FL80">
        <f t="shared" si="238"/>
        <v>287.5</v>
      </c>
      <c r="FM80">
        <f t="shared" si="238"/>
        <v>0</v>
      </c>
      <c r="FN80">
        <f t="shared" si="238"/>
        <v>0</v>
      </c>
      <c r="FO80">
        <f t="shared" si="238"/>
        <v>0</v>
      </c>
      <c r="FP80">
        <f t="shared" si="238"/>
        <v>0</v>
      </c>
      <c r="FQ80">
        <f t="shared" si="238"/>
        <v>0</v>
      </c>
      <c r="FR80">
        <f t="shared" si="238"/>
        <v>0</v>
      </c>
      <c r="FS80">
        <f t="shared" si="238"/>
        <v>0</v>
      </c>
      <c r="FT80">
        <f t="shared" si="238"/>
        <v>0</v>
      </c>
      <c r="FU80">
        <f t="shared" si="238"/>
        <v>0</v>
      </c>
      <c r="FV80">
        <f t="shared" si="238"/>
        <v>0</v>
      </c>
      <c r="FW80">
        <f t="shared" si="238"/>
        <v>0</v>
      </c>
      <c r="FX80">
        <f t="shared" si="238"/>
        <v>200</v>
      </c>
      <c r="FY80">
        <f t="shared" si="238"/>
        <v>140</v>
      </c>
      <c r="FZ80">
        <f t="shared" ref="FZ80:GN80" si="239">FZ22/2+FZ29+FZ32</f>
        <v>150</v>
      </c>
      <c r="GA80">
        <f t="shared" si="239"/>
        <v>0</v>
      </c>
      <c r="GB80">
        <f t="shared" si="239"/>
        <v>0</v>
      </c>
      <c r="GC80">
        <f t="shared" si="239"/>
        <v>0</v>
      </c>
      <c r="GD80">
        <f t="shared" si="239"/>
        <v>75</v>
      </c>
      <c r="GE80">
        <f t="shared" si="239"/>
        <v>0</v>
      </c>
      <c r="GF80">
        <f t="shared" si="239"/>
        <v>130</v>
      </c>
      <c r="GG80">
        <f t="shared" si="239"/>
        <v>0</v>
      </c>
      <c r="GH80">
        <f t="shared" si="239"/>
        <v>0</v>
      </c>
      <c r="GI80">
        <f t="shared" si="239"/>
        <v>125</v>
      </c>
      <c r="GJ80">
        <f t="shared" si="239"/>
        <v>0</v>
      </c>
      <c r="GK80">
        <f t="shared" si="239"/>
        <v>0</v>
      </c>
      <c r="GL80">
        <f t="shared" si="239"/>
        <v>0</v>
      </c>
      <c r="GM80">
        <f t="shared" si="239"/>
        <v>150</v>
      </c>
      <c r="GN80">
        <f t="shared" si="239"/>
        <v>0</v>
      </c>
      <c r="GO80">
        <f t="shared" ref="GO80:HT80" si="240">GO22/2+GO29+GO32</f>
        <v>0</v>
      </c>
      <c r="GP80">
        <f t="shared" si="240"/>
        <v>0</v>
      </c>
      <c r="GQ80">
        <f t="shared" si="240"/>
        <v>0</v>
      </c>
      <c r="GR80">
        <f t="shared" si="240"/>
        <v>0</v>
      </c>
      <c r="GS80">
        <f t="shared" si="240"/>
        <v>23</v>
      </c>
      <c r="GT80">
        <f t="shared" si="240"/>
        <v>60</v>
      </c>
      <c r="GU80">
        <f t="shared" si="240"/>
        <v>15</v>
      </c>
      <c r="GV80">
        <f t="shared" si="240"/>
        <v>0</v>
      </c>
      <c r="GW80">
        <f t="shared" si="240"/>
        <v>0</v>
      </c>
      <c r="GX80">
        <f t="shared" si="240"/>
        <v>0</v>
      </c>
      <c r="GY80">
        <f t="shared" si="240"/>
        <v>0</v>
      </c>
      <c r="GZ80">
        <f t="shared" si="240"/>
        <v>0</v>
      </c>
      <c r="HA80">
        <f t="shared" si="240"/>
        <v>0</v>
      </c>
      <c r="HB80">
        <f t="shared" si="240"/>
        <v>0</v>
      </c>
      <c r="HC80">
        <f t="shared" si="240"/>
        <v>0</v>
      </c>
      <c r="HD80">
        <f t="shared" si="240"/>
        <v>243</v>
      </c>
      <c r="HE80">
        <f t="shared" si="240"/>
        <v>29</v>
      </c>
      <c r="HF80">
        <f t="shared" si="240"/>
        <v>0</v>
      </c>
      <c r="HG80">
        <f t="shared" si="240"/>
        <v>0</v>
      </c>
      <c r="HH80">
        <f t="shared" si="240"/>
        <v>0</v>
      </c>
      <c r="HI80">
        <f t="shared" si="240"/>
        <v>0</v>
      </c>
      <c r="HJ80">
        <f t="shared" si="240"/>
        <v>0</v>
      </c>
      <c r="HK80">
        <f t="shared" si="240"/>
        <v>0</v>
      </c>
      <c r="HL80">
        <f t="shared" si="240"/>
        <v>0</v>
      </c>
      <c r="HM80">
        <f t="shared" si="240"/>
        <v>0</v>
      </c>
      <c r="HN80">
        <f t="shared" si="240"/>
        <v>0</v>
      </c>
      <c r="HO80">
        <f t="shared" si="240"/>
        <v>0</v>
      </c>
      <c r="HP80">
        <f t="shared" si="240"/>
        <v>0</v>
      </c>
      <c r="HQ80">
        <f t="shared" si="240"/>
        <v>0</v>
      </c>
      <c r="HR80">
        <f t="shared" si="240"/>
        <v>0</v>
      </c>
      <c r="HS80">
        <f t="shared" si="240"/>
        <v>0</v>
      </c>
      <c r="HT80">
        <f t="shared" si="240"/>
        <v>0</v>
      </c>
    </row>
    <row r="81" spans="2:229" x14ac:dyDescent="0.25">
      <c r="O81" s="293"/>
    </row>
    <row r="82" spans="2:229" x14ac:dyDescent="0.25">
      <c r="B82" s="495" t="s">
        <v>123</v>
      </c>
      <c r="C82" s="386" t="s">
        <v>79</v>
      </c>
      <c r="E82" s="194">
        <f>E27+E28+E30+E31+E32</f>
        <v>0</v>
      </c>
      <c r="F82" s="194">
        <f t="shared" ref="F82:N82" si="241">F27+F28+F30+F31+F32</f>
        <v>0</v>
      </c>
      <c r="G82" s="194">
        <f t="shared" si="241"/>
        <v>0</v>
      </c>
      <c r="H82" s="194">
        <f t="shared" si="241"/>
        <v>0</v>
      </c>
      <c r="I82" s="194">
        <f t="shared" si="241"/>
        <v>0</v>
      </c>
      <c r="J82" s="194">
        <f t="shared" si="241"/>
        <v>0</v>
      </c>
      <c r="K82" s="194">
        <f t="shared" si="241"/>
        <v>0</v>
      </c>
      <c r="L82" s="194">
        <f t="shared" si="241"/>
        <v>0</v>
      </c>
      <c r="M82" s="194">
        <f t="shared" si="241"/>
        <v>0</v>
      </c>
      <c r="N82" s="194">
        <f t="shared" si="241"/>
        <v>0</v>
      </c>
      <c r="O82" s="194">
        <f t="shared" ref="O82:Y82" si="242">O38+O39+O40+O35+O36</f>
        <v>0</v>
      </c>
      <c r="P82" s="194">
        <f t="shared" si="242"/>
        <v>0</v>
      </c>
      <c r="Q82" s="194">
        <f t="shared" si="242"/>
        <v>0</v>
      </c>
      <c r="R82" s="194">
        <f t="shared" si="242"/>
        <v>0</v>
      </c>
      <c r="S82" s="194">
        <f t="shared" si="242"/>
        <v>0</v>
      </c>
      <c r="T82" s="194">
        <f t="shared" si="242"/>
        <v>0</v>
      </c>
      <c r="U82" s="194">
        <f t="shared" si="242"/>
        <v>0</v>
      </c>
      <c r="V82" s="194">
        <f t="shared" si="242"/>
        <v>0</v>
      </c>
      <c r="W82" s="194">
        <f t="shared" si="242"/>
        <v>0</v>
      </c>
      <c r="X82" s="194">
        <f t="shared" si="242"/>
        <v>0</v>
      </c>
      <c r="Y82" s="194">
        <f t="shared" si="242"/>
        <v>0</v>
      </c>
      <c r="Z82" s="194">
        <f>Z38+Z39+Z40+Z35+Z36</f>
        <v>0</v>
      </c>
      <c r="AA82" s="194">
        <f t="shared" ref="AA82:CL82" si="243">AA38+AA39+AA40+AA35+AA36</f>
        <v>0</v>
      </c>
      <c r="AB82" s="194">
        <f t="shared" si="243"/>
        <v>0</v>
      </c>
      <c r="AC82" s="194">
        <f t="shared" si="243"/>
        <v>0</v>
      </c>
      <c r="AD82" s="194">
        <f t="shared" si="243"/>
        <v>0</v>
      </c>
      <c r="AE82" s="194">
        <f t="shared" si="243"/>
        <v>0</v>
      </c>
      <c r="AF82" s="194">
        <f t="shared" si="243"/>
        <v>0</v>
      </c>
      <c r="AG82" s="194">
        <f t="shared" si="243"/>
        <v>0</v>
      </c>
      <c r="AH82" s="194">
        <f t="shared" si="243"/>
        <v>0</v>
      </c>
      <c r="AI82" s="194">
        <f t="shared" si="243"/>
        <v>0</v>
      </c>
      <c r="AJ82" s="194">
        <f t="shared" si="243"/>
        <v>0</v>
      </c>
      <c r="AK82" s="194">
        <f t="shared" si="243"/>
        <v>0</v>
      </c>
      <c r="AL82" s="194">
        <f t="shared" si="243"/>
        <v>0</v>
      </c>
      <c r="AM82" s="194">
        <f t="shared" si="243"/>
        <v>0</v>
      </c>
      <c r="AN82" s="194">
        <f t="shared" si="243"/>
        <v>0</v>
      </c>
      <c r="AO82" s="194">
        <f t="shared" si="243"/>
        <v>0</v>
      </c>
      <c r="AP82" s="194">
        <f t="shared" si="243"/>
        <v>0</v>
      </c>
      <c r="AQ82" s="194">
        <f t="shared" si="243"/>
        <v>0</v>
      </c>
      <c r="AR82" s="194">
        <f t="shared" si="243"/>
        <v>0</v>
      </c>
      <c r="AS82" s="194">
        <f t="shared" si="243"/>
        <v>0</v>
      </c>
      <c r="AT82" s="194">
        <f t="shared" si="243"/>
        <v>0</v>
      </c>
      <c r="AU82" s="194">
        <f t="shared" si="243"/>
        <v>0</v>
      </c>
      <c r="AV82" s="194">
        <f t="shared" si="243"/>
        <v>0</v>
      </c>
      <c r="AW82" s="194">
        <f t="shared" si="243"/>
        <v>0</v>
      </c>
      <c r="AX82" s="194">
        <f t="shared" si="243"/>
        <v>0</v>
      </c>
      <c r="AY82" s="194">
        <f t="shared" si="243"/>
        <v>0</v>
      </c>
      <c r="AZ82" s="194">
        <f t="shared" si="243"/>
        <v>0</v>
      </c>
      <c r="BA82" s="194">
        <f t="shared" si="243"/>
        <v>0</v>
      </c>
      <c r="BB82" s="194">
        <f t="shared" si="243"/>
        <v>0</v>
      </c>
      <c r="BC82" s="194">
        <f t="shared" si="243"/>
        <v>0</v>
      </c>
      <c r="BD82" s="194">
        <f t="shared" si="243"/>
        <v>0</v>
      </c>
      <c r="BE82" s="194">
        <f t="shared" si="243"/>
        <v>0</v>
      </c>
      <c r="BF82" s="194">
        <f t="shared" si="243"/>
        <v>0</v>
      </c>
      <c r="BG82" s="194">
        <f t="shared" si="243"/>
        <v>0</v>
      </c>
      <c r="BH82" s="194">
        <f t="shared" si="243"/>
        <v>0</v>
      </c>
      <c r="BI82" s="194">
        <f t="shared" si="243"/>
        <v>0</v>
      </c>
      <c r="BJ82" s="194">
        <f t="shared" si="243"/>
        <v>0</v>
      </c>
      <c r="BK82" s="194">
        <f t="shared" si="243"/>
        <v>0</v>
      </c>
      <c r="BL82" s="194">
        <f t="shared" si="243"/>
        <v>0</v>
      </c>
      <c r="BM82" s="194">
        <f t="shared" si="243"/>
        <v>0</v>
      </c>
      <c r="BN82" s="194">
        <f t="shared" si="243"/>
        <v>0</v>
      </c>
      <c r="BO82" s="194">
        <f t="shared" si="243"/>
        <v>0</v>
      </c>
      <c r="BP82" s="194">
        <f t="shared" si="243"/>
        <v>0</v>
      </c>
      <c r="BQ82" s="194">
        <f t="shared" si="243"/>
        <v>0</v>
      </c>
      <c r="BR82" s="194">
        <f t="shared" si="243"/>
        <v>0</v>
      </c>
      <c r="BS82" s="194">
        <f t="shared" si="243"/>
        <v>0</v>
      </c>
      <c r="BT82" s="194">
        <f t="shared" si="243"/>
        <v>0</v>
      </c>
      <c r="BU82" s="194">
        <f t="shared" si="243"/>
        <v>0</v>
      </c>
      <c r="BV82" s="194">
        <f t="shared" si="243"/>
        <v>0</v>
      </c>
      <c r="BW82" s="194">
        <f t="shared" si="243"/>
        <v>0</v>
      </c>
      <c r="BX82" s="194">
        <f t="shared" si="243"/>
        <v>0</v>
      </c>
      <c r="BY82" s="194">
        <f t="shared" si="243"/>
        <v>0</v>
      </c>
      <c r="BZ82" s="194">
        <f t="shared" si="243"/>
        <v>0</v>
      </c>
      <c r="CA82" s="194">
        <f t="shared" si="243"/>
        <v>0</v>
      </c>
      <c r="CB82" s="194">
        <f t="shared" si="243"/>
        <v>0</v>
      </c>
      <c r="CC82" s="194">
        <f t="shared" si="243"/>
        <v>0</v>
      </c>
      <c r="CD82" s="194">
        <f t="shared" si="243"/>
        <v>0</v>
      </c>
      <c r="CE82" s="194">
        <f t="shared" si="243"/>
        <v>0</v>
      </c>
      <c r="CF82" s="194">
        <f t="shared" si="243"/>
        <v>0</v>
      </c>
      <c r="CG82" s="194">
        <f t="shared" si="243"/>
        <v>0</v>
      </c>
      <c r="CH82" s="194">
        <f t="shared" si="243"/>
        <v>0</v>
      </c>
      <c r="CI82" s="194">
        <f t="shared" si="243"/>
        <v>0</v>
      </c>
      <c r="CJ82" s="194">
        <f t="shared" si="243"/>
        <v>0</v>
      </c>
      <c r="CK82" s="194">
        <f t="shared" si="243"/>
        <v>0</v>
      </c>
      <c r="CL82" s="194">
        <f t="shared" si="243"/>
        <v>0</v>
      </c>
      <c r="CM82" s="194">
        <f t="shared" ref="CM82:EX82" si="244">CM38+CM39+CM40+CM35+CM36</f>
        <v>0</v>
      </c>
      <c r="CN82" s="194">
        <f t="shared" si="244"/>
        <v>0</v>
      </c>
      <c r="CO82" s="194">
        <f t="shared" si="244"/>
        <v>0</v>
      </c>
      <c r="CP82" s="194">
        <f t="shared" si="244"/>
        <v>0</v>
      </c>
      <c r="CQ82" s="194">
        <f t="shared" si="244"/>
        <v>0</v>
      </c>
      <c r="CR82" s="194">
        <f t="shared" si="244"/>
        <v>0</v>
      </c>
      <c r="CS82" s="194">
        <f t="shared" si="244"/>
        <v>0</v>
      </c>
      <c r="CT82" s="194">
        <f t="shared" si="244"/>
        <v>0</v>
      </c>
      <c r="CU82" s="194">
        <f t="shared" si="244"/>
        <v>0</v>
      </c>
      <c r="CV82" s="194">
        <f t="shared" si="244"/>
        <v>62</v>
      </c>
      <c r="CW82" s="194">
        <f t="shared" si="244"/>
        <v>0</v>
      </c>
      <c r="CX82" s="194">
        <f t="shared" si="244"/>
        <v>0</v>
      </c>
      <c r="CY82" s="194">
        <f t="shared" si="244"/>
        <v>40</v>
      </c>
      <c r="CZ82" s="194">
        <f t="shared" si="244"/>
        <v>0</v>
      </c>
      <c r="DA82" s="194">
        <f t="shared" si="244"/>
        <v>0</v>
      </c>
      <c r="DB82" s="194">
        <f t="shared" si="244"/>
        <v>0</v>
      </c>
      <c r="DC82" s="194">
        <f t="shared" si="244"/>
        <v>0</v>
      </c>
      <c r="DD82" s="194">
        <f t="shared" si="244"/>
        <v>0</v>
      </c>
      <c r="DE82" s="194">
        <f t="shared" si="244"/>
        <v>0</v>
      </c>
      <c r="DF82" s="194">
        <f t="shared" si="244"/>
        <v>0</v>
      </c>
      <c r="DG82" s="194">
        <f t="shared" si="244"/>
        <v>0</v>
      </c>
      <c r="DH82" s="194">
        <f t="shared" si="244"/>
        <v>0</v>
      </c>
      <c r="DI82" s="194">
        <f t="shared" si="244"/>
        <v>0</v>
      </c>
      <c r="DJ82" s="194">
        <f t="shared" si="244"/>
        <v>0</v>
      </c>
      <c r="DK82" s="194">
        <f t="shared" si="244"/>
        <v>0</v>
      </c>
      <c r="DL82" s="194">
        <f t="shared" si="244"/>
        <v>0</v>
      </c>
      <c r="DM82" s="194">
        <f t="shared" si="244"/>
        <v>0</v>
      </c>
      <c r="DN82" s="194">
        <f t="shared" si="244"/>
        <v>0</v>
      </c>
      <c r="DO82" s="194">
        <f t="shared" si="244"/>
        <v>0</v>
      </c>
      <c r="DP82" s="194">
        <f t="shared" si="244"/>
        <v>0</v>
      </c>
      <c r="DQ82" s="194">
        <f t="shared" si="244"/>
        <v>0</v>
      </c>
      <c r="DR82" s="194">
        <f t="shared" si="244"/>
        <v>0</v>
      </c>
      <c r="DS82" s="194">
        <f t="shared" si="244"/>
        <v>0</v>
      </c>
      <c r="DT82" s="194">
        <f t="shared" si="244"/>
        <v>0</v>
      </c>
      <c r="DU82" s="194">
        <f t="shared" si="244"/>
        <v>0</v>
      </c>
      <c r="DV82" s="194">
        <f t="shared" si="244"/>
        <v>0</v>
      </c>
      <c r="DW82" s="194">
        <f t="shared" si="244"/>
        <v>0</v>
      </c>
      <c r="DX82" s="194">
        <f t="shared" si="244"/>
        <v>0</v>
      </c>
      <c r="DY82" s="194">
        <f t="shared" si="244"/>
        <v>0</v>
      </c>
      <c r="DZ82" s="194">
        <f t="shared" si="244"/>
        <v>0</v>
      </c>
      <c r="EA82" s="194">
        <f t="shared" si="244"/>
        <v>0</v>
      </c>
      <c r="EB82" s="194">
        <f t="shared" si="244"/>
        <v>0</v>
      </c>
      <c r="EC82" s="194">
        <f t="shared" si="244"/>
        <v>0</v>
      </c>
      <c r="ED82" s="194">
        <f t="shared" si="244"/>
        <v>0</v>
      </c>
      <c r="EE82" s="194">
        <f t="shared" si="244"/>
        <v>0</v>
      </c>
      <c r="EF82" s="194">
        <f t="shared" si="244"/>
        <v>0</v>
      </c>
      <c r="EG82" s="194">
        <f t="shared" si="244"/>
        <v>0</v>
      </c>
      <c r="EH82" s="194">
        <f t="shared" si="244"/>
        <v>0</v>
      </c>
      <c r="EI82" s="194">
        <f t="shared" si="244"/>
        <v>0</v>
      </c>
      <c r="EJ82" s="194">
        <f t="shared" si="244"/>
        <v>0</v>
      </c>
      <c r="EK82" s="194">
        <f t="shared" si="244"/>
        <v>0</v>
      </c>
      <c r="EL82" s="194">
        <f t="shared" si="244"/>
        <v>0</v>
      </c>
      <c r="EM82" s="194">
        <f t="shared" si="244"/>
        <v>0</v>
      </c>
      <c r="EN82" s="194">
        <f t="shared" si="244"/>
        <v>0</v>
      </c>
      <c r="EO82" s="194">
        <f t="shared" si="244"/>
        <v>0</v>
      </c>
      <c r="EP82" s="194">
        <f t="shared" si="244"/>
        <v>0</v>
      </c>
      <c r="EQ82" s="194">
        <f t="shared" si="244"/>
        <v>460</v>
      </c>
      <c r="ER82" s="194">
        <f t="shared" si="244"/>
        <v>0</v>
      </c>
      <c r="ES82" s="194">
        <f t="shared" si="244"/>
        <v>0</v>
      </c>
      <c r="ET82" s="194">
        <f t="shared" si="244"/>
        <v>0</v>
      </c>
      <c r="EU82" s="194">
        <f t="shared" si="244"/>
        <v>0</v>
      </c>
      <c r="EV82" s="194">
        <f t="shared" si="244"/>
        <v>0</v>
      </c>
      <c r="EW82" s="194">
        <f t="shared" si="244"/>
        <v>0</v>
      </c>
      <c r="EX82" s="194">
        <f t="shared" si="244"/>
        <v>0</v>
      </c>
      <c r="EY82" s="194">
        <f t="shared" ref="EY82:FJ82" si="245">EY38+EY39+EY40+EY35+EY36</f>
        <v>0</v>
      </c>
      <c r="EZ82" s="194">
        <f t="shared" si="245"/>
        <v>0</v>
      </c>
      <c r="FA82" s="194">
        <f t="shared" si="245"/>
        <v>470</v>
      </c>
      <c r="FB82" s="194">
        <f t="shared" si="245"/>
        <v>0</v>
      </c>
      <c r="FC82" s="194">
        <f t="shared" si="245"/>
        <v>0</v>
      </c>
      <c r="FD82" s="194">
        <f t="shared" si="245"/>
        <v>0</v>
      </c>
      <c r="FE82" s="194">
        <f t="shared" si="245"/>
        <v>0</v>
      </c>
      <c r="FF82" s="194">
        <f t="shared" si="245"/>
        <v>0</v>
      </c>
      <c r="FG82" s="194">
        <f t="shared" si="245"/>
        <v>0</v>
      </c>
      <c r="FH82" s="194">
        <f t="shared" si="245"/>
        <v>0</v>
      </c>
      <c r="FI82" s="194">
        <f t="shared" si="245"/>
        <v>0</v>
      </c>
      <c r="FJ82" s="194">
        <f t="shared" si="245"/>
        <v>0</v>
      </c>
      <c r="FK82" s="194">
        <f t="shared" ref="FK82:FY82" si="246">FK38+FK39+FK40+FK35+FK36</f>
        <v>0</v>
      </c>
      <c r="FL82" s="194">
        <f t="shared" si="246"/>
        <v>0</v>
      </c>
      <c r="FM82" s="194">
        <f t="shared" si="246"/>
        <v>0</v>
      </c>
      <c r="FN82" s="194">
        <f t="shared" si="246"/>
        <v>0</v>
      </c>
      <c r="FO82" s="194">
        <f t="shared" si="246"/>
        <v>0</v>
      </c>
      <c r="FP82" s="194">
        <f t="shared" si="246"/>
        <v>0</v>
      </c>
      <c r="FQ82" s="194">
        <f t="shared" si="246"/>
        <v>0</v>
      </c>
      <c r="FR82" s="194">
        <f t="shared" si="246"/>
        <v>0</v>
      </c>
      <c r="FS82" s="194">
        <f t="shared" si="246"/>
        <v>0</v>
      </c>
      <c r="FT82" s="194">
        <f t="shared" si="246"/>
        <v>0</v>
      </c>
      <c r="FU82" s="194">
        <f t="shared" si="246"/>
        <v>0</v>
      </c>
      <c r="FV82" s="194">
        <f t="shared" si="246"/>
        <v>0</v>
      </c>
      <c r="FW82" s="194">
        <f t="shared" si="246"/>
        <v>0</v>
      </c>
      <c r="FX82" s="194">
        <f t="shared" si="246"/>
        <v>0</v>
      </c>
      <c r="FY82" s="194">
        <f t="shared" si="246"/>
        <v>0</v>
      </c>
      <c r="FZ82" s="194">
        <f t="shared" ref="FZ82:GN82" si="247">FZ38+FZ39+FZ40+FZ35+FZ36</f>
        <v>1112</v>
      </c>
      <c r="GA82" s="194">
        <f t="shared" si="247"/>
        <v>0</v>
      </c>
      <c r="GB82" s="194">
        <f t="shared" si="247"/>
        <v>0</v>
      </c>
      <c r="GC82" s="194">
        <f t="shared" si="247"/>
        <v>0</v>
      </c>
      <c r="GD82" s="194">
        <f t="shared" si="247"/>
        <v>0</v>
      </c>
      <c r="GE82" s="194">
        <f t="shared" si="247"/>
        <v>0</v>
      </c>
      <c r="GF82" s="194">
        <f t="shared" si="247"/>
        <v>6</v>
      </c>
      <c r="GG82" s="194">
        <f t="shared" si="247"/>
        <v>0</v>
      </c>
      <c r="GH82" s="194">
        <f t="shared" si="247"/>
        <v>0</v>
      </c>
      <c r="GI82" s="194">
        <f t="shared" si="247"/>
        <v>0</v>
      </c>
      <c r="GJ82" s="194">
        <f t="shared" si="247"/>
        <v>0</v>
      </c>
      <c r="GK82" s="194">
        <f t="shared" si="247"/>
        <v>0</v>
      </c>
      <c r="GL82" s="194">
        <f t="shared" si="247"/>
        <v>0</v>
      </c>
      <c r="GM82" s="194">
        <f t="shared" si="247"/>
        <v>0</v>
      </c>
      <c r="GN82" s="194">
        <f t="shared" si="247"/>
        <v>0</v>
      </c>
      <c r="GO82" s="194">
        <f t="shared" ref="GO82:HT82" si="248">GO38+GO39+GO40+GO35+GO36</f>
        <v>0</v>
      </c>
      <c r="GP82" s="194">
        <f t="shared" si="248"/>
        <v>0</v>
      </c>
      <c r="GQ82" s="194">
        <f t="shared" si="248"/>
        <v>35</v>
      </c>
      <c r="GR82" s="194">
        <f t="shared" si="248"/>
        <v>0</v>
      </c>
      <c r="GS82" s="194">
        <f t="shared" si="248"/>
        <v>140</v>
      </c>
      <c r="GT82" s="194">
        <f t="shared" si="248"/>
        <v>0</v>
      </c>
      <c r="GU82" s="194">
        <f t="shared" si="248"/>
        <v>0</v>
      </c>
      <c r="GV82" s="194">
        <f t="shared" si="248"/>
        <v>0</v>
      </c>
      <c r="GW82" s="194">
        <f t="shared" si="248"/>
        <v>35</v>
      </c>
      <c r="GX82" s="194">
        <f t="shared" si="248"/>
        <v>0</v>
      </c>
      <c r="GY82" s="194">
        <f t="shared" si="248"/>
        <v>0</v>
      </c>
      <c r="GZ82" s="194">
        <f t="shared" si="248"/>
        <v>0</v>
      </c>
      <c r="HA82" s="194">
        <f t="shared" si="248"/>
        <v>0</v>
      </c>
      <c r="HB82" s="194">
        <f t="shared" si="248"/>
        <v>0</v>
      </c>
      <c r="HC82" s="194">
        <f t="shared" si="248"/>
        <v>0</v>
      </c>
      <c r="HD82" s="194">
        <f t="shared" si="248"/>
        <v>0</v>
      </c>
      <c r="HE82" s="194">
        <f t="shared" si="248"/>
        <v>0</v>
      </c>
      <c r="HF82" s="194">
        <f t="shared" si="248"/>
        <v>0</v>
      </c>
      <c r="HG82" s="194">
        <f t="shared" si="248"/>
        <v>0</v>
      </c>
      <c r="HH82" s="194">
        <f t="shared" si="248"/>
        <v>0</v>
      </c>
      <c r="HI82" s="194">
        <f t="shared" si="248"/>
        <v>0</v>
      </c>
      <c r="HJ82" s="194">
        <f t="shared" si="248"/>
        <v>0</v>
      </c>
      <c r="HK82" s="194">
        <f t="shared" si="248"/>
        <v>0</v>
      </c>
      <c r="HL82" s="194">
        <f t="shared" si="248"/>
        <v>0</v>
      </c>
      <c r="HM82" s="194">
        <f t="shared" si="248"/>
        <v>0</v>
      </c>
      <c r="HN82" s="194">
        <f t="shared" si="248"/>
        <v>0</v>
      </c>
      <c r="HO82" s="194">
        <f t="shared" si="248"/>
        <v>0</v>
      </c>
      <c r="HP82" s="194">
        <f t="shared" si="248"/>
        <v>0</v>
      </c>
      <c r="HQ82" s="194">
        <f t="shared" si="248"/>
        <v>0</v>
      </c>
      <c r="HR82" s="194">
        <f t="shared" si="248"/>
        <v>0</v>
      </c>
      <c r="HS82" s="194">
        <f t="shared" si="248"/>
        <v>0</v>
      </c>
      <c r="HT82" s="194">
        <f t="shared" si="248"/>
        <v>0</v>
      </c>
    </row>
    <row r="83" spans="2:229" x14ac:dyDescent="0.25">
      <c r="B83" s="495"/>
      <c r="C83" s="386" t="s">
        <v>80</v>
      </c>
      <c r="E83" s="194">
        <f>E26/2+E29+E34+E35</f>
        <v>0</v>
      </c>
      <c r="F83" s="194">
        <f t="shared" ref="F83:N83" si="249">F26/2+F29+F34+F35</f>
        <v>0</v>
      </c>
      <c r="G83" s="194">
        <f t="shared" si="249"/>
        <v>0</v>
      </c>
      <c r="H83" s="194">
        <f t="shared" si="249"/>
        <v>0</v>
      </c>
      <c r="I83" s="194">
        <f t="shared" si="249"/>
        <v>0</v>
      </c>
      <c r="J83" s="194">
        <f t="shared" si="249"/>
        <v>0</v>
      </c>
      <c r="K83" s="194">
        <f t="shared" si="249"/>
        <v>0</v>
      </c>
      <c r="L83" s="194">
        <f t="shared" si="249"/>
        <v>0</v>
      </c>
      <c r="M83" s="194">
        <f t="shared" si="249"/>
        <v>0</v>
      </c>
      <c r="N83" s="194">
        <f t="shared" si="249"/>
        <v>0</v>
      </c>
      <c r="O83" s="292">
        <f>O43/2+O42+O34+O37</f>
        <v>0</v>
      </c>
      <c r="P83" s="292">
        <f t="shared" ref="P83:CA83" si="250">P43/2+P42+P34+P37</f>
        <v>0</v>
      </c>
      <c r="Q83" s="292">
        <f t="shared" si="250"/>
        <v>0</v>
      </c>
      <c r="R83" s="292">
        <f t="shared" si="250"/>
        <v>0</v>
      </c>
      <c r="S83" s="292">
        <f t="shared" si="250"/>
        <v>0</v>
      </c>
      <c r="T83" s="292">
        <f t="shared" si="250"/>
        <v>0</v>
      </c>
      <c r="U83" s="292">
        <f t="shared" si="250"/>
        <v>0</v>
      </c>
      <c r="V83" s="292">
        <f t="shared" si="250"/>
        <v>0</v>
      </c>
      <c r="W83" s="292">
        <f t="shared" si="250"/>
        <v>0</v>
      </c>
      <c r="X83" s="292">
        <f t="shared" si="250"/>
        <v>0</v>
      </c>
      <c r="Y83" s="292">
        <f t="shared" si="250"/>
        <v>0</v>
      </c>
      <c r="Z83" s="292">
        <f t="shared" si="250"/>
        <v>0</v>
      </c>
      <c r="AA83" s="292">
        <f t="shared" si="250"/>
        <v>0</v>
      </c>
      <c r="AB83" s="292">
        <f t="shared" si="250"/>
        <v>0</v>
      </c>
      <c r="AC83" s="292">
        <f t="shared" si="250"/>
        <v>0</v>
      </c>
      <c r="AD83" s="292">
        <f t="shared" si="250"/>
        <v>0</v>
      </c>
      <c r="AE83" s="292">
        <f t="shared" si="250"/>
        <v>0</v>
      </c>
      <c r="AF83" s="292">
        <f t="shared" si="250"/>
        <v>0</v>
      </c>
      <c r="AG83" s="292">
        <f t="shared" si="250"/>
        <v>0</v>
      </c>
      <c r="AH83" s="292">
        <f t="shared" si="250"/>
        <v>0</v>
      </c>
      <c r="AI83" s="292">
        <f t="shared" si="250"/>
        <v>0</v>
      </c>
      <c r="AJ83" s="292">
        <f t="shared" si="250"/>
        <v>0</v>
      </c>
      <c r="AK83" s="292">
        <f t="shared" si="250"/>
        <v>0</v>
      </c>
      <c r="AL83" s="292">
        <f t="shared" si="250"/>
        <v>0</v>
      </c>
      <c r="AM83" s="292">
        <f t="shared" si="250"/>
        <v>0</v>
      </c>
      <c r="AN83" s="292">
        <f t="shared" si="250"/>
        <v>0</v>
      </c>
      <c r="AO83" s="292">
        <f t="shared" si="250"/>
        <v>0</v>
      </c>
      <c r="AP83" s="292">
        <f t="shared" si="250"/>
        <v>0</v>
      </c>
      <c r="AQ83" s="292">
        <f t="shared" si="250"/>
        <v>0</v>
      </c>
      <c r="AR83" s="292">
        <f t="shared" si="250"/>
        <v>0</v>
      </c>
      <c r="AS83" s="292">
        <f t="shared" si="250"/>
        <v>0</v>
      </c>
      <c r="AT83" s="292">
        <f t="shared" si="250"/>
        <v>0</v>
      </c>
      <c r="AU83" s="292">
        <f t="shared" si="250"/>
        <v>0</v>
      </c>
      <c r="AV83" s="292">
        <f t="shared" si="250"/>
        <v>0</v>
      </c>
      <c r="AW83" s="292">
        <f t="shared" si="250"/>
        <v>0</v>
      </c>
      <c r="AX83" s="292">
        <f t="shared" si="250"/>
        <v>0</v>
      </c>
      <c r="AY83" s="292">
        <f t="shared" si="250"/>
        <v>0</v>
      </c>
      <c r="AZ83" s="292">
        <f t="shared" si="250"/>
        <v>0</v>
      </c>
      <c r="BA83" s="292">
        <f t="shared" si="250"/>
        <v>0</v>
      </c>
      <c r="BB83" s="292">
        <f t="shared" si="250"/>
        <v>0</v>
      </c>
      <c r="BC83" s="292">
        <f t="shared" si="250"/>
        <v>0</v>
      </c>
      <c r="BD83" s="292">
        <f t="shared" si="250"/>
        <v>0</v>
      </c>
      <c r="BE83" s="292">
        <f t="shared" si="250"/>
        <v>0</v>
      </c>
      <c r="BF83" s="292">
        <f t="shared" si="250"/>
        <v>0</v>
      </c>
      <c r="BG83" s="292">
        <f t="shared" si="250"/>
        <v>0</v>
      </c>
      <c r="BH83" s="292">
        <f t="shared" si="250"/>
        <v>0</v>
      </c>
      <c r="BI83" s="292">
        <f t="shared" si="250"/>
        <v>0</v>
      </c>
      <c r="BJ83" s="292">
        <f t="shared" si="250"/>
        <v>0</v>
      </c>
      <c r="BK83" s="292">
        <f t="shared" si="250"/>
        <v>0</v>
      </c>
      <c r="BL83" s="292">
        <f t="shared" si="250"/>
        <v>0</v>
      </c>
      <c r="BM83" s="292">
        <f t="shared" si="250"/>
        <v>0</v>
      </c>
      <c r="BN83" s="292">
        <f t="shared" si="250"/>
        <v>0</v>
      </c>
      <c r="BO83" s="292">
        <f t="shared" si="250"/>
        <v>0</v>
      </c>
      <c r="BP83" s="292">
        <f t="shared" si="250"/>
        <v>0</v>
      </c>
      <c r="BQ83" s="292">
        <f t="shared" si="250"/>
        <v>0</v>
      </c>
      <c r="BR83" s="292">
        <f t="shared" si="250"/>
        <v>0</v>
      </c>
      <c r="BS83" s="292">
        <f t="shared" si="250"/>
        <v>0</v>
      </c>
      <c r="BT83" s="292">
        <f t="shared" si="250"/>
        <v>0</v>
      </c>
      <c r="BU83" s="292">
        <f t="shared" si="250"/>
        <v>0</v>
      </c>
      <c r="BV83" s="292">
        <f t="shared" si="250"/>
        <v>0</v>
      </c>
      <c r="BW83" s="292">
        <f t="shared" si="250"/>
        <v>0</v>
      </c>
      <c r="BX83" s="292">
        <f t="shared" si="250"/>
        <v>0</v>
      </c>
      <c r="BY83" s="292">
        <f t="shared" si="250"/>
        <v>0</v>
      </c>
      <c r="BZ83" s="292">
        <f t="shared" si="250"/>
        <v>0</v>
      </c>
      <c r="CA83" s="292">
        <f t="shared" si="250"/>
        <v>0</v>
      </c>
      <c r="CB83" s="292">
        <f t="shared" ref="CB83:EM83" si="251">CB43/2+CB42+CB34+CB37</f>
        <v>0</v>
      </c>
      <c r="CC83" s="292">
        <f t="shared" si="251"/>
        <v>0</v>
      </c>
      <c r="CD83" s="292">
        <f t="shared" si="251"/>
        <v>0</v>
      </c>
      <c r="CE83" s="292">
        <f t="shared" si="251"/>
        <v>0</v>
      </c>
      <c r="CF83" s="292">
        <f t="shared" si="251"/>
        <v>0</v>
      </c>
      <c r="CG83" s="292">
        <f t="shared" si="251"/>
        <v>0</v>
      </c>
      <c r="CH83" s="292">
        <f t="shared" si="251"/>
        <v>0</v>
      </c>
      <c r="CI83" s="292">
        <f t="shared" si="251"/>
        <v>0</v>
      </c>
      <c r="CJ83" s="292">
        <f t="shared" si="251"/>
        <v>0</v>
      </c>
      <c r="CK83" s="292">
        <f t="shared" si="251"/>
        <v>0</v>
      </c>
      <c r="CL83" s="292">
        <f t="shared" si="251"/>
        <v>0</v>
      </c>
      <c r="CM83" s="292">
        <f t="shared" si="251"/>
        <v>0</v>
      </c>
      <c r="CN83" s="292">
        <f t="shared" si="251"/>
        <v>0</v>
      </c>
      <c r="CO83" s="292">
        <f t="shared" si="251"/>
        <v>0</v>
      </c>
      <c r="CP83" s="292">
        <f t="shared" si="251"/>
        <v>0</v>
      </c>
      <c r="CQ83" s="292">
        <f t="shared" si="251"/>
        <v>0</v>
      </c>
      <c r="CR83" s="292">
        <f t="shared" si="251"/>
        <v>0</v>
      </c>
      <c r="CS83" s="292">
        <f t="shared" si="251"/>
        <v>0</v>
      </c>
      <c r="CT83" s="292">
        <f t="shared" si="251"/>
        <v>0</v>
      </c>
      <c r="CU83" s="292">
        <f t="shared" si="251"/>
        <v>0</v>
      </c>
      <c r="CV83" s="292">
        <f t="shared" si="251"/>
        <v>0</v>
      </c>
      <c r="CW83" s="292">
        <f t="shared" si="251"/>
        <v>0</v>
      </c>
      <c r="CX83" s="292">
        <f t="shared" si="251"/>
        <v>0</v>
      </c>
      <c r="CY83" s="292">
        <f t="shared" si="251"/>
        <v>0</v>
      </c>
      <c r="CZ83" s="292">
        <f t="shared" si="251"/>
        <v>0</v>
      </c>
      <c r="DA83" s="292">
        <f t="shared" si="251"/>
        <v>0</v>
      </c>
      <c r="DB83" s="292">
        <f t="shared" si="251"/>
        <v>0</v>
      </c>
      <c r="DC83" s="292">
        <f t="shared" si="251"/>
        <v>0</v>
      </c>
      <c r="DD83" s="292">
        <f t="shared" si="251"/>
        <v>0</v>
      </c>
      <c r="DE83" s="292">
        <f t="shared" si="251"/>
        <v>0</v>
      </c>
      <c r="DF83" s="292">
        <f t="shared" si="251"/>
        <v>0</v>
      </c>
      <c r="DG83" s="292">
        <f t="shared" si="251"/>
        <v>0</v>
      </c>
      <c r="DH83" s="292">
        <f t="shared" si="251"/>
        <v>0</v>
      </c>
      <c r="DI83" s="292">
        <f t="shared" si="251"/>
        <v>0</v>
      </c>
      <c r="DJ83" s="292">
        <f t="shared" si="251"/>
        <v>0</v>
      </c>
      <c r="DK83" s="292">
        <f t="shared" si="251"/>
        <v>0</v>
      </c>
      <c r="DL83" s="292">
        <f t="shared" si="251"/>
        <v>0</v>
      </c>
      <c r="DM83" s="292">
        <f t="shared" si="251"/>
        <v>0</v>
      </c>
      <c r="DN83" s="292">
        <f t="shared" si="251"/>
        <v>0</v>
      </c>
      <c r="DO83" s="292">
        <f t="shared" si="251"/>
        <v>0</v>
      </c>
      <c r="DP83" s="292">
        <f t="shared" si="251"/>
        <v>0</v>
      </c>
      <c r="DQ83" s="292">
        <f t="shared" si="251"/>
        <v>0</v>
      </c>
      <c r="DR83" s="292">
        <f t="shared" si="251"/>
        <v>0</v>
      </c>
      <c r="DS83" s="292">
        <f t="shared" si="251"/>
        <v>0</v>
      </c>
      <c r="DT83" s="292">
        <f t="shared" si="251"/>
        <v>0</v>
      </c>
      <c r="DU83" s="292">
        <f t="shared" si="251"/>
        <v>0</v>
      </c>
      <c r="DV83" s="292">
        <f t="shared" si="251"/>
        <v>0</v>
      </c>
      <c r="DW83" s="292">
        <f t="shared" si="251"/>
        <v>0</v>
      </c>
      <c r="DX83" s="292">
        <f t="shared" si="251"/>
        <v>0</v>
      </c>
      <c r="DY83" s="292">
        <f t="shared" si="251"/>
        <v>0</v>
      </c>
      <c r="DZ83" s="292">
        <f t="shared" si="251"/>
        <v>0</v>
      </c>
      <c r="EA83" s="292">
        <f t="shared" si="251"/>
        <v>0</v>
      </c>
      <c r="EB83" s="292">
        <f t="shared" si="251"/>
        <v>0</v>
      </c>
      <c r="EC83" s="292">
        <f t="shared" si="251"/>
        <v>0</v>
      </c>
      <c r="ED83" s="292">
        <f t="shared" si="251"/>
        <v>0</v>
      </c>
      <c r="EE83" s="292">
        <f t="shared" si="251"/>
        <v>0</v>
      </c>
      <c r="EF83" s="292">
        <f t="shared" si="251"/>
        <v>0</v>
      </c>
      <c r="EG83" s="292">
        <f t="shared" si="251"/>
        <v>0</v>
      </c>
      <c r="EH83" s="292">
        <f t="shared" si="251"/>
        <v>0</v>
      </c>
      <c r="EI83" s="292">
        <f t="shared" si="251"/>
        <v>0</v>
      </c>
      <c r="EJ83" s="292">
        <f t="shared" si="251"/>
        <v>0</v>
      </c>
      <c r="EK83" s="292">
        <f t="shared" si="251"/>
        <v>0</v>
      </c>
      <c r="EL83" s="292">
        <f t="shared" si="251"/>
        <v>0</v>
      </c>
      <c r="EM83" s="292">
        <f t="shared" si="251"/>
        <v>0</v>
      </c>
      <c r="EN83" s="292">
        <f t="shared" ref="EN83:FJ83" si="252">EN43/2+EN42+EN34+EN37</f>
        <v>0</v>
      </c>
      <c r="EO83" s="292">
        <f t="shared" si="252"/>
        <v>0</v>
      </c>
      <c r="EP83" s="292">
        <f t="shared" si="252"/>
        <v>0</v>
      </c>
      <c r="EQ83" s="292">
        <f t="shared" si="252"/>
        <v>0</v>
      </c>
      <c r="ER83" s="292">
        <f t="shared" si="252"/>
        <v>0</v>
      </c>
      <c r="ES83" s="292">
        <f t="shared" si="252"/>
        <v>0</v>
      </c>
      <c r="ET83" s="292">
        <f t="shared" si="252"/>
        <v>0</v>
      </c>
      <c r="EU83" s="292">
        <f t="shared" si="252"/>
        <v>0</v>
      </c>
      <c r="EV83" s="292">
        <f t="shared" si="252"/>
        <v>0</v>
      </c>
      <c r="EW83" s="292">
        <f t="shared" si="252"/>
        <v>0</v>
      </c>
      <c r="EX83" s="292">
        <f t="shared" si="252"/>
        <v>0</v>
      </c>
      <c r="EY83" s="292">
        <f t="shared" si="252"/>
        <v>0</v>
      </c>
      <c r="EZ83" s="292">
        <f t="shared" si="252"/>
        <v>0</v>
      </c>
      <c r="FA83" s="292">
        <f t="shared" si="252"/>
        <v>0</v>
      </c>
      <c r="FB83" s="292">
        <f t="shared" si="252"/>
        <v>0</v>
      </c>
      <c r="FC83" s="292">
        <f t="shared" si="252"/>
        <v>0</v>
      </c>
      <c r="FD83" s="292">
        <f t="shared" si="252"/>
        <v>0</v>
      </c>
      <c r="FE83" s="292">
        <f t="shared" si="252"/>
        <v>0</v>
      </c>
      <c r="FF83" s="292">
        <f t="shared" si="252"/>
        <v>0</v>
      </c>
      <c r="FG83" s="292">
        <f t="shared" si="252"/>
        <v>0</v>
      </c>
      <c r="FH83" s="292">
        <f t="shared" si="252"/>
        <v>0</v>
      </c>
      <c r="FI83" s="292">
        <f t="shared" si="252"/>
        <v>0</v>
      </c>
      <c r="FJ83" s="292">
        <f t="shared" si="252"/>
        <v>0</v>
      </c>
      <c r="FK83" s="292">
        <f t="shared" ref="FK83:FY83" si="253">FK43/2+FK42+FK34+FK37</f>
        <v>0</v>
      </c>
      <c r="FL83" s="292">
        <f t="shared" si="253"/>
        <v>0</v>
      </c>
      <c r="FM83" s="292">
        <f t="shared" si="253"/>
        <v>0</v>
      </c>
      <c r="FN83" s="292">
        <f t="shared" si="253"/>
        <v>0</v>
      </c>
      <c r="FO83" s="292">
        <f t="shared" si="253"/>
        <v>395</v>
      </c>
      <c r="FP83" s="292">
        <f t="shared" si="253"/>
        <v>0</v>
      </c>
      <c r="FQ83" s="292">
        <f t="shared" si="253"/>
        <v>0</v>
      </c>
      <c r="FR83" s="292">
        <f t="shared" si="253"/>
        <v>0</v>
      </c>
      <c r="FS83" s="292">
        <f t="shared" si="253"/>
        <v>0</v>
      </c>
      <c r="FT83" s="292">
        <f t="shared" si="253"/>
        <v>0</v>
      </c>
      <c r="FU83" s="292">
        <f t="shared" si="253"/>
        <v>0</v>
      </c>
      <c r="FV83" s="292">
        <f t="shared" si="253"/>
        <v>0</v>
      </c>
      <c r="FW83" s="292">
        <f t="shared" si="253"/>
        <v>0</v>
      </c>
      <c r="FX83" s="292">
        <f t="shared" si="253"/>
        <v>0</v>
      </c>
      <c r="FY83" s="292">
        <f t="shared" si="253"/>
        <v>0</v>
      </c>
      <c r="FZ83" s="292">
        <f t="shared" ref="FZ83:GN83" si="254">FZ43/2+FZ42+FZ34+FZ37</f>
        <v>0</v>
      </c>
      <c r="GA83" s="292">
        <f t="shared" si="254"/>
        <v>0</v>
      </c>
      <c r="GB83" s="292">
        <f t="shared" si="254"/>
        <v>0</v>
      </c>
      <c r="GC83" s="292">
        <f t="shared" si="254"/>
        <v>0</v>
      </c>
      <c r="GD83" s="292">
        <f t="shared" si="254"/>
        <v>0</v>
      </c>
      <c r="GE83" s="292">
        <f t="shared" si="254"/>
        <v>0</v>
      </c>
      <c r="GF83" s="292">
        <f t="shared" si="254"/>
        <v>0</v>
      </c>
      <c r="GG83" s="292">
        <f t="shared" si="254"/>
        <v>0</v>
      </c>
      <c r="GH83" s="292">
        <f t="shared" si="254"/>
        <v>0</v>
      </c>
      <c r="GI83" s="292">
        <f t="shared" si="254"/>
        <v>0</v>
      </c>
      <c r="GJ83" s="292">
        <f t="shared" si="254"/>
        <v>0</v>
      </c>
      <c r="GK83" s="292">
        <f t="shared" si="254"/>
        <v>0</v>
      </c>
      <c r="GL83" s="292">
        <f t="shared" si="254"/>
        <v>0</v>
      </c>
      <c r="GM83" s="292">
        <f t="shared" si="254"/>
        <v>0</v>
      </c>
      <c r="GN83" s="292">
        <f t="shared" si="254"/>
        <v>0</v>
      </c>
      <c r="GO83" s="292">
        <f t="shared" ref="GO83:HT83" si="255">GO43/2+GO42+GO34+GO37</f>
        <v>0</v>
      </c>
      <c r="GP83" s="292">
        <f t="shared" si="255"/>
        <v>0</v>
      </c>
      <c r="GQ83" s="292">
        <f t="shared" si="255"/>
        <v>0</v>
      </c>
      <c r="GR83" s="292">
        <f t="shared" si="255"/>
        <v>0</v>
      </c>
      <c r="GS83" s="292">
        <f t="shared" si="255"/>
        <v>0</v>
      </c>
      <c r="GT83" s="292">
        <f t="shared" si="255"/>
        <v>0</v>
      </c>
      <c r="GU83" s="292">
        <f t="shared" si="255"/>
        <v>0</v>
      </c>
      <c r="GV83" s="292">
        <f t="shared" si="255"/>
        <v>0</v>
      </c>
      <c r="GW83" s="292">
        <f t="shared" si="255"/>
        <v>175</v>
      </c>
      <c r="GX83" s="292">
        <f t="shared" si="255"/>
        <v>0</v>
      </c>
      <c r="GY83" s="292">
        <f t="shared" si="255"/>
        <v>0</v>
      </c>
      <c r="GZ83" s="292">
        <f t="shared" si="255"/>
        <v>0</v>
      </c>
      <c r="HA83" s="292">
        <f t="shared" si="255"/>
        <v>0</v>
      </c>
      <c r="HB83" s="292">
        <f t="shared" si="255"/>
        <v>0</v>
      </c>
      <c r="HC83" s="292">
        <f t="shared" si="255"/>
        <v>0</v>
      </c>
      <c r="HD83" s="292">
        <f t="shared" si="255"/>
        <v>10</v>
      </c>
      <c r="HE83" s="292">
        <f t="shared" si="255"/>
        <v>0</v>
      </c>
      <c r="HF83" s="292">
        <f t="shared" si="255"/>
        <v>0</v>
      </c>
      <c r="HG83" s="292">
        <f t="shared" si="255"/>
        <v>0</v>
      </c>
      <c r="HH83" s="292">
        <f t="shared" si="255"/>
        <v>0</v>
      </c>
      <c r="HI83" s="292">
        <f t="shared" si="255"/>
        <v>0</v>
      </c>
      <c r="HJ83" s="292">
        <f t="shared" si="255"/>
        <v>0</v>
      </c>
      <c r="HK83" s="292">
        <f t="shared" si="255"/>
        <v>0</v>
      </c>
      <c r="HL83" s="292">
        <f t="shared" si="255"/>
        <v>0</v>
      </c>
      <c r="HM83" s="292">
        <f t="shared" si="255"/>
        <v>0</v>
      </c>
      <c r="HN83" s="292">
        <f t="shared" si="255"/>
        <v>0</v>
      </c>
      <c r="HO83" s="292">
        <f t="shared" si="255"/>
        <v>0</v>
      </c>
      <c r="HP83" s="292">
        <f t="shared" si="255"/>
        <v>0</v>
      </c>
      <c r="HQ83" s="292">
        <f t="shared" si="255"/>
        <v>0</v>
      </c>
      <c r="HR83" s="292">
        <f t="shared" si="255"/>
        <v>0</v>
      </c>
      <c r="HS83" s="292">
        <f t="shared" si="255"/>
        <v>0</v>
      </c>
      <c r="HT83" s="292">
        <f t="shared" si="255"/>
        <v>0</v>
      </c>
    </row>
    <row r="84" spans="2:229" x14ac:dyDescent="0.25">
      <c r="B84" s="495"/>
      <c r="C84" s="386" t="s">
        <v>89</v>
      </c>
      <c r="E84">
        <f>E26/2+E33+E36</f>
        <v>0</v>
      </c>
      <c r="F84">
        <f t="shared" ref="F84:N84" si="256">F26/2+F33+F36</f>
        <v>0</v>
      </c>
      <c r="G84">
        <f t="shared" si="256"/>
        <v>0</v>
      </c>
      <c r="H84">
        <f t="shared" si="256"/>
        <v>0</v>
      </c>
      <c r="I84">
        <f t="shared" si="256"/>
        <v>0</v>
      </c>
      <c r="J84">
        <f t="shared" si="256"/>
        <v>0</v>
      </c>
      <c r="K84">
        <f t="shared" si="256"/>
        <v>0</v>
      </c>
      <c r="L84">
        <f t="shared" si="256"/>
        <v>0</v>
      </c>
      <c r="M84">
        <f t="shared" si="256"/>
        <v>0</v>
      </c>
      <c r="N84">
        <f t="shared" si="256"/>
        <v>0</v>
      </c>
      <c r="O84" s="293">
        <f>O34/2+O44+O41</f>
        <v>0</v>
      </c>
      <c r="P84" s="293">
        <f t="shared" ref="P84:CA84" si="257">P34/2+P44+P41</f>
        <v>0</v>
      </c>
      <c r="Q84" s="293">
        <f t="shared" si="257"/>
        <v>0</v>
      </c>
      <c r="R84" s="293">
        <f t="shared" si="257"/>
        <v>0</v>
      </c>
      <c r="S84" s="293">
        <f t="shared" si="257"/>
        <v>0</v>
      </c>
      <c r="T84" s="293">
        <f t="shared" si="257"/>
        <v>0</v>
      </c>
      <c r="U84" s="293">
        <f t="shared" si="257"/>
        <v>0</v>
      </c>
      <c r="V84" s="293">
        <f t="shared" si="257"/>
        <v>0</v>
      </c>
      <c r="W84" s="293">
        <f t="shared" si="257"/>
        <v>0</v>
      </c>
      <c r="X84" s="293">
        <f t="shared" si="257"/>
        <v>0</v>
      </c>
      <c r="Y84" s="293">
        <f t="shared" si="257"/>
        <v>0</v>
      </c>
      <c r="Z84" s="293">
        <f t="shared" si="257"/>
        <v>0</v>
      </c>
      <c r="AA84" s="293">
        <f t="shared" si="257"/>
        <v>0</v>
      </c>
      <c r="AB84" s="293">
        <f t="shared" si="257"/>
        <v>0</v>
      </c>
      <c r="AC84" s="293">
        <f t="shared" si="257"/>
        <v>0</v>
      </c>
      <c r="AD84" s="293">
        <f t="shared" si="257"/>
        <v>0</v>
      </c>
      <c r="AE84" s="293">
        <f t="shared" si="257"/>
        <v>0</v>
      </c>
      <c r="AF84" s="293">
        <f t="shared" si="257"/>
        <v>0</v>
      </c>
      <c r="AG84" s="293">
        <f t="shared" si="257"/>
        <v>0</v>
      </c>
      <c r="AH84" s="293">
        <f t="shared" si="257"/>
        <v>0</v>
      </c>
      <c r="AI84" s="293">
        <f t="shared" si="257"/>
        <v>0</v>
      </c>
      <c r="AJ84" s="293">
        <f t="shared" si="257"/>
        <v>0</v>
      </c>
      <c r="AK84" s="293">
        <f t="shared" si="257"/>
        <v>0</v>
      </c>
      <c r="AL84" s="293">
        <f t="shared" si="257"/>
        <v>0</v>
      </c>
      <c r="AM84" s="293">
        <f t="shared" si="257"/>
        <v>0</v>
      </c>
      <c r="AN84" s="293">
        <f t="shared" si="257"/>
        <v>0</v>
      </c>
      <c r="AO84" s="293">
        <f t="shared" si="257"/>
        <v>0</v>
      </c>
      <c r="AP84" s="293">
        <f t="shared" si="257"/>
        <v>0</v>
      </c>
      <c r="AQ84" s="293">
        <f t="shared" si="257"/>
        <v>0</v>
      </c>
      <c r="AR84" s="293">
        <f t="shared" si="257"/>
        <v>0</v>
      </c>
      <c r="AS84" s="293">
        <f t="shared" si="257"/>
        <v>0</v>
      </c>
      <c r="AT84" s="293">
        <f t="shared" si="257"/>
        <v>0</v>
      </c>
      <c r="AU84" s="293">
        <f t="shared" si="257"/>
        <v>0</v>
      </c>
      <c r="AV84" s="293">
        <f t="shared" si="257"/>
        <v>0</v>
      </c>
      <c r="AW84" s="293">
        <f t="shared" si="257"/>
        <v>0</v>
      </c>
      <c r="AX84" s="293">
        <f t="shared" si="257"/>
        <v>0</v>
      </c>
      <c r="AY84" s="293">
        <f t="shared" si="257"/>
        <v>0</v>
      </c>
      <c r="AZ84" s="293">
        <f t="shared" si="257"/>
        <v>0</v>
      </c>
      <c r="BA84" s="293">
        <f t="shared" si="257"/>
        <v>0</v>
      </c>
      <c r="BB84" s="293">
        <f t="shared" si="257"/>
        <v>0</v>
      </c>
      <c r="BC84" s="293">
        <f t="shared" si="257"/>
        <v>0</v>
      </c>
      <c r="BD84" s="293">
        <f t="shared" si="257"/>
        <v>0</v>
      </c>
      <c r="BE84" s="293">
        <f t="shared" si="257"/>
        <v>0</v>
      </c>
      <c r="BF84" s="293">
        <f t="shared" si="257"/>
        <v>0</v>
      </c>
      <c r="BG84" s="293">
        <f t="shared" si="257"/>
        <v>0</v>
      </c>
      <c r="BH84" s="293">
        <f t="shared" si="257"/>
        <v>0</v>
      </c>
      <c r="BI84" s="293">
        <f t="shared" si="257"/>
        <v>0</v>
      </c>
      <c r="BJ84" s="293">
        <f t="shared" si="257"/>
        <v>0</v>
      </c>
      <c r="BK84" s="293">
        <f t="shared" si="257"/>
        <v>0</v>
      </c>
      <c r="BL84" s="293">
        <f t="shared" si="257"/>
        <v>0</v>
      </c>
      <c r="BM84" s="293">
        <f t="shared" si="257"/>
        <v>0</v>
      </c>
      <c r="BN84" s="293">
        <f t="shared" si="257"/>
        <v>0</v>
      </c>
      <c r="BO84" s="293">
        <f t="shared" si="257"/>
        <v>0</v>
      </c>
      <c r="BP84" s="293">
        <f t="shared" si="257"/>
        <v>0</v>
      </c>
      <c r="BQ84" s="293">
        <f t="shared" si="257"/>
        <v>0</v>
      </c>
      <c r="BR84" s="293">
        <f t="shared" si="257"/>
        <v>0</v>
      </c>
      <c r="BS84" s="293">
        <f t="shared" si="257"/>
        <v>0</v>
      </c>
      <c r="BT84" s="293">
        <f t="shared" si="257"/>
        <v>0</v>
      </c>
      <c r="BU84" s="293">
        <f t="shared" si="257"/>
        <v>0</v>
      </c>
      <c r="BV84" s="293">
        <f t="shared" si="257"/>
        <v>0</v>
      </c>
      <c r="BW84" s="293">
        <f t="shared" si="257"/>
        <v>0</v>
      </c>
      <c r="BX84" s="293">
        <f t="shared" si="257"/>
        <v>0</v>
      </c>
      <c r="BY84" s="293">
        <f t="shared" si="257"/>
        <v>0</v>
      </c>
      <c r="BZ84" s="293">
        <f t="shared" si="257"/>
        <v>0</v>
      </c>
      <c r="CA84" s="293">
        <f t="shared" si="257"/>
        <v>0</v>
      </c>
      <c r="CB84" s="293">
        <f t="shared" ref="CB84:EM84" si="258">CB34/2+CB44+CB41</f>
        <v>0</v>
      </c>
      <c r="CC84" s="293">
        <f t="shared" si="258"/>
        <v>0</v>
      </c>
      <c r="CD84" s="293">
        <f t="shared" si="258"/>
        <v>0</v>
      </c>
      <c r="CE84" s="293">
        <f t="shared" si="258"/>
        <v>0</v>
      </c>
      <c r="CF84" s="293">
        <f t="shared" si="258"/>
        <v>0</v>
      </c>
      <c r="CG84" s="293">
        <f t="shared" si="258"/>
        <v>0</v>
      </c>
      <c r="CH84" s="293">
        <f t="shared" si="258"/>
        <v>0</v>
      </c>
      <c r="CI84" s="293">
        <f t="shared" si="258"/>
        <v>0</v>
      </c>
      <c r="CJ84" s="293">
        <f t="shared" si="258"/>
        <v>0</v>
      </c>
      <c r="CK84" s="293">
        <f t="shared" si="258"/>
        <v>0</v>
      </c>
      <c r="CL84" s="293">
        <f t="shared" si="258"/>
        <v>0</v>
      </c>
      <c r="CM84" s="293">
        <f t="shared" si="258"/>
        <v>0</v>
      </c>
      <c r="CN84" s="293">
        <f t="shared" si="258"/>
        <v>0</v>
      </c>
      <c r="CO84" s="293">
        <f t="shared" si="258"/>
        <v>0</v>
      </c>
      <c r="CP84" s="293">
        <f t="shared" si="258"/>
        <v>0</v>
      </c>
      <c r="CQ84" s="293">
        <f t="shared" si="258"/>
        <v>0</v>
      </c>
      <c r="CR84" s="293">
        <f t="shared" si="258"/>
        <v>0</v>
      </c>
      <c r="CS84" s="293">
        <f t="shared" si="258"/>
        <v>0</v>
      </c>
      <c r="CT84" s="293">
        <f t="shared" si="258"/>
        <v>0</v>
      </c>
      <c r="CU84" s="293">
        <f t="shared" si="258"/>
        <v>0</v>
      </c>
      <c r="CV84" s="293">
        <f t="shared" si="258"/>
        <v>0</v>
      </c>
      <c r="CW84" s="293">
        <f t="shared" si="258"/>
        <v>0</v>
      </c>
      <c r="CX84" s="293">
        <f t="shared" si="258"/>
        <v>0</v>
      </c>
      <c r="CY84" s="293">
        <f t="shared" si="258"/>
        <v>0</v>
      </c>
      <c r="CZ84" s="293">
        <f t="shared" si="258"/>
        <v>0</v>
      </c>
      <c r="DA84" s="293">
        <f t="shared" si="258"/>
        <v>0</v>
      </c>
      <c r="DB84" s="293">
        <f t="shared" si="258"/>
        <v>0</v>
      </c>
      <c r="DC84" s="293">
        <f t="shared" si="258"/>
        <v>0</v>
      </c>
      <c r="DD84" s="293">
        <f t="shared" si="258"/>
        <v>0</v>
      </c>
      <c r="DE84" s="293">
        <f t="shared" si="258"/>
        <v>0</v>
      </c>
      <c r="DF84" s="293">
        <f t="shared" si="258"/>
        <v>0</v>
      </c>
      <c r="DG84" s="293">
        <f t="shared" si="258"/>
        <v>0</v>
      </c>
      <c r="DH84" s="293">
        <f t="shared" si="258"/>
        <v>0</v>
      </c>
      <c r="DI84" s="293">
        <f t="shared" si="258"/>
        <v>0</v>
      </c>
      <c r="DJ84" s="293">
        <f t="shared" si="258"/>
        <v>0</v>
      </c>
      <c r="DK84" s="293">
        <f t="shared" si="258"/>
        <v>0</v>
      </c>
      <c r="DL84" s="293">
        <f t="shared" si="258"/>
        <v>0</v>
      </c>
      <c r="DM84" s="293">
        <f t="shared" si="258"/>
        <v>0</v>
      </c>
      <c r="DN84" s="293">
        <f t="shared" si="258"/>
        <v>0</v>
      </c>
      <c r="DO84" s="293">
        <f t="shared" si="258"/>
        <v>0</v>
      </c>
      <c r="DP84" s="293">
        <f t="shared" si="258"/>
        <v>0</v>
      </c>
      <c r="DQ84" s="293">
        <f t="shared" si="258"/>
        <v>0</v>
      </c>
      <c r="DR84" s="293">
        <f t="shared" si="258"/>
        <v>0</v>
      </c>
      <c r="DS84" s="293">
        <f t="shared" si="258"/>
        <v>0</v>
      </c>
      <c r="DT84" s="293">
        <f t="shared" si="258"/>
        <v>0</v>
      </c>
      <c r="DU84" s="293">
        <f t="shared" si="258"/>
        <v>0</v>
      </c>
      <c r="DV84" s="293">
        <f t="shared" si="258"/>
        <v>0</v>
      </c>
      <c r="DW84" s="293">
        <f t="shared" si="258"/>
        <v>0</v>
      </c>
      <c r="DX84" s="293">
        <f t="shared" si="258"/>
        <v>0</v>
      </c>
      <c r="DY84" s="293">
        <f t="shared" si="258"/>
        <v>0</v>
      </c>
      <c r="DZ84" s="293">
        <f t="shared" si="258"/>
        <v>0</v>
      </c>
      <c r="EA84" s="293">
        <f t="shared" si="258"/>
        <v>0</v>
      </c>
      <c r="EB84" s="293">
        <f t="shared" si="258"/>
        <v>0</v>
      </c>
      <c r="EC84" s="293">
        <f t="shared" si="258"/>
        <v>0</v>
      </c>
      <c r="ED84" s="293">
        <f t="shared" si="258"/>
        <v>0</v>
      </c>
      <c r="EE84" s="293">
        <f t="shared" si="258"/>
        <v>0</v>
      </c>
      <c r="EF84" s="293">
        <f t="shared" si="258"/>
        <v>0</v>
      </c>
      <c r="EG84" s="293">
        <f t="shared" si="258"/>
        <v>0</v>
      </c>
      <c r="EH84" s="293">
        <f t="shared" si="258"/>
        <v>0</v>
      </c>
      <c r="EI84" s="293">
        <f t="shared" si="258"/>
        <v>0</v>
      </c>
      <c r="EJ84" s="293">
        <f t="shared" si="258"/>
        <v>0</v>
      </c>
      <c r="EK84" s="293">
        <f t="shared" si="258"/>
        <v>0</v>
      </c>
      <c r="EL84" s="293">
        <f t="shared" si="258"/>
        <v>0</v>
      </c>
      <c r="EM84" s="293">
        <f t="shared" si="258"/>
        <v>0</v>
      </c>
      <c r="EN84" s="293">
        <f t="shared" ref="EN84:FJ84" si="259">EN34/2+EN44+EN41</f>
        <v>0</v>
      </c>
      <c r="EO84" s="293">
        <f t="shared" si="259"/>
        <v>0</v>
      </c>
      <c r="EP84" s="293">
        <f t="shared" si="259"/>
        <v>0</v>
      </c>
      <c r="EQ84" s="293">
        <f t="shared" si="259"/>
        <v>0</v>
      </c>
      <c r="ER84" s="293">
        <f t="shared" si="259"/>
        <v>0</v>
      </c>
      <c r="ES84" s="293">
        <f t="shared" si="259"/>
        <v>0</v>
      </c>
      <c r="ET84" s="293">
        <f t="shared" si="259"/>
        <v>0</v>
      </c>
      <c r="EU84" s="293">
        <f t="shared" si="259"/>
        <v>0</v>
      </c>
      <c r="EV84" s="293">
        <f t="shared" si="259"/>
        <v>0</v>
      </c>
      <c r="EW84" s="293">
        <f t="shared" si="259"/>
        <v>0</v>
      </c>
      <c r="EX84" s="293">
        <f t="shared" si="259"/>
        <v>0</v>
      </c>
      <c r="EY84" s="293">
        <f t="shared" si="259"/>
        <v>0</v>
      </c>
      <c r="EZ84" s="293">
        <f t="shared" si="259"/>
        <v>0</v>
      </c>
      <c r="FA84" s="293">
        <f t="shared" si="259"/>
        <v>0</v>
      </c>
      <c r="FB84" s="293">
        <f t="shared" si="259"/>
        <v>0</v>
      </c>
      <c r="FC84" s="293">
        <f t="shared" si="259"/>
        <v>0</v>
      </c>
      <c r="FD84" s="293">
        <f t="shared" si="259"/>
        <v>0</v>
      </c>
      <c r="FE84" s="293">
        <f t="shared" si="259"/>
        <v>0</v>
      </c>
      <c r="FF84" s="293">
        <f t="shared" si="259"/>
        <v>0</v>
      </c>
      <c r="FG84" s="293">
        <f t="shared" si="259"/>
        <v>0</v>
      </c>
      <c r="FH84" s="293">
        <f t="shared" si="259"/>
        <v>0</v>
      </c>
      <c r="FI84" s="293">
        <f t="shared" si="259"/>
        <v>0</v>
      </c>
      <c r="FJ84" s="293">
        <f t="shared" si="259"/>
        <v>0</v>
      </c>
      <c r="FK84" s="293">
        <f t="shared" ref="FK84:FY84" si="260">FK34/2+FK44+FK41</f>
        <v>0</v>
      </c>
      <c r="FL84" s="293">
        <f t="shared" si="260"/>
        <v>0</v>
      </c>
      <c r="FM84" s="293">
        <f t="shared" si="260"/>
        <v>0</v>
      </c>
      <c r="FN84" s="293">
        <f t="shared" si="260"/>
        <v>0</v>
      </c>
      <c r="FO84" s="293">
        <f t="shared" si="260"/>
        <v>0</v>
      </c>
      <c r="FP84" s="293">
        <f t="shared" si="260"/>
        <v>0</v>
      </c>
      <c r="FQ84" s="293">
        <f t="shared" si="260"/>
        <v>0</v>
      </c>
      <c r="FR84" s="293">
        <f t="shared" si="260"/>
        <v>0</v>
      </c>
      <c r="FS84" s="293">
        <f t="shared" si="260"/>
        <v>0</v>
      </c>
      <c r="FT84" s="293">
        <f t="shared" si="260"/>
        <v>0</v>
      </c>
      <c r="FU84" s="293">
        <f t="shared" si="260"/>
        <v>0</v>
      </c>
      <c r="FV84" s="293">
        <f t="shared" si="260"/>
        <v>0</v>
      </c>
      <c r="FW84" s="293">
        <f t="shared" si="260"/>
        <v>0</v>
      </c>
      <c r="FX84" s="293">
        <f t="shared" si="260"/>
        <v>0</v>
      </c>
      <c r="FY84" s="293">
        <f t="shared" si="260"/>
        <v>0</v>
      </c>
      <c r="FZ84" s="293">
        <f t="shared" ref="FZ84:GN84" si="261">FZ34/2+FZ44+FZ41</f>
        <v>0</v>
      </c>
      <c r="GA84" s="293">
        <f t="shared" si="261"/>
        <v>0</v>
      </c>
      <c r="GB84" s="293">
        <f t="shared" si="261"/>
        <v>0</v>
      </c>
      <c r="GC84" s="293">
        <f t="shared" si="261"/>
        <v>0</v>
      </c>
      <c r="GD84" s="293">
        <f t="shared" si="261"/>
        <v>0</v>
      </c>
      <c r="GE84" s="293">
        <f t="shared" si="261"/>
        <v>0</v>
      </c>
      <c r="GF84" s="293">
        <f t="shared" si="261"/>
        <v>0</v>
      </c>
      <c r="GG84" s="293">
        <f t="shared" si="261"/>
        <v>0</v>
      </c>
      <c r="GH84" s="293">
        <f t="shared" si="261"/>
        <v>0</v>
      </c>
      <c r="GI84" s="293">
        <f t="shared" si="261"/>
        <v>0</v>
      </c>
      <c r="GJ84" s="293">
        <f t="shared" si="261"/>
        <v>0</v>
      </c>
      <c r="GK84" s="293">
        <f t="shared" si="261"/>
        <v>0</v>
      </c>
      <c r="GL84" s="293">
        <f t="shared" si="261"/>
        <v>0</v>
      </c>
      <c r="GM84" s="293">
        <f t="shared" si="261"/>
        <v>0</v>
      </c>
      <c r="GN84" s="293">
        <f t="shared" si="261"/>
        <v>0</v>
      </c>
      <c r="GO84" s="293">
        <f t="shared" ref="GO84:HT84" si="262">GO34/2+GO44+GO41</f>
        <v>0</v>
      </c>
      <c r="GP84" s="293">
        <f t="shared" si="262"/>
        <v>0</v>
      </c>
      <c r="GQ84" s="293">
        <f t="shared" si="262"/>
        <v>0</v>
      </c>
      <c r="GR84" s="293">
        <f t="shared" si="262"/>
        <v>0</v>
      </c>
      <c r="GS84" s="293">
        <f t="shared" si="262"/>
        <v>0</v>
      </c>
      <c r="GT84" s="293">
        <f t="shared" si="262"/>
        <v>0</v>
      </c>
      <c r="GU84" s="293">
        <f t="shared" si="262"/>
        <v>0</v>
      </c>
      <c r="GV84" s="293">
        <f t="shared" si="262"/>
        <v>0</v>
      </c>
      <c r="GW84" s="293">
        <f t="shared" si="262"/>
        <v>87.5</v>
      </c>
      <c r="GX84" s="293">
        <f t="shared" si="262"/>
        <v>0</v>
      </c>
      <c r="GY84" s="293">
        <f t="shared" si="262"/>
        <v>0</v>
      </c>
      <c r="GZ84" s="293">
        <f t="shared" si="262"/>
        <v>0</v>
      </c>
      <c r="HA84" s="293">
        <f t="shared" si="262"/>
        <v>0</v>
      </c>
      <c r="HB84" s="293">
        <f t="shared" si="262"/>
        <v>0</v>
      </c>
      <c r="HC84" s="293">
        <f t="shared" si="262"/>
        <v>0</v>
      </c>
      <c r="HD84" s="293">
        <f t="shared" si="262"/>
        <v>5</v>
      </c>
      <c r="HE84" s="293">
        <f t="shared" si="262"/>
        <v>0</v>
      </c>
      <c r="HF84" s="293">
        <f t="shared" si="262"/>
        <v>0</v>
      </c>
      <c r="HG84" s="293">
        <f t="shared" si="262"/>
        <v>0</v>
      </c>
      <c r="HH84" s="293">
        <f t="shared" si="262"/>
        <v>0</v>
      </c>
      <c r="HI84" s="293">
        <f t="shared" si="262"/>
        <v>0</v>
      </c>
      <c r="HJ84" s="293">
        <f t="shared" si="262"/>
        <v>0</v>
      </c>
      <c r="HK84" s="293">
        <f t="shared" si="262"/>
        <v>0</v>
      </c>
      <c r="HL84" s="293">
        <f t="shared" si="262"/>
        <v>0</v>
      </c>
      <c r="HM84" s="293">
        <f t="shared" si="262"/>
        <v>0</v>
      </c>
      <c r="HN84" s="293">
        <f t="shared" si="262"/>
        <v>0</v>
      </c>
      <c r="HO84" s="293">
        <f t="shared" si="262"/>
        <v>0</v>
      </c>
      <c r="HP84" s="293">
        <f t="shared" si="262"/>
        <v>0</v>
      </c>
      <c r="HQ84" s="293">
        <f t="shared" si="262"/>
        <v>0</v>
      </c>
      <c r="HR84" s="293">
        <f t="shared" si="262"/>
        <v>0</v>
      </c>
      <c r="HS84" s="293">
        <f t="shared" si="262"/>
        <v>0</v>
      </c>
      <c r="HT84" s="293">
        <f t="shared" si="262"/>
        <v>0</v>
      </c>
    </row>
    <row r="86" spans="2:229" x14ac:dyDescent="0.25">
      <c r="B86" s="495" t="s">
        <v>115</v>
      </c>
      <c r="C86" s="386" t="s">
        <v>79</v>
      </c>
      <c r="E86" s="194">
        <f>E31+E32+E34+E35+E36</f>
        <v>0</v>
      </c>
      <c r="F86" s="194">
        <f t="shared" ref="F86:N86" si="263">F31+F32+F34+F35+F36</f>
        <v>0</v>
      </c>
      <c r="G86" s="194">
        <f t="shared" si="263"/>
        <v>0</v>
      </c>
      <c r="H86" s="194">
        <f t="shared" si="263"/>
        <v>0</v>
      </c>
      <c r="I86" s="194">
        <f t="shared" si="263"/>
        <v>0</v>
      </c>
      <c r="J86" s="194">
        <f t="shared" si="263"/>
        <v>0</v>
      </c>
      <c r="K86" s="194">
        <f t="shared" si="263"/>
        <v>0</v>
      </c>
      <c r="L86" s="194">
        <f t="shared" si="263"/>
        <v>0</v>
      </c>
      <c r="M86" s="194">
        <f t="shared" si="263"/>
        <v>0</v>
      </c>
      <c r="N86" s="194">
        <f t="shared" si="263"/>
        <v>0</v>
      </c>
      <c r="O86" s="194">
        <f>O47+O48+O50+O51+O52</f>
        <v>0</v>
      </c>
      <c r="P86" s="194">
        <f t="shared" ref="P86:CA86" si="264">P47+P48+P50+P51+P52</f>
        <v>0</v>
      </c>
      <c r="Q86" s="194">
        <f t="shared" si="264"/>
        <v>0</v>
      </c>
      <c r="R86" s="194">
        <f t="shared" si="264"/>
        <v>0</v>
      </c>
      <c r="S86" s="194">
        <f t="shared" si="264"/>
        <v>0</v>
      </c>
      <c r="T86" s="194">
        <f t="shared" si="264"/>
        <v>0</v>
      </c>
      <c r="U86" s="194">
        <f t="shared" si="264"/>
        <v>0</v>
      </c>
      <c r="V86" s="194">
        <f t="shared" si="264"/>
        <v>0</v>
      </c>
      <c r="W86" s="194">
        <f t="shared" si="264"/>
        <v>0</v>
      </c>
      <c r="X86" s="194">
        <f t="shared" si="264"/>
        <v>0</v>
      </c>
      <c r="Y86" s="194">
        <f t="shared" si="264"/>
        <v>0</v>
      </c>
      <c r="Z86" s="194">
        <f t="shared" si="264"/>
        <v>0</v>
      </c>
      <c r="AA86" s="194">
        <f t="shared" si="264"/>
        <v>0</v>
      </c>
      <c r="AB86" s="194">
        <f t="shared" si="264"/>
        <v>0</v>
      </c>
      <c r="AC86" s="194">
        <f t="shared" si="264"/>
        <v>0</v>
      </c>
      <c r="AD86" s="194">
        <f t="shared" si="264"/>
        <v>0</v>
      </c>
      <c r="AE86" s="194">
        <f t="shared" si="264"/>
        <v>0</v>
      </c>
      <c r="AF86" s="194">
        <f t="shared" si="264"/>
        <v>0</v>
      </c>
      <c r="AG86" s="194">
        <f t="shared" si="264"/>
        <v>0</v>
      </c>
      <c r="AH86" s="194">
        <f t="shared" si="264"/>
        <v>0</v>
      </c>
      <c r="AI86" s="194">
        <f t="shared" si="264"/>
        <v>0</v>
      </c>
      <c r="AJ86" s="194">
        <f t="shared" si="264"/>
        <v>0</v>
      </c>
      <c r="AK86" s="194">
        <f t="shared" si="264"/>
        <v>0</v>
      </c>
      <c r="AL86" s="194">
        <f t="shared" si="264"/>
        <v>0</v>
      </c>
      <c r="AM86" s="194">
        <f t="shared" si="264"/>
        <v>0</v>
      </c>
      <c r="AN86" s="194">
        <f t="shared" si="264"/>
        <v>0</v>
      </c>
      <c r="AO86" s="194">
        <f t="shared" si="264"/>
        <v>0</v>
      </c>
      <c r="AP86" s="194">
        <f t="shared" si="264"/>
        <v>0</v>
      </c>
      <c r="AQ86" s="194">
        <f t="shared" si="264"/>
        <v>0</v>
      </c>
      <c r="AR86" s="194">
        <f t="shared" si="264"/>
        <v>0</v>
      </c>
      <c r="AS86" s="194">
        <f t="shared" si="264"/>
        <v>0</v>
      </c>
      <c r="AT86" s="194">
        <f t="shared" si="264"/>
        <v>0</v>
      </c>
      <c r="AU86" s="194">
        <f t="shared" si="264"/>
        <v>0</v>
      </c>
      <c r="AV86" s="194">
        <f t="shared" si="264"/>
        <v>0</v>
      </c>
      <c r="AW86" s="194">
        <f t="shared" si="264"/>
        <v>0</v>
      </c>
      <c r="AX86" s="194">
        <f t="shared" si="264"/>
        <v>0</v>
      </c>
      <c r="AY86" s="194">
        <f t="shared" si="264"/>
        <v>0</v>
      </c>
      <c r="AZ86" s="194">
        <f t="shared" si="264"/>
        <v>0</v>
      </c>
      <c r="BA86" s="194">
        <f t="shared" si="264"/>
        <v>0</v>
      </c>
      <c r="BB86" s="194">
        <f t="shared" si="264"/>
        <v>0</v>
      </c>
      <c r="BC86" s="194">
        <f t="shared" si="264"/>
        <v>0</v>
      </c>
      <c r="BD86" s="194">
        <f t="shared" si="264"/>
        <v>0</v>
      </c>
      <c r="BE86" s="194">
        <f t="shared" si="264"/>
        <v>0</v>
      </c>
      <c r="BF86" s="194">
        <f t="shared" si="264"/>
        <v>0</v>
      </c>
      <c r="BG86" s="194">
        <f t="shared" si="264"/>
        <v>0</v>
      </c>
      <c r="BH86" s="194">
        <f t="shared" si="264"/>
        <v>0</v>
      </c>
      <c r="BI86" s="194">
        <f t="shared" si="264"/>
        <v>0</v>
      </c>
      <c r="BJ86" s="194">
        <f t="shared" si="264"/>
        <v>0</v>
      </c>
      <c r="BK86" s="194">
        <f t="shared" si="264"/>
        <v>0</v>
      </c>
      <c r="BL86" s="194">
        <f t="shared" si="264"/>
        <v>0</v>
      </c>
      <c r="BM86" s="194">
        <f t="shared" si="264"/>
        <v>0</v>
      </c>
      <c r="BN86" s="194">
        <f t="shared" si="264"/>
        <v>0</v>
      </c>
      <c r="BO86" s="194">
        <f t="shared" si="264"/>
        <v>0</v>
      </c>
      <c r="BP86" s="194">
        <f t="shared" si="264"/>
        <v>0</v>
      </c>
      <c r="BQ86" s="194">
        <f t="shared" si="264"/>
        <v>0</v>
      </c>
      <c r="BR86" s="194">
        <f t="shared" si="264"/>
        <v>0</v>
      </c>
      <c r="BS86" s="194">
        <f t="shared" si="264"/>
        <v>0</v>
      </c>
      <c r="BT86" s="194">
        <f t="shared" si="264"/>
        <v>0</v>
      </c>
      <c r="BU86" s="194">
        <f t="shared" si="264"/>
        <v>0</v>
      </c>
      <c r="BV86" s="194">
        <f t="shared" si="264"/>
        <v>0</v>
      </c>
      <c r="BW86" s="194">
        <f t="shared" si="264"/>
        <v>0</v>
      </c>
      <c r="BX86" s="194">
        <f t="shared" si="264"/>
        <v>0</v>
      </c>
      <c r="BY86" s="194">
        <f t="shared" si="264"/>
        <v>0</v>
      </c>
      <c r="BZ86" s="194">
        <f t="shared" si="264"/>
        <v>0</v>
      </c>
      <c r="CA86" s="194">
        <f t="shared" si="264"/>
        <v>0</v>
      </c>
      <c r="CB86" s="194">
        <f t="shared" ref="CB86:EM86" si="265">CB47+CB48+CB50+CB51+CB52</f>
        <v>0</v>
      </c>
      <c r="CC86" s="194">
        <f t="shared" si="265"/>
        <v>0</v>
      </c>
      <c r="CD86" s="194">
        <f t="shared" si="265"/>
        <v>0</v>
      </c>
      <c r="CE86" s="194">
        <f t="shared" si="265"/>
        <v>0</v>
      </c>
      <c r="CF86" s="194">
        <f t="shared" si="265"/>
        <v>0</v>
      </c>
      <c r="CG86" s="194">
        <f t="shared" si="265"/>
        <v>0</v>
      </c>
      <c r="CH86" s="194">
        <f t="shared" si="265"/>
        <v>0</v>
      </c>
      <c r="CI86" s="194">
        <f t="shared" si="265"/>
        <v>0</v>
      </c>
      <c r="CJ86" s="194">
        <f t="shared" si="265"/>
        <v>0</v>
      </c>
      <c r="CK86" s="194">
        <f t="shared" si="265"/>
        <v>0</v>
      </c>
      <c r="CL86" s="194">
        <f t="shared" si="265"/>
        <v>0</v>
      </c>
      <c r="CM86" s="194">
        <f t="shared" si="265"/>
        <v>0</v>
      </c>
      <c r="CN86" s="194">
        <f t="shared" si="265"/>
        <v>0</v>
      </c>
      <c r="CO86" s="194">
        <f t="shared" si="265"/>
        <v>0</v>
      </c>
      <c r="CP86" s="194">
        <f t="shared" si="265"/>
        <v>0</v>
      </c>
      <c r="CQ86" s="194">
        <f t="shared" si="265"/>
        <v>0</v>
      </c>
      <c r="CR86" s="194">
        <f t="shared" si="265"/>
        <v>0</v>
      </c>
      <c r="CS86" s="194">
        <f t="shared" si="265"/>
        <v>0</v>
      </c>
      <c r="CT86" s="194">
        <f t="shared" si="265"/>
        <v>0</v>
      </c>
      <c r="CU86" s="194">
        <f t="shared" si="265"/>
        <v>0</v>
      </c>
      <c r="CV86" s="194">
        <f t="shared" si="265"/>
        <v>0</v>
      </c>
      <c r="CW86" s="194">
        <f t="shared" si="265"/>
        <v>0</v>
      </c>
      <c r="CX86" s="194">
        <f t="shared" si="265"/>
        <v>0</v>
      </c>
      <c r="CY86" s="194">
        <f t="shared" si="265"/>
        <v>0</v>
      </c>
      <c r="CZ86" s="194">
        <f t="shared" si="265"/>
        <v>0</v>
      </c>
      <c r="DA86" s="194">
        <f t="shared" si="265"/>
        <v>0</v>
      </c>
      <c r="DB86" s="194">
        <f t="shared" si="265"/>
        <v>0</v>
      </c>
      <c r="DC86" s="194">
        <f t="shared" si="265"/>
        <v>0</v>
      </c>
      <c r="DD86" s="194">
        <f t="shared" si="265"/>
        <v>0</v>
      </c>
      <c r="DE86" s="194">
        <f t="shared" si="265"/>
        <v>0</v>
      </c>
      <c r="DF86" s="194">
        <f t="shared" si="265"/>
        <v>0</v>
      </c>
      <c r="DG86" s="194">
        <f t="shared" si="265"/>
        <v>0</v>
      </c>
      <c r="DH86" s="194">
        <f t="shared" si="265"/>
        <v>0</v>
      </c>
      <c r="DI86" s="194">
        <f t="shared" si="265"/>
        <v>0</v>
      </c>
      <c r="DJ86" s="194">
        <f t="shared" si="265"/>
        <v>0</v>
      </c>
      <c r="DK86" s="194">
        <f t="shared" si="265"/>
        <v>0</v>
      </c>
      <c r="DL86" s="194">
        <f t="shared" si="265"/>
        <v>0</v>
      </c>
      <c r="DM86" s="194">
        <f t="shared" si="265"/>
        <v>0</v>
      </c>
      <c r="DN86" s="194">
        <f t="shared" si="265"/>
        <v>0</v>
      </c>
      <c r="DO86" s="194">
        <f t="shared" si="265"/>
        <v>0</v>
      </c>
      <c r="DP86" s="194">
        <f t="shared" si="265"/>
        <v>0</v>
      </c>
      <c r="DQ86" s="194">
        <f t="shared" si="265"/>
        <v>0</v>
      </c>
      <c r="DR86" s="194">
        <f t="shared" si="265"/>
        <v>0</v>
      </c>
      <c r="DS86" s="194">
        <f t="shared" si="265"/>
        <v>0</v>
      </c>
      <c r="DT86" s="194">
        <f t="shared" si="265"/>
        <v>0</v>
      </c>
      <c r="DU86" s="194">
        <f t="shared" si="265"/>
        <v>0</v>
      </c>
      <c r="DV86" s="194">
        <f t="shared" si="265"/>
        <v>0</v>
      </c>
      <c r="DW86" s="194">
        <f t="shared" si="265"/>
        <v>0</v>
      </c>
      <c r="DX86" s="194">
        <f t="shared" si="265"/>
        <v>0</v>
      </c>
      <c r="DY86" s="194">
        <f t="shared" si="265"/>
        <v>0</v>
      </c>
      <c r="DZ86" s="194">
        <f t="shared" si="265"/>
        <v>0</v>
      </c>
      <c r="EA86" s="194">
        <f t="shared" si="265"/>
        <v>0</v>
      </c>
      <c r="EB86" s="194">
        <f t="shared" si="265"/>
        <v>0</v>
      </c>
      <c r="EC86" s="194">
        <f t="shared" si="265"/>
        <v>0</v>
      </c>
      <c r="ED86" s="194">
        <f t="shared" si="265"/>
        <v>0</v>
      </c>
      <c r="EE86" s="194">
        <f t="shared" si="265"/>
        <v>0</v>
      </c>
      <c r="EF86" s="194">
        <f t="shared" si="265"/>
        <v>0</v>
      </c>
      <c r="EG86" s="194">
        <f t="shared" si="265"/>
        <v>0</v>
      </c>
      <c r="EH86" s="194">
        <f t="shared" si="265"/>
        <v>0</v>
      </c>
      <c r="EI86" s="194">
        <f t="shared" si="265"/>
        <v>0</v>
      </c>
      <c r="EJ86" s="194">
        <f t="shared" si="265"/>
        <v>0</v>
      </c>
      <c r="EK86" s="194">
        <f t="shared" si="265"/>
        <v>0</v>
      </c>
      <c r="EL86" s="194">
        <f t="shared" si="265"/>
        <v>0</v>
      </c>
      <c r="EM86" s="194">
        <f t="shared" si="265"/>
        <v>0</v>
      </c>
      <c r="EN86" s="194">
        <f t="shared" ref="EN86:FJ86" si="266">EN47+EN48+EN50+EN51+EN52</f>
        <v>0</v>
      </c>
      <c r="EO86" s="194">
        <f t="shared" si="266"/>
        <v>0</v>
      </c>
      <c r="EP86" s="194">
        <f t="shared" si="266"/>
        <v>0</v>
      </c>
      <c r="EQ86" s="194">
        <f t="shared" si="266"/>
        <v>0</v>
      </c>
      <c r="ER86" s="194">
        <f t="shared" si="266"/>
        <v>0</v>
      </c>
      <c r="ES86" s="194">
        <f t="shared" si="266"/>
        <v>0</v>
      </c>
      <c r="ET86" s="194">
        <f t="shared" si="266"/>
        <v>0</v>
      </c>
      <c r="EU86" s="194">
        <f t="shared" si="266"/>
        <v>30</v>
      </c>
      <c r="EV86" s="194">
        <f t="shared" si="266"/>
        <v>0</v>
      </c>
      <c r="EW86" s="194">
        <f t="shared" si="266"/>
        <v>0</v>
      </c>
      <c r="EX86" s="194">
        <f t="shared" si="266"/>
        <v>0</v>
      </c>
      <c r="EY86" s="194">
        <f t="shared" si="266"/>
        <v>0</v>
      </c>
      <c r="EZ86" s="194">
        <f t="shared" si="266"/>
        <v>0</v>
      </c>
      <c r="FA86" s="194">
        <f t="shared" si="266"/>
        <v>0</v>
      </c>
      <c r="FB86" s="194">
        <f t="shared" si="266"/>
        <v>0</v>
      </c>
      <c r="FC86" s="194">
        <f t="shared" si="266"/>
        <v>0</v>
      </c>
      <c r="FD86" s="194">
        <f t="shared" si="266"/>
        <v>0</v>
      </c>
      <c r="FE86" s="194">
        <f t="shared" si="266"/>
        <v>0</v>
      </c>
      <c r="FF86" s="194">
        <f t="shared" si="266"/>
        <v>0</v>
      </c>
      <c r="FG86" s="194">
        <f t="shared" si="266"/>
        <v>0</v>
      </c>
      <c r="FH86" s="194">
        <f t="shared" si="266"/>
        <v>0</v>
      </c>
      <c r="FI86" s="194">
        <f t="shared" si="266"/>
        <v>0</v>
      </c>
      <c r="FJ86" s="194">
        <f t="shared" si="266"/>
        <v>0</v>
      </c>
      <c r="FK86" s="194">
        <f t="shared" ref="FK86:FY86" si="267">FK47+FK48+FK50+FK51+FK52</f>
        <v>0</v>
      </c>
      <c r="FL86" s="194">
        <f t="shared" si="267"/>
        <v>0</v>
      </c>
      <c r="FM86" s="194">
        <f t="shared" si="267"/>
        <v>0</v>
      </c>
      <c r="FN86" s="194">
        <f t="shared" si="267"/>
        <v>0</v>
      </c>
      <c r="FO86" s="194">
        <f t="shared" si="267"/>
        <v>0</v>
      </c>
      <c r="FP86" s="194">
        <f t="shared" si="267"/>
        <v>0</v>
      </c>
      <c r="FQ86" s="194">
        <f t="shared" si="267"/>
        <v>0</v>
      </c>
      <c r="FR86" s="194">
        <f t="shared" si="267"/>
        <v>0</v>
      </c>
      <c r="FS86" s="194">
        <f t="shared" si="267"/>
        <v>0</v>
      </c>
      <c r="FT86" s="194">
        <f t="shared" si="267"/>
        <v>0</v>
      </c>
      <c r="FU86" s="194">
        <f t="shared" si="267"/>
        <v>0</v>
      </c>
      <c r="FV86" s="194">
        <f t="shared" si="267"/>
        <v>0</v>
      </c>
      <c r="FW86" s="194">
        <f t="shared" si="267"/>
        <v>0</v>
      </c>
      <c r="FX86" s="194">
        <f t="shared" si="267"/>
        <v>0</v>
      </c>
      <c r="FY86" s="194">
        <f t="shared" si="267"/>
        <v>0</v>
      </c>
      <c r="FZ86" s="194">
        <f t="shared" ref="FZ86:GN86" si="268">FZ47+FZ48+FZ50+FZ51+FZ52</f>
        <v>0</v>
      </c>
      <c r="GA86" s="194">
        <f t="shared" si="268"/>
        <v>0</v>
      </c>
      <c r="GB86" s="194">
        <f t="shared" si="268"/>
        <v>0</v>
      </c>
      <c r="GC86" s="194">
        <f t="shared" si="268"/>
        <v>0</v>
      </c>
      <c r="GD86" s="194">
        <f t="shared" si="268"/>
        <v>0</v>
      </c>
      <c r="GE86" s="194">
        <f t="shared" si="268"/>
        <v>0</v>
      </c>
      <c r="GF86" s="194">
        <f t="shared" si="268"/>
        <v>0</v>
      </c>
      <c r="GG86" s="194">
        <f t="shared" si="268"/>
        <v>0</v>
      </c>
      <c r="GH86" s="194">
        <f t="shared" si="268"/>
        <v>0</v>
      </c>
      <c r="GI86" s="194">
        <f t="shared" si="268"/>
        <v>0</v>
      </c>
      <c r="GJ86" s="194">
        <f t="shared" si="268"/>
        <v>0</v>
      </c>
      <c r="GK86" s="194">
        <f t="shared" si="268"/>
        <v>0</v>
      </c>
      <c r="GL86" s="194">
        <f t="shared" si="268"/>
        <v>0</v>
      </c>
      <c r="GM86" s="194">
        <f t="shared" si="268"/>
        <v>0</v>
      </c>
      <c r="GN86" s="194">
        <f t="shared" si="268"/>
        <v>0</v>
      </c>
      <c r="GO86" s="194">
        <f t="shared" ref="GO86:HT86" si="269">GO47+GO48+GO50+GO51+GO52</f>
        <v>0</v>
      </c>
      <c r="GP86" s="194">
        <f t="shared" si="269"/>
        <v>0</v>
      </c>
      <c r="GQ86" s="194">
        <f t="shared" si="269"/>
        <v>0</v>
      </c>
      <c r="GR86" s="194">
        <f t="shared" si="269"/>
        <v>50</v>
      </c>
      <c r="GS86" s="194">
        <f t="shared" si="269"/>
        <v>0</v>
      </c>
      <c r="GT86" s="194">
        <f t="shared" si="269"/>
        <v>0</v>
      </c>
      <c r="GU86" s="194">
        <f t="shared" si="269"/>
        <v>0</v>
      </c>
      <c r="GV86" s="194">
        <f t="shared" si="269"/>
        <v>0</v>
      </c>
      <c r="GW86" s="194">
        <f t="shared" si="269"/>
        <v>0</v>
      </c>
      <c r="GX86" s="194">
        <f t="shared" si="269"/>
        <v>0</v>
      </c>
      <c r="GY86" s="194">
        <f t="shared" si="269"/>
        <v>0</v>
      </c>
      <c r="GZ86" s="194">
        <f t="shared" si="269"/>
        <v>0</v>
      </c>
      <c r="HA86" s="194">
        <f t="shared" si="269"/>
        <v>0</v>
      </c>
      <c r="HB86" s="194">
        <f t="shared" si="269"/>
        <v>0</v>
      </c>
      <c r="HC86" s="194">
        <f t="shared" si="269"/>
        <v>0</v>
      </c>
      <c r="HD86" s="194">
        <f t="shared" si="269"/>
        <v>0</v>
      </c>
      <c r="HE86" s="194">
        <f t="shared" si="269"/>
        <v>0</v>
      </c>
      <c r="HF86" s="194">
        <f t="shared" si="269"/>
        <v>0</v>
      </c>
      <c r="HG86" s="194">
        <f t="shared" si="269"/>
        <v>0</v>
      </c>
      <c r="HH86" s="194">
        <f t="shared" si="269"/>
        <v>0</v>
      </c>
      <c r="HI86" s="194">
        <f t="shared" si="269"/>
        <v>0</v>
      </c>
      <c r="HJ86" s="194">
        <f t="shared" si="269"/>
        <v>0</v>
      </c>
      <c r="HK86" s="194">
        <f t="shared" si="269"/>
        <v>0</v>
      </c>
      <c r="HL86" s="194">
        <f t="shared" si="269"/>
        <v>0</v>
      </c>
      <c r="HM86" s="194">
        <f t="shared" si="269"/>
        <v>0</v>
      </c>
      <c r="HN86" s="194">
        <f t="shared" si="269"/>
        <v>0</v>
      </c>
      <c r="HO86" s="194">
        <f t="shared" si="269"/>
        <v>0</v>
      </c>
      <c r="HP86" s="194">
        <f t="shared" si="269"/>
        <v>0</v>
      </c>
      <c r="HQ86" s="194">
        <f t="shared" si="269"/>
        <v>0</v>
      </c>
      <c r="HR86" s="194">
        <f t="shared" si="269"/>
        <v>0</v>
      </c>
      <c r="HS86" s="194">
        <f t="shared" si="269"/>
        <v>0</v>
      </c>
      <c r="HT86" s="194">
        <f t="shared" si="269"/>
        <v>0</v>
      </c>
    </row>
    <row r="87" spans="2:229" x14ac:dyDescent="0.25">
      <c r="B87" s="495"/>
      <c r="C87" s="386" t="s">
        <v>80</v>
      </c>
      <c r="E87" s="194">
        <f>E30/2+E33+E38+E39</f>
        <v>0</v>
      </c>
      <c r="F87" s="194">
        <f t="shared" ref="F87:N87" si="270">F30/2+F33+F38+F39</f>
        <v>0</v>
      </c>
      <c r="G87" s="194">
        <f t="shared" si="270"/>
        <v>0</v>
      </c>
      <c r="H87" s="194">
        <f t="shared" si="270"/>
        <v>0</v>
      </c>
      <c r="I87" s="194">
        <f t="shared" si="270"/>
        <v>0</v>
      </c>
      <c r="J87" s="194">
        <f t="shared" si="270"/>
        <v>0</v>
      </c>
      <c r="K87" s="194">
        <f t="shared" si="270"/>
        <v>0</v>
      </c>
      <c r="L87" s="194">
        <f t="shared" si="270"/>
        <v>0</v>
      </c>
      <c r="M87" s="194">
        <f t="shared" si="270"/>
        <v>0</v>
      </c>
      <c r="N87" s="194">
        <f t="shared" si="270"/>
        <v>0</v>
      </c>
      <c r="O87" s="292">
        <f>O49/2+O46+O55+O54</f>
        <v>0</v>
      </c>
      <c r="P87" s="292">
        <f t="shared" ref="P87:CA87" si="271">P49/2+P46+P55+P54</f>
        <v>0</v>
      </c>
      <c r="Q87" s="292">
        <f t="shared" si="271"/>
        <v>0</v>
      </c>
      <c r="R87" s="292">
        <f t="shared" si="271"/>
        <v>0</v>
      </c>
      <c r="S87" s="292">
        <f t="shared" si="271"/>
        <v>0</v>
      </c>
      <c r="T87" s="292">
        <f t="shared" si="271"/>
        <v>0</v>
      </c>
      <c r="U87" s="292">
        <f t="shared" si="271"/>
        <v>0</v>
      </c>
      <c r="V87" s="292">
        <f t="shared" si="271"/>
        <v>0</v>
      </c>
      <c r="W87" s="292">
        <f t="shared" si="271"/>
        <v>0</v>
      </c>
      <c r="X87" s="292">
        <f t="shared" si="271"/>
        <v>0</v>
      </c>
      <c r="Y87" s="292">
        <f t="shared" si="271"/>
        <v>0</v>
      </c>
      <c r="Z87" s="292">
        <f t="shared" si="271"/>
        <v>0</v>
      </c>
      <c r="AA87" s="292">
        <f t="shared" si="271"/>
        <v>0</v>
      </c>
      <c r="AB87" s="292">
        <f t="shared" si="271"/>
        <v>0</v>
      </c>
      <c r="AC87" s="292">
        <f t="shared" si="271"/>
        <v>0</v>
      </c>
      <c r="AD87" s="292">
        <f t="shared" si="271"/>
        <v>0</v>
      </c>
      <c r="AE87" s="292">
        <f t="shared" si="271"/>
        <v>0</v>
      </c>
      <c r="AF87" s="292">
        <f t="shared" si="271"/>
        <v>0</v>
      </c>
      <c r="AG87" s="292">
        <f t="shared" si="271"/>
        <v>0</v>
      </c>
      <c r="AH87" s="292">
        <f t="shared" si="271"/>
        <v>0</v>
      </c>
      <c r="AI87" s="292">
        <f t="shared" si="271"/>
        <v>0</v>
      </c>
      <c r="AJ87" s="292">
        <f t="shared" si="271"/>
        <v>0</v>
      </c>
      <c r="AK87" s="292">
        <f t="shared" si="271"/>
        <v>0</v>
      </c>
      <c r="AL87" s="292">
        <f t="shared" si="271"/>
        <v>0</v>
      </c>
      <c r="AM87" s="292">
        <f t="shared" si="271"/>
        <v>0</v>
      </c>
      <c r="AN87" s="292">
        <f t="shared" si="271"/>
        <v>0</v>
      </c>
      <c r="AO87" s="292">
        <f t="shared" si="271"/>
        <v>0</v>
      </c>
      <c r="AP87" s="292">
        <f t="shared" si="271"/>
        <v>0</v>
      </c>
      <c r="AQ87" s="292">
        <f t="shared" si="271"/>
        <v>0</v>
      </c>
      <c r="AR87" s="292">
        <f t="shared" si="271"/>
        <v>0</v>
      </c>
      <c r="AS87" s="292">
        <f t="shared" si="271"/>
        <v>0</v>
      </c>
      <c r="AT87" s="292">
        <f t="shared" si="271"/>
        <v>0</v>
      </c>
      <c r="AU87" s="292">
        <f t="shared" si="271"/>
        <v>0</v>
      </c>
      <c r="AV87" s="292">
        <f t="shared" si="271"/>
        <v>0</v>
      </c>
      <c r="AW87" s="292">
        <f t="shared" si="271"/>
        <v>0</v>
      </c>
      <c r="AX87" s="292">
        <f t="shared" si="271"/>
        <v>0</v>
      </c>
      <c r="AY87" s="292">
        <f t="shared" si="271"/>
        <v>0</v>
      </c>
      <c r="AZ87" s="292">
        <f t="shared" si="271"/>
        <v>0</v>
      </c>
      <c r="BA87" s="292">
        <f t="shared" si="271"/>
        <v>0</v>
      </c>
      <c r="BB87" s="292">
        <f t="shared" si="271"/>
        <v>0</v>
      </c>
      <c r="BC87" s="292">
        <f t="shared" si="271"/>
        <v>0</v>
      </c>
      <c r="BD87" s="292">
        <f t="shared" si="271"/>
        <v>0</v>
      </c>
      <c r="BE87" s="292">
        <f t="shared" si="271"/>
        <v>0</v>
      </c>
      <c r="BF87" s="292">
        <f t="shared" si="271"/>
        <v>0</v>
      </c>
      <c r="BG87" s="292">
        <f t="shared" si="271"/>
        <v>0</v>
      </c>
      <c r="BH87" s="292">
        <f t="shared" si="271"/>
        <v>0</v>
      </c>
      <c r="BI87" s="292">
        <f t="shared" si="271"/>
        <v>0</v>
      </c>
      <c r="BJ87" s="292">
        <f t="shared" si="271"/>
        <v>0</v>
      </c>
      <c r="BK87" s="292">
        <f t="shared" si="271"/>
        <v>0</v>
      </c>
      <c r="BL87" s="292">
        <f t="shared" si="271"/>
        <v>0</v>
      </c>
      <c r="BM87" s="292">
        <f t="shared" si="271"/>
        <v>0</v>
      </c>
      <c r="BN87" s="292">
        <f t="shared" si="271"/>
        <v>0</v>
      </c>
      <c r="BO87" s="292">
        <f t="shared" si="271"/>
        <v>0</v>
      </c>
      <c r="BP87" s="292">
        <f t="shared" si="271"/>
        <v>0</v>
      </c>
      <c r="BQ87" s="292">
        <f t="shared" si="271"/>
        <v>0</v>
      </c>
      <c r="BR87" s="292">
        <f t="shared" si="271"/>
        <v>0</v>
      </c>
      <c r="BS87" s="292">
        <f t="shared" si="271"/>
        <v>0</v>
      </c>
      <c r="BT87" s="292">
        <f t="shared" si="271"/>
        <v>0</v>
      </c>
      <c r="BU87" s="292">
        <f t="shared" si="271"/>
        <v>0</v>
      </c>
      <c r="BV87" s="292">
        <f t="shared" si="271"/>
        <v>0</v>
      </c>
      <c r="BW87" s="292">
        <f t="shared" si="271"/>
        <v>0</v>
      </c>
      <c r="BX87" s="292">
        <f t="shared" si="271"/>
        <v>0</v>
      </c>
      <c r="BY87" s="292">
        <f t="shared" si="271"/>
        <v>0</v>
      </c>
      <c r="BZ87" s="292">
        <f t="shared" si="271"/>
        <v>0</v>
      </c>
      <c r="CA87" s="292">
        <f t="shared" si="271"/>
        <v>0</v>
      </c>
      <c r="CB87" s="292">
        <f t="shared" ref="CB87:EM87" si="272">CB49/2+CB46+CB55+CB54</f>
        <v>0</v>
      </c>
      <c r="CC87" s="292">
        <f t="shared" si="272"/>
        <v>0</v>
      </c>
      <c r="CD87" s="292">
        <f t="shared" si="272"/>
        <v>0</v>
      </c>
      <c r="CE87" s="292">
        <f t="shared" si="272"/>
        <v>0</v>
      </c>
      <c r="CF87" s="292">
        <f t="shared" si="272"/>
        <v>0</v>
      </c>
      <c r="CG87" s="292">
        <f t="shared" si="272"/>
        <v>0</v>
      </c>
      <c r="CH87" s="292">
        <f t="shared" si="272"/>
        <v>0</v>
      </c>
      <c r="CI87" s="292">
        <f t="shared" si="272"/>
        <v>0</v>
      </c>
      <c r="CJ87" s="292">
        <f t="shared" si="272"/>
        <v>0</v>
      </c>
      <c r="CK87" s="292">
        <f t="shared" si="272"/>
        <v>0</v>
      </c>
      <c r="CL87" s="292">
        <f t="shared" si="272"/>
        <v>0</v>
      </c>
      <c r="CM87" s="292">
        <f t="shared" si="272"/>
        <v>0</v>
      </c>
      <c r="CN87" s="292">
        <f t="shared" si="272"/>
        <v>0</v>
      </c>
      <c r="CO87" s="292">
        <f t="shared" si="272"/>
        <v>0</v>
      </c>
      <c r="CP87" s="292">
        <f t="shared" si="272"/>
        <v>0</v>
      </c>
      <c r="CQ87" s="292">
        <f t="shared" si="272"/>
        <v>0</v>
      </c>
      <c r="CR87" s="292">
        <f t="shared" si="272"/>
        <v>0</v>
      </c>
      <c r="CS87" s="292">
        <f t="shared" si="272"/>
        <v>0</v>
      </c>
      <c r="CT87" s="292">
        <f t="shared" si="272"/>
        <v>0</v>
      </c>
      <c r="CU87" s="292">
        <f t="shared" si="272"/>
        <v>0</v>
      </c>
      <c r="CV87" s="292">
        <f t="shared" si="272"/>
        <v>0</v>
      </c>
      <c r="CW87" s="292">
        <f t="shared" si="272"/>
        <v>0</v>
      </c>
      <c r="CX87" s="292">
        <f t="shared" si="272"/>
        <v>0</v>
      </c>
      <c r="CY87" s="292">
        <f t="shared" si="272"/>
        <v>0</v>
      </c>
      <c r="CZ87" s="292">
        <f t="shared" si="272"/>
        <v>0</v>
      </c>
      <c r="DA87" s="292">
        <f t="shared" si="272"/>
        <v>0</v>
      </c>
      <c r="DB87" s="292">
        <f t="shared" si="272"/>
        <v>0</v>
      </c>
      <c r="DC87" s="292">
        <f t="shared" si="272"/>
        <v>0</v>
      </c>
      <c r="DD87" s="292">
        <f t="shared" si="272"/>
        <v>0</v>
      </c>
      <c r="DE87" s="292">
        <f t="shared" si="272"/>
        <v>0</v>
      </c>
      <c r="DF87" s="292">
        <f t="shared" si="272"/>
        <v>0</v>
      </c>
      <c r="DG87" s="292">
        <f t="shared" si="272"/>
        <v>0</v>
      </c>
      <c r="DH87" s="292">
        <f t="shared" si="272"/>
        <v>0</v>
      </c>
      <c r="DI87" s="292">
        <f t="shared" si="272"/>
        <v>0</v>
      </c>
      <c r="DJ87" s="292">
        <f t="shared" si="272"/>
        <v>0</v>
      </c>
      <c r="DK87" s="292">
        <f t="shared" si="272"/>
        <v>0</v>
      </c>
      <c r="DL87" s="292">
        <f t="shared" si="272"/>
        <v>0</v>
      </c>
      <c r="DM87" s="292">
        <f t="shared" si="272"/>
        <v>0</v>
      </c>
      <c r="DN87" s="292">
        <f t="shared" si="272"/>
        <v>0</v>
      </c>
      <c r="DO87" s="292">
        <f t="shared" si="272"/>
        <v>0</v>
      </c>
      <c r="DP87" s="292">
        <f t="shared" si="272"/>
        <v>0</v>
      </c>
      <c r="DQ87" s="292">
        <f t="shared" si="272"/>
        <v>0</v>
      </c>
      <c r="DR87" s="292">
        <f t="shared" si="272"/>
        <v>0</v>
      </c>
      <c r="DS87" s="292">
        <f t="shared" si="272"/>
        <v>0</v>
      </c>
      <c r="DT87" s="292">
        <f t="shared" si="272"/>
        <v>0</v>
      </c>
      <c r="DU87" s="292">
        <f t="shared" si="272"/>
        <v>0</v>
      </c>
      <c r="DV87" s="292">
        <f t="shared" si="272"/>
        <v>0</v>
      </c>
      <c r="DW87" s="292">
        <f t="shared" si="272"/>
        <v>0</v>
      </c>
      <c r="DX87" s="292">
        <f t="shared" si="272"/>
        <v>0</v>
      </c>
      <c r="DY87" s="292">
        <f t="shared" si="272"/>
        <v>0</v>
      </c>
      <c r="DZ87" s="292">
        <f t="shared" si="272"/>
        <v>0</v>
      </c>
      <c r="EA87" s="292">
        <f t="shared" si="272"/>
        <v>0</v>
      </c>
      <c r="EB87" s="292">
        <f t="shared" si="272"/>
        <v>0</v>
      </c>
      <c r="EC87" s="292">
        <f t="shared" si="272"/>
        <v>0</v>
      </c>
      <c r="ED87" s="292">
        <f t="shared" si="272"/>
        <v>0</v>
      </c>
      <c r="EE87" s="292">
        <f t="shared" si="272"/>
        <v>0</v>
      </c>
      <c r="EF87" s="292">
        <f t="shared" si="272"/>
        <v>0</v>
      </c>
      <c r="EG87" s="292">
        <f t="shared" si="272"/>
        <v>0</v>
      </c>
      <c r="EH87" s="292">
        <f t="shared" si="272"/>
        <v>0</v>
      </c>
      <c r="EI87" s="292">
        <f t="shared" si="272"/>
        <v>0</v>
      </c>
      <c r="EJ87" s="292">
        <f t="shared" si="272"/>
        <v>0</v>
      </c>
      <c r="EK87" s="292">
        <f t="shared" si="272"/>
        <v>0</v>
      </c>
      <c r="EL87" s="292">
        <f t="shared" si="272"/>
        <v>0</v>
      </c>
      <c r="EM87" s="292">
        <f t="shared" si="272"/>
        <v>0</v>
      </c>
      <c r="EN87" s="292">
        <f t="shared" ref="EN87:FJ87" si="273">EN49/2+EN46+EN55+EN54</f>
        <v>0</v>
      </c>
      <c r="EO87" s="292">
        <f t="shared" si="273"/>
        <v>0</v>
      </c>
      <c r="EP87" s="292">
        <f t="shared" si="273"/>
        <v>0</v>
      </c>
      <c r="EQ87" s="292">
        <f t="shared" si="273"/>
        <v>0</v>
      </c>
      <c r="ER87" s="292">
        <f t="shared" si="273"/>
        <v>0</v>
      </c>
      <c r="ES87" s="292">
        <f t="shared" si="273"/>
        <v>0</v>
      </c>
      <c r="ET87" s="292">
        <f t="shared" si="273"/>
        <v>0</v>
      </c>
      <c r="EU87" s="292">
        <f t="shared" si="273"/>
        <v>0</v>
      </c>
      <c r="EV87" s="292">
        <f t="shared" si="273"/>
        <v>0</v>
      </c>
      <c r="EW87" s="292">
        <f t="shared" si="273"/>
        <v>0</v>
      </c>
      <c r="EX87" s="292">
        <f t="shared" si="273"/>
        <v>0</v>
      </c>
      <c r="EY87" s="292">
        <f t="shared" si="273"/>
        <v>0</v>
      </c>
      <c r="EZ87" s="292">
        <f t="shared" si="273"/>
        <v>0</v>
      </c>
      <c r="FA87" s="292">
        <f t="shared" si="273"/>
        <v>0</v>
      </c>
      <c r="FB87" s="292">
        <f t="shared" si="273"/>
        <v>0</v>
      </c>
      <c r="FC87" s="292">
        <f t="shared" si="273"/>
        <v>0</v>
      </c>
      <c r="FD87" s="292">
        <f t="shared" si="273"/>
        <v>0</v>
      </c>
      <c r="FE87" s="292">
        <f t="shared" si="273"/>
        <v>0</v>
      </c>
      <c r="FF87" s="292">
        <f t="shared" si="273"/>
        <v>0</v>
      </c>
      <c r="FG87" s="292">
        <f t="shared" si="273"/>
        <v>0</v>
      </c>
      <c r="FH87" s="292">
        <f t="shared" si="273"/>
        <v>0</v>
      </c>
      <c r="FI87" s="292">
        <f t="shared" si="273"/>
        <v>0</v>
      </c>
      <c r="FJ87" s="292">
        <f t="shared" si="273"/>
        <v>0</v>
      </c>
      <c r="FK87" s="292">
        <f t="shared" ref="FK87:FY87" si="274">FK49/2+FK46+FK55+FK54</f>
        <v>0</v>
      </c>
      <c r="FL87" s="292">
        <f t="shared" si="274"/>
        <v>0</v>
      </c>
      <c r="FM87" s="292">
        <f t="shared" si="274"/>
        <v>0</v>
      </c>
      <c r="FN87" s="292">
        <f t="shared" si="274"/>
        <v>0</v>
      </c>
      <c r="FO87" s="292">
        <f t="shared" si="274"/>
        <v>0</v>
      </c>
      <c r="FP87" s="292">
        <f t="shared" si="274"/>
        <v>0</v>
      </c>
      <c r="FQ87" s="292">
        <f t="shared" si="274"/>
        <v>0</v>
      </c>
      <c r="FR87" s="292">
        <f t="shared" si="274"/>
        <v>0</v>
      </c>
      <c r="FS87" s="292">
        <f t="shared" si="274"/>
        <v>0</v>
      </c>
      <c r="FT87" s="292">
        <f t="shared" si="274"/>
        <v>0</v>
      </c>
      <c r="FU87" s="292">
        <f t="shared" si="274"/>
        <v>0</v>
      </c>
      <c r="FV87" s="292">
        <f t="shared" si="274"/>
        <v>0</v>
      </c>
      <c r="FW87" s="292">
        <f t="shared" si="274"/>
        <v>0</v>
      </c>
      <c r="FX87" s="292">
        <f t="shared" si="274"/>
        <v>0</v>
      </c>
      <c r="FY87" s="292">
        <f t="shared" si="274"/>
        <v>0</v>
      </c>
      <c r="FZ87" s="292">
        <f t="shared" ref="FZ87:GN87" si="275">FZ49/2+FZ46+FZ55+FZ54</f>
        <v>0</v>
      </c>
      <c r="GA87" s="292">
        <f t="shared" si="275"/>
        <v>0</v>
      </c>
      <c r="GB87" s="292">
        <f t="shared" si="275"/>
        <v>0</v>
      </c>
      <c r="GC87" s="292">
        <f t="shared" si="275"/>
        <v>0</v>
      </c>
      <c r="GD87" s="292">
        <f t="shared" si="275"/>
        <v>0</v>
      </c>
      <c r="GE87" s="292">
        <f t="shared" si="275"/>
        <v>0</v>
      </c>
      <c r="GF87" s="292">
        <f t="shared" si="275"/>
        <v>0</v>
      </c>
      <c r="GG87" s="292">
        <f t="shared" si="275"/>
        <v>0</v>
      </c>
      <c r="GH87" s="292">
        <f t="shared" si="275"/>
        <v>0</v>
      </c>
      <c r="GI87" s="292">
        <f t="shared" si="275"/>
        <v>0</v>
      </c>
      <c r="GJ87" s="292">
        <f t="shared" si="275"/>
        <v>0</v>
      </c>
      <c r="GK87" s="292">
        <f t="shared" si="275"/>
        <v>0</v>
      </c>
      <c r="GL87" s="292">
        <f t="shared" si="275"/>
        <v>0</v>
      </c>
      <c r="GM87" s="292">
        <f t="shared" si="275"/>
        <v>0</v>
      </c>
      <c r="GN87" s="292">
        <f t="shared" si="275"/>
        <v>0</v>
      </c>
      <c r="GO87" s="292">
        <f t="shared" ref="GO87:HT87" si="276">GO49/2+GO46+GO55+GO54</f>
        <v>0</v>
      </c>
      <c r="GP87" s="292">
        <f t="shared" si="276"/>
        <v>0</v>
      </c>
      <c r="GQ87" s="292">
        <f t="shared" si="276"/>
        <v>0</v>
      </c>
      <c r="GR87" s="292">
        <f t="shared" si="276"/>
        <v>0</v>
      </c>
      <c r="GS87" s="292">
        <f t="shared" si="276"/>
        <v>0</v>
      </c>
      <c r="GT87" s="292">
        <f t="shared" si="276"/>
        <v>0</v>
      </c>
      <c r="GU87" s="292">
        <f t="shared" si="276"/>
        <v>0</v>
      </c>
      <c r="GV87" s="292">
        <f t="shared" si="276"/>
        <v>0</v>
      </c>
      <c r="GW87" s="292">
        <f t="shared" si="276"/>
        <v>0</v>
      </c>
      <c r="GX87" s="292">
        <f t="shared" si="276"/>
        <v>0</v>
      </c>
      <c r="GY87" s="292">
        <f t="shared" si="276"/>
        <v>0</v>
      </c>
      <c r="GZ87" s="292">
        <f t="shared" si="276"/>
        <v>0</v>
      </c>
      <c r="HA87" s="292">
        <f t="shared" si="276"/>
        <v>0</v>
      </c>
      <c r="HB87" s="292">
        <f t="shared" si="276"/>
        <v>0</v>
      </c>
      <c r="HC87" s="292">
        <f t="shared" si="276"/>
        <v>0</v>
      </c>
      <c r="HD87" s="292">
        <f t="shared" si="276"/>
        <v>0</v>
      </c>
      <c r="HE87" s="292">
        <f t="shared" si="276"/>
        <v>0</v>
      </c>
      <c r="HF87" s="292">
        <f t="shared" si="276"/>
        <v>0</v>
      </c>
      <c r="HG87" s="292">
        <f t="shared" si="276"/>
        <v>0</v>
      </c>
      <c r="HH87" s="292">
        <f t="shared" si="276"/>
        <v>0</v>
      </c>
      <c r="HI87" s="292">
        <f t="shared" si="276"/>
        <v>0</v>
      </c>
      <c r="HJ87" s="292">
        <f t="shared" si="276"/>
        <v>0</v>
      </c>
      <c r="HK87" s="292">
        <f t="shared" si="276"/>
        <v>0</v>
      </c>
      <c r="HL87" s="292">
        <f t="shared" si="276"/>
        <v>0</v>
      </c>
      <c r="HM87" s="292">
        <f t="shared" si="276"/>
        <v>0</v>
      </c>
      <c r="HN87" s="292">
        <f t="shared" si="276"/>
        <v>0</v>
      </c>
      <c r="HO87" s="292">
        <f t="shared" si="276"/>
        <v>0</v>
      </c>
      <c r="HP87" s="292">
        <f t="shared" si="276"/>
        <v>0</v>
      </c>
      <c r="HQ87" s="292">
        <f t="shared" si="276"/>
        <v>0</v>
      </c>
      <c r="HR87" s="292">
        <f t="shared" si="276"/>
        <v>0</v>
      </c>
      <c r="HS87" s="292">
        <f t="shared" si="276"/>
        <v>0</v>
      </c>
      <c r="HT87" s="292">
        <f t="shared" si="276"/>
        <v>0</v>
      </c>
      <c r="HU87" s="292"/>
    </row>
    <row r="88" spans="2:229" x14ac:dyDescent="0.25">
      <c r="B88" s="495"/>
      <c r="C88" s="386" t="s">
        <v>89</v>
      </c>
      <c r="E88">
        <f>E30/2+E37+E40</f>
        <v>0</v>
      </c>
      <c r="F88">
        <f t="shared" ref="F88:N88" si="277">F30/2+F37+F40</f>
        <v>0</v>
      </c>
      <c r="G88">
        <f t="shared" si="277"/>
        <v>0</v>
      </c>
      <c r="H88">
        <f t="shared" si="277"/>
        <v>0</v>
      </c>
      <c r="I88">
        <f t="shared" si="277"/>
        <v>0</v>
      </c>
      <c r="J88">
        <f t="shared" si="277"/>
        <v>0</v>
      </c>
      <c r="K88">
        <f t="shared" si="277"/>
        <v>0</v>
      </c>
      <c r="L88">
        <f t="shared" si="277"/>
        <v>0</v>
      </c>
      <c r="M88">
        <f t="shared" si="277"/>
        <v>0</v>
      </c>
      <c r="N88">
        <f t="shared" si="277"/>
        <v>0</v>
      </c>
      <c r="O88" s="293">
        <f>O46/2+O56+O53</f>
        <v>0</v>
      </c>
      <c r="P88" s="293">
        <f t="shared" ref="P88:CA88" si="278">P46/2+P56+P53</f>
        <v>0</v>
      </c>
      <c r="Q88" s="293">
        <f t="shared" si="278"/>
        <v>0</v>
      </c>
      <c r="R88" s="293">
        <f t="shared" si="278"/>
        <v>0</v>
      </c>
      <c r="S88" s="293">
        <f t="shared" si="278"/>
        <v>0</v>
      </c>
      <c r="T88" s="293">
        <f t="shared" si="278"/>
        <v>0</v>
      </c>
      <c r="U88" s="293">
        <f t="shared" si="278"/>
        <v>0</v>
      </c>
      <c r="V88" s="293">
        <f t="shared" si="278"/>
        <v>0</v>
      </c>
      <c r="W88" s="293">
        <f t="shared" si="278"/>
        <v>0</v>
      </c>
      <c r="X88" s="293">
        <f t="shared" si="278"/>
        <v>0</v>
      </c>
      <c r="Y88" s="293">
        <f t="shared" si="278"/>
        <v>0</v>
      </c>
      <c r="Z88" s="293">
        <f t="shared" si="278"/>
        <v>0</v>
      </c>
      <c r="AA88" s="293">
        <f t="shared" si="278"/>
        <v>0</v>
      </c>
      <c r="AB88" s="293">
        <f t="shared" si="278"/>
        <v>0</v>
      </c>
      <c r="AC88" s="293">
        <f t="shared" si="278"/>
        <v>0</v>
      </c>
      <c r="AD88" s="293">
        <f t="shared" si="278"/>
        <v>0</v>
      </c>
      <c r="AE88" s="293">
        <f t="shared" si="278"/>
        <v>0</v>
      </c>
      <c r="AF88" s="293">
        <f t="shared" si="278"/>
        <v>0</v>
      </c>
      <c r="AG88" s="293">
        <f t="shared" si="278"/>
        <v>0</v>
      </c>
      <c r="AH88" s="293">
        <f t="shared" si="278"/>
        <v>0</v>
      </c>
      <c r="AI88" s="293">
        <f t="shared" si="278"/>
        <v>0</v>
      </c>
      <c r="AJ88" s="293">
        <f t="shared" si="278"/>
        <v>0</v>
      </c>
      <c r="AK88" s="293">
        <f t="shared" si="278"/>
        <v>0</v>
      </c>
      <c r="AL88" s="293">
        <f t="shared" si="278"/>
        <v>0</v>
      </c>
      <c r="AM88" s="293">
        <f t="shared" si="278"/>
        <v>0</v>
      </c>
      <c r="AN88" s="293">
        <f t="shared" si="278"/>
        <v>0</v>
      </c>
      <c r="AO88" s="293">
        <f t="shared" si="278"/>
        <v>0</v>
      </c>
      <c r="AP88" s="293">
        <f t="shared" si="278"/>
        <v>0</v>
      </c>
      <c r="AQ88" s="293">
        <f t="shared" si="278"/>
        <v>0</v>
      </c>
      <c r="AR88" s="293">
        <f t="shared" si="278"/>
        <v>0</v>
      </c>
      <c r="AS88" s="293">
        <f t="shared" si="278"/>
        <v>0</v>
      </c>
      <c r="AT88" s="293">
        <f t="shared" si="278"/>
        <v>0</v>
      </c>
      <c r="AU88" s="293">
        <f t="shared" si="278"/>
        <v>0</v>
      </c>
      <c r="AV88" s="293">
        <f t="shared" si="278"/>
        <v>0</v>
      </c>
      <c r="AW88" s="293">
        <f t="shared" si="278"/>
        <v>0</v>
      </c>
      <c r="AX88" s="293">
        <f t="shared" si="278"/>
        <v>0</v>
      </c>
      <c r="AY88" s="293">
        <f t="shared" si="278"/>
        <v>0</v>
      </c>
      <c r="AZ88" s="293">
        <f t="shared" si="278"/>
        <v>0</v>
      </c>
      <c r="BA88" s="293">
        <f t="shared" si="278"/>
        <v>0</v>
      </c>
      <c r="BB88" s="293">
        <f t="shared" si="278"/>
        <v>0</v>
      </c>
      <c r="BC88" s="293">
        <f t="shared" si="278"/>
        <v>0</v>
      </c>
      <c r="BD88" s="293">
        <f t="shared" si="278"/>
        <v>0</v>
      </c>
      <c r="BE88" s="293">
        <f t="shared" si="278"/>
        <v>0</v>
      </c>
      <c r="BF88" s="293">
        <f t="shared" si="278"/>
        <v>0</v>
      </c>
      <c r="BG88" s="293">
        <f t="shared" si="278"/>
        <v>0</v>
      </c>
      <c r="BH88" s="293">
        <f t="shared" si="278"/>
        <v>0</v>
      </c>
      <c r="BI88" s="293">
        <f t="shared" si="278"/>
        <v>0</v>
      </c>
      <c r="BJ88" s="293">
        <f t="shared" si="278"/>
        <v>0</v>
      </c>
      <c r="BK88" s="293">
        <f t="shared" si="278"/>
        <v>0</v>
      </c>
      <c r="BL88" s="293">
        <f t="shared" si="278"/>
        <v>0</v>
      </c>
      <c r="BM88" s="293">
        <f t="shared" si="278"/>
        <v>0</v>
      </c>
      <c r="BN88" s="293">
        <f t="shared" si="278"/>
        <v>0</v>
      </c>
      <c r="BO88" s="293">
        <f t="shared" si="278"/>
        <v>0</v>
      </c>
      <c r="BP88" s="293">
        <f t="shared" si="278"/>
        <v>0</v>
      </c>
      <c r="BQ88" s="293">
        <f t="shared" si="278"/>
        <v>0</v>
      </c>
      <c r="BR88" s="293">
        <f t="shared" si="278"/>
        <v>0</v>
      </c>
      <c r="BS88" s="293">
        <f t="shared" si="278"/>
        <v>0</v>
      </c>
      <c r="BT88" s="293">
        <f t="shared" si="278"/>
        <v>0</v>
      </c>
      <c r="BU88" s="293">
        <f t="shared" si="278"/>
        <v>0</v>
      </c>
      <c r="BV88" s="293">
        <f t="shared" si="278"/>
        <v>0</v>
      </c>
      <c r="BW88" s="293">
        <f t="shared" si="278"/>
        <v>0</v>
      </c>
      <c r="BX88" s="293">
        <f t="shared" si="278"/>
        <v>0</v>
      </c>
      <c r="BY88" s="293">
        <f t="shared" si="278"/>
        <v>0</v>
      </c>
      <c r="BZ88" s="293">
        <f t="shared" si="278"/>
        <v>0</v>
      </c>
      <c r="CA88" s="293">
        <f t="shared" si="278"/>
        <v>0</v>
      </c>
      <c r="CB88" s="293">
        <f t="shared" ref="CB88:EM88" si="279">CB46/2+CB56+CB53</f>
        <v>0</v>
      </c>
      <c r="CC88" s="293">
        <f t="shared" si="279"/>
        <v>0</v>
      </c>
      <c r="CD88" s="293">
        <f t="shared" si="279"/>
        <v>0</v>
      </c>
      <c r="CE88" s="293">
        <f t="shared" si="279"/>
        <v>0</v>
      </c>
      <c r="CF88" s="293">
        <f t="shared" si="279"/>
        <v>0</v>
      </c>
      <c r="CG88" s="293">
        <f t="shared" si="279"/>
        <v>0</v>
      </c>
      <c r="CH88" s="293">
        <f t="shared" si="279"/>
        <v>0</v>
      </c>
      <c r="CI88" s="293">
        <f t="shared" si="279"/>
        <v>0</v>
      </c>
      <c r="CJ88" s="293">
        <f t="shared" si="279"/>
        <v>0</v>
      </c>
      <c r="CK88" s="293">
        <f t="shared" si="279"/>
        <v>0</v>
      </c>
      <c r="CL88" s="293">
        <f t="shared" si="279"/>
        <v>0</v>
      </c>
      <c r="CM88" s="293">
        <f t="shared" si="279"/>
        <v>0</v>
      </c>
      <c r="CN88" s="293">
        <f t="shared" si="279"/>
        <v>0</v>
      </c>
      <c r="CO88" s="293">
        <f t="shared" si="279"/>
        <v>0</v>
      </c>
      <c r="CP88" s="293">
        <f t="shared" si="279"/>
        <v>0</v>
      </c>
      <c r="CQ88" s="293">
        <f t="shared" si="279"/>
        <v>0</v>
      </c>
      <c r="CR88" s="293">
        <f t="shared" si="279"/>
        <v>0</v>
      </c>
      <c r="CS88" s="293">
        <f t="shared" si="279"/>
        <v>0</v>
      </c>
      <c r="CT88" s="293">
        <f t="shared" si="279"/>
        <v>0</v>
      </c>
      <c r="CU88" s="293">
        <f t="shared" si="279"/>
        <v>0</v>
      </c>
      <c r="CV88" s="293">
        <f t="shared" si="279"/>
        <v>0</v>
      </c>
      <c r="CW88" s="293">
        <f t="shared" si="279"/>
        <v>0</v>
      </c>
      <c r="CX88" s="293">
        <f t="shared" si="279"/>
        <v>0</v>
      </c>
      <c r="CY88" s="293">
        <f t="shared" si="279"/>
        <v>0</v>
      </c>
      <c r="CZ88" s="293">
        <f t="shared" si="279"/>
        <v>0</v>
      </c>
      <c r="DA88" s="293">
        <f t="shared" si="279"/>
        <v>0</v>
      </c>
      <c r="DB88" s="293">
        <f t="shared" si="279"/>
        <v>0</v>
      </c>
      <c r="DC88" s="293">
        <f t="shared" si="279"/>
        <v>0</v>
      </c>
      <c r="DD88" s="293">
        <f t="shared" si="279"/>
        <v>0</v>
      </c>
      <c r="DE88" s="293">
        <f t="shared" si="279"/>
        <v>0</v>
      </c>
      <c r="DF88" s="293">
        <f t="shared" si="279"/>
        <v>0</v>
      </c>
      <c r="DG88" s="293">
        <f t="shared" si="279"/>
        <v>0</v>
      </c>
      <c r="DH88" s="293">
        <f t="shared" si="279"/>
        <v>0</v>
      </c>
      <c r="DI88" s="293">
        <f t="shared" si="279"/>
        <v>0</v>
      </c>
      <c r="DJ88" s="293">
        <f t="shared" si="279"/>
        <v>0</v>
      </c>
      <c r="DK88" s="293">
        <f t="shared" si="279"/>
        <v>0</v>
      </c>
      <c r="DL88" s="293">
        <f t="shared" si="279"/>
        <v>0</v>
      </c>
      <c r="DM88" s="293">
        <f t="shared" si="279"/>
        <v>0</v>
      </c>
      <c r="DN88" s="293">
        <f t="shared" si="279"/>
        <v>0</v>
      </c>
      <c r="DO88" s="293">
        <f t="shared" si="279"/>
        <v>0</v>
      </c>
      <c r="DP88" s="293">
        <f t="shared" si="279"/>
        <v>0</v>
      </c>
      <c r="DQ88" s="293">
        <f t="shared" si="279"/>
        <v>0</v>
      </c>
      <c r="DR88" s="293">
        <f t="shared" si="279"/>
        <v>0</v>
      </c>
      <c r="DS88" s="293">
        <f t="shared" si="279"/>
        <v>0</v>
      </c>
      <c r="DT88" s="293">
        <f t="shared" si="279"/>
        <v>0</v>
      </c>
      <c r="DU88" s="293">
        <f t="shared" si="279"/>
        <v>0</v>
      </c>
      <c r="DV88" s="293">
        <f t="shared" si="279"/>
        <v>0</v>
      </c>
      <c r="DW88" s="293">
        <f t="shared" si="279"/>
        <v>0</v>
      </c>
      <c r="DX88" s="293">
        <f t="shared" si="279"/>
        <v>0</v>
      </c>
      <c r="DY88" s="293">
        <f t="shared" si="279"/>
        <v>0</v>
      </c>
      <c r="DZ88" s="293">
        <f t="shared" si="279"/>
        <v>0</v>
      </c>
      <c r="EA88" s="293">
        <f t="shared" si="279"/>
        <v>0</v>
      </c>
      <c r="EB88" s="293">
        <f t="shared" si="279"/>
        <v>0</v>
      </c>
      <c r="EC88" s="293">
        <f t="shared" si="279"/>
        <v>0</v>
      </c>
      <c r="ED88" s="293">
        <f t="shared" si="279"/>
        <v>0</v>
      </c>
      <c r="EE88" s="293">
        <f t="shared" si="279"/>
        <v>0</v>
      </c>
      <c r="EF88" s="293">
        <f t="shared" si="279"/>
        <v>0</v>
      </c>
      <c r="EG88" s="293">
        <f t="shared" si="279"/>
        <v>0</v>
      </c>
      <c r="EH88" s="293">
        <f t="shared" si="279"/>
        <v>0</v>
      </c>
      <c r="EI88" s="293">
        <f t="shared" si="279"/>
        <v>0</v>
      </c>
      <c r="EJ88" s="293">
        <f t="shared" si="279"/>
        <v>0</v>
      </c>
      <c r="EK88" s="293">
        <f t="shared" si="279"/>
        <v>0</v>
      </c>
      <c r="EL88" s="293">
        <f t="shared" si="279"/>
        <v>0</v>
      </c>
      <c r="EM88" s="293">
        <f t="shared" si="279"/>
        <v>0</v>
      </c>
      <c r="EN88" s="293">
        <f t="shared" ref="EN88:FJ88" si="280">EN46/2+EN56+EN53</f>
        <v>0</v>
      </c>
      <c r="EO88" s="293">
        <f t="shared" si="280"/>
        <v>0</v>
      </c>
      <c r="EP88" s="293">
        <f t="shared" si="280"/>
        <v>0</v>
      </c>
      <c r="EQ88" s="293">
        <f t="shared" si="280"/>
        <v>0</v>
      </c>
      <c r="ER88" s="293">
        <f t="shared" si="280"/>
        <v>0</v>
      </c>
      <c r="ES88" s="293">
        <f t="shared" si="280"/>
        <v>0</v>
      </c>
      <c r="ET88" s="293">
        <f t="shared" si="280"/>
        <v>0</v>
      </c>
      <c r="EU88" s="293">
        <f t="shared" si="280"/>
        <v>0</v>
      </c>
      <c r="EV88" s="293">
        <f t="shared" si="280"/>
        <v>0</v>
      </c>
      <c r="EW88" s="293">
        <f t="shared" si="280"/>
        <v>0</v>
      </c>
      <c r="EX88" s="293">
        <f t="shared" si="280"/>
        <v>0</v>
      </c>
      <c r="EY88" s="293">
        <f t="shared" si="280"/>
        <v>0</v>
      </c>
      <c r="EZ88" s="293">
        <f t="shared" si="280"/>
        <v>0</v>
      </c>
      <c r="FA88" s="293">
        <f t="shared" si="280"/>
        <v>0</v>
      </c>
      <c r="FB88" s="293">
        <f t="shared" si="280"/>
        <v>0</v>
      </c>
      <c r="FC88" s="293">
        <f t="shared" si="280"/>
        <v>0</v>
      </c>
      <c r="FD88" s="293">
        <f t="shared" si="280"/>
        <v>0</v>
      </c>
      <c r="FE88" s="293">
        <f t="shared" si="280"/>
        <v>0</v>
      </c>
      <c r="FF88" s="293">
        <f t="shared" si="280"/>
        <v>0</v>
      </c>
      <c r="FG88" s="293">
        <f t="shared" si="280"/>
        <v>0</v>
      </c>
      <c r="FH88" s="293">
        <f t="shared" si="280"/>
        <v>0</v>
      </c>
      <c r="FI88" s="293">
        <f t="shared" si="280"/>
        <v>0</v>
      </c>
      <c r="FJ88" s="293">
        <f t="shared" si="280"/>
        <v>0</v>
      </c>
      <c r="FK88" s="293">
        <f t="shared" ref="FK88:FY88" si="281">FK46/2+FK56+FK53</f>
        <v>0</v>
      </c>
      <c r="FL88" s="293">
        <f t="shared" si="281"/>
        <v>0</v>
      </c>
      <c r="FM88" s="293">
        <f t="shared" si="281"/>
        <v>0</v>
      </c>
      <c r="FN88" s="293">
        <f t="shared" si="281"/>
        <v>0</v>
      </c>
      <c r="FO88" s="293">
        <f t="shared" si="281"/>
        <v>0</v>
      </c>
      <c r="FP88" s="293">
        <f t="shared" si="281"/>
        <v>0</v>
      </c>
      <c r="FQ88" s="293">
        <f t="shared" si="281"/>
        <v>0</v>
      </c>
      <c r="FR88" s="293">
        <f t="shared" si="281"/>
        <v>0</v>
      </c>
      <c r="FS88" s="293">
        <f t="shared" si="281"/>
        <v>0</v>
      </c>
      <c r="FT88" s="293">
        <f t="shared" si="281"/>
        <v>0</v>
      </c>
      <c r="FU88" s="293">
        <f t="shared" si="281"/>
        <v>0</v>
      </c>
      <c r="FV88" s="293">
        <f t="shared" si="281"/>
        <v>0</v>
      </c>
      <c r="FW88" s="293">
        <f t="shared" si="281"/>
        <v>0</v>
      </c>
      <c r="FX88" s="293">
        <f t="shared" si="281"/>
        <v>0</v>
      </c>
      <c r="FY88" s="293">
        <f t="shared" si="281"/>
        <v>0</v>
      </c>
      <c r="FZ88" s="293">
        <f t="shared" ref="FZ88:GN88" si="282">FZ46/2+FZ56+FZ53</f>
        <v>0</v>
      </c>
      <c r="GA88" s="293">
        <f t="shared" si="282"/>
        <v>0</v>
      </c>
      <c r="GB88" s="293">
        <f t="shared" si="282"/>
        <v>0</v>
      </c>
      <c r="GC88" s="293">
        <f t="shared" si="282"/>
        <v>0</v>
      </c>
      <c r="GD88" s="293">
        <f t="shared" si="282"/>
        <v>0</v>
      </c>
      <c r="GE88" s="293">
        <f t="shared" si="282"/>
        <v>0</v>
      </c>
      <c r="GF88" s="293">
        <f t="shared" si="282"/>
        <v>0</v>
      </c>
      <c r="GG88" s="293">
        <f t="shared" si="282"/>
        <v>0</v>
      </c>
      <c r="GH88" s="293">
        <f t="shared" si="282"/>
        <v>0</v>
      </c>
      <c r="GI88" s="293">
        <f t="shared" si="282"/>
        <v>0</v>
      </c>
      <c r="GJ88" s="293">
        <f t="shared" si="282"/>
        <v>0</v>
      </c>
      <c r="GK88" s="293">
        <f t="shared" si="282"/>
        <v>0</v>
      </c>
      <c r="GL88" s="293">
        <f t="shared" si="282"/>
        <v>0</v>
      </c>
      <c r="GM88" s="293">
        <f t="shared" si="282"/>
        <v>0</v>
      </c>
      <c r="GN88" s="293">
        <f t="shared" si="282"/>
        <v>0</v>
      </c>
      <c r="GO88" s="293">
        <f t="shared" ref="GO88:HT88" si="283">GO46/2+GO56+GO53</f>
        <v>0</v>
      </c>
      <c r="GP88" s="293">
        <f t="shared" si="283"/>
        <v>0</v>
      </c>
      <c r="GQ88" s="293">
        <f t="shared" si="283"/>
        <v>0</v>
      </c>
      <c r="GR88" s="293">
        <f t="shared" si="283"/>
        <v>0</v>
      </c>
      <c r="GS88" s="293">
        <f t="shared" si="283"/>
        <v>0</v>
      </c>
      <c r="GT88" s="293">
        <f t="shared" si="283"/>
        <v>0</v>
      </c>
      <c r="GU88" s="293">
        <f t="shared" si="283"/>
        <v>0</v>
      </c>
      <c r="GV88" s="293">
        <f t="shared" si="283"/>
        <v>0</v>
      </c>
      <c r="GW88" s="293">
        <f t="shared" si="283"/>
        <v>0</v>
      </c>
      <c r="GX88" s="293">
        <f t="shared" si="283"/>
        <v>0</v>
      </c>
      <c r="GY88" s="293">
        <f t="shared" si="283"/>
        <v>0</v>
      </c>
      <c r="GZ88" s="293">
        <f t="shared" si="283"/>
        <v>0</v>
      </c>
      <c r="HA88" s="293">
        <f t="shared" si="283"/>
        <v>0</v>
      </c>
      <c r="HB88" s="293">
        <f t="shared" si="283"/>
        <v>0</v>
      </c>
      <c r="HC88" s="293">
        <f t="shared" si="283"/>
        <v>0</v>
      </c>
      <c r="HD88" s="293">
        <f t="shared" si="283"/>
        <v>0</v>
      </c>
      <c r="HE88" s="293">
        <f t="shared" si="283"/>
        <v>0</v>
      </c>
      <c r="HF88" s="293">
        <f t="shared" si="283"/>
        <v>0</v>
      </c>
      <c r="HG88" s="293">
        <f t="shared" si="283"/>
        <v>0</v>
      </c>
      <c r="HH88" s="293">
        <f t="shared" si="283"/>
        <v>0</v>
      </c>
      <c r="HI88" s="293">
        <f t="shared" si="283"/>
        <v>0</v>
      </c>
      <c r="HJ88" s="293">
        <f t="shared" si="283"/>
        <v>0</v>
      </c>
      <c r="HK88" s="293">
        <f t="shared" si="283"/>
        <v>0</v>
      </c>
      <c r="HL88" s="293">
        <f t="shared" si="283"/>
        <v>0</v>
      </c>
      <c r="HM88" s="293">
        <f t="shared" si="283"/>
        <v>0</v>
      </c>
      <c r="HN88" s="293">
        <f t="shared" si="283"/>
        <v>0</v>
      </c>
      <c r="HO88" s="293">
        <f t="shared" si="283"/>
        <v>0</v>
      </c>
      <c r="HP88" s="293">
        <f t="shared" si="283"/>
        <v>0</v>
      </c>
      <c r="HQ88" s="293">
        <f t="shared" si="283"/>
        <v>0</v>
      </c>
      <c r="HR88" s="293">
        <f t="shared" si="283"/>
        <v>0</v>
      </c>
      <c r="HS88" s="293">
        <f t="shared" si="283"/>
        <v>0</v>
      </c>
      <c r="HT88" s="293">
        <f t="shared" si="283"/>
        <v>0</v>
      </c>
    </row>
    <row r="90" spans="2:229" x14ac:dyDescent="0.25">
      <c r="B90" s="495" t="s">
        <v>146</v>
      </c>
      <c r="C90" s="438" t="s">
        <v>79</v>
      </c>
      <c r="E90" s="194">
        <f>E35+E36+E38+E39+E40</f>
        <v>0</v>
      </c>
      <c r="F90" s="194">
        <f t="shared" ref="F90:N90" si="284">F35+F36+F38+F39+F40</f>
        <v>0</v>
      </c>
      <c r="G90" s="194">
        <f t="shared" si="284"/>
        <v>0</v>
      </c>
      <c r="H90" s="194">
        <f t="shared" si="284"/>
        <v>0</v>
      </c>
      <c r="I90" s="194">
        <f t="shared" si="284"/>
        <v>0</v>
      </c>
      <c r="J90" s="194">
        <f t="shared" si="284"/>
        <v>0</v>
      </c>
      <c r="K90" s="194">
        <f t="shared" si="284"/>
        <v>0</v>
      </c>
      <c r="L90" s="194">
        <f t="shared" si="284"/>
        <v>0</v>
      </c>
      <c r="M90" s="194">
        <f t="shared" si="284"/>
        <v>0</v>
      </c>
      <c r="N90" s="194">
        <f t="shared" si="284"/>
        <v>0</v>
      </c>
      <c r="O90" s="194">
        <f>O59+O60+O62+O63+O64</f>
        <v>0</v>
      </c>
      <c r="P90" s="194">
        <f t="shared" ref="P90:CA90" si="285">P59+P60+P62+P63+P64</f>
        <v>0</v>
      </c>
      <c r="Q90" s="194">
        <f t="shared" si="285"/>
        <v>0</v>
      </c>
      <c r="R90" s="194">
        <f t="shared" si="285"/>
        <v>0</v>
      </c>
      <c r="S90" s="194">
        <f t="shared" si="285"/>
        <v>0</v>
      </c>
      <c r="T90" s="194">
        <f t="shared" si="285"/>
        <v>0</v>
      </c>
      <c r="U90" s="194">
        <f t="shared" si="285"/>
        <v>0</v>
      </c>
      <c r="V90" s="194">
        <f t="shared" si="285"/>
        <v>0</v>
      </c>
      <c r="W90" s="194">
        <f t="shared" si="285"/>
        <v>0</v>
      </c>
      <c r="X90" s="194">
        <f t="shared" si="285"/>
        <v>0</v>
      </c>
      <c r="Y90" s="194">
        <f t="shared" si="285"/>
        <v>0</v>
      </c>
      <c r="Z90" s="194">
        <f t="shared" si="285"/>
        <v>0</v>
      </c>
      <c r="AA90" s="194">
        <f t="shared" si="285"/>
        <v>0</v>
      </c>
      <c r="AB90" s="194">
        <f t="shared" si="285"/>
        <v>0</v>
      </c>
      <c r="AC90" s="194">
        <f t="shared" si="285"/>
        <v>0</v>
      </c>
      <c r="AD90" s="194">
        <f t="shared" si="285"/>
        <v>0</v>
      </c>
      <c r="AE90" s="194">
        <f t="shared" si="285"/>
        <v>0</v>
      </c>
      <c r="AF90" s="194">
        <f t="shared" si="285"/>
        <v>0</v>
      </c>
      <c r="AG90" s="194">
        <f t="shared" si="285"/>
        <v>0</v>
      </c>
      <c r="AH90" s="194">
        <f t="shared" si="285"/>
        <v>0</v>
      </c>
      <c r="AI90" s="194">
        <f t="shared" si="285"/>
        <v>0</v>
      </c>
      <c r="AJ90" s="194">
        <f t="shared" si="285"/>
        <v>0</v>
      </c>
      <c r="AK90" s="194">
        <f t="shared" si="285"/>
        <v>0</v>
      </c>
      <c r="AL90" s="194">
        <f t="shared" si="285"/>
        <v>0</v>
      </c>
      <c r="AM90" s="194">
        <f t="shared" si="285"/>
        <v>0</v>
      </c>
      <c r="AN90" s="194">
        <f t="shared" si="285"/>
        <v>0</v>
      </c>
      <c r="AO90" s="194">
        <f t="shared" si="285"/>
        <v>0</v>
      </c>
      <c r="AP90" s="194">
        <f t="shared" si="285"/>
        <v>0</v>
      </c>
      <c r="AQ90" s="194">
        <f t="shared" si="285"/>
        <v>0</v>
      </c>
      <c r="AR90" s="194">
        <f t="shared" si="285"/>
        <v>0</v>
      </c>
      <c r="AS90" s="194">
        <f t="shared" si="285"/>
        <v>0</v>
      </c>
      <c r="AT90" s="194">
        <f t="shared" si="285"/>
        <v>0</v>
      </c>
      <c r="AU90" s="194">
        <f t="shared" si="285"/>
        <v>0</v>
      </c>
      <c r="AV90" s="194">
        <f t="shared" si="285"/>
        <v>0</v>
      </c>
      <c r="AW90" s="194">
        <f t="shared" si="285"/>
        <v>0</v>
      </c>
      <c r="AX90" s="194">
        <f t="shared" si="285"/>
        <v>0</v>
      </c>
      <c r="AY90" s="194">
        <f t="shared" si="285"/>
        <v>0</v>
      </c>
      <c r="AZ90" s="194">
        <f t="shared" si="285"/>
        <v>0</v>
      </c>
      <c r="BA90" s="194">
        <f t="shared" si="285"/>
        <v>0</v>
      </c>
      <c r="BB90" s="194">
        <f t="shared" si="285"/>
        <v>0</v>
      </c>
      <c r="BC90" s="194">
        <f t="shared" si="285"/>
        <v>0</v>
      </c>
      <c r="BD90" s="194">
        <f t="shared" si="285"/>
        <v>0</v>
      </c>
      <c r="BE90" s="194">
        <f t="shared" si="285"/>
        <v>0</v>
      </c>
      <c r="BF90" s="194">
        <f t="shared" si="285"/>
        <v>0</v>
      </c>
      <c r="BG90" s="194">
        <f t="shared" si="285"/>
        <v>0</v>
      </c>
      <c r="BH90" s="194">
        <f t="shared" si="285"/>
        <v>0</v>
      </c>
      <c r="BI90" s="194">
        <f t="shared" si="285"/>
        <v>0</v>
      </c>
      <c r="BJ90" s="194">
        <f t="shared" si="285"/>
        <v>0</v>
      </c>
      <c r="BK90" s="194">
        <f t="shared" si="285"/>
        <v>0</v>
      </c>
      <c r="BL90" s="194">
        <f t="shared" si="285"/>
        <v>0</v>
      </c>
      <c r="BM90" s="194">
        <f t="shared" si="285"/>
        <v>0</v>
      </c>
      <c r="BN90" s="194">
        <f t="shared" si="285"/>
        <v>0</v>
      </c>
      <c r="BO90" s="194">
        <f t="shared" si="285"/>
        <v>0</v>
      </c>
      <c r="BP90" s="194">
        <f t="shared" si="285"/>
        <v>0</v>
      </c>
      <c r="BQ90" s="194">
        <f t="shared" si="285"/>
        <v>0</v>
      </c>
      <c r="BR90" s="194">
        <f t="shared" si="285"/>
        <v>0</v>
      </c>
      <c r="BS90" s="194">
        <f t="shared" si="285"/>
        <v>0</v>
      </c>
      <c r="BT90" s="194">
        <f t="shared" si="285"/>
        <v>0</v>
      </c>
      <c r="BU90" s="194">
        <f t="shared" si="285"/>
        <v>0</v>
      </c>
      <c r="BV90" s="194">
        <f t="shared" si="285"/>
        <v>0</v>
      </c>
      <c r="BW90" s="194">
        <f t="shared" si="285"/>
        <v>0</v>
      </c>
      <c r="BX90" s="194">
        <f t="shared" si="285"/>
        <v>0</v>
      </c>
      <c r="BY90" s="194">
        <f t="shared" si="285"/>
        <v>0</v>
      </c>
      <c r="BZ90" s="194">
        <f t="shared" si="285"/>
        <v>0</v>
      </c>
      <c r="CA90" s="194">
        <f t="shared" si="285"/>
        <v>0</v>
      </c>
      <c r="CB90" s="194">
        <f t="shared" ref="CB90:EM90" si="286">CB59+CB60+CB62+CB63+CB64</f>
        <v>0</v>
      </c>
      <c r="CC90" s="194">
        <f t="shared" si="286"/>
        <v>0</v>
      </c>
      <c r="CD90" s="194">
        <f t="shared" si="286"/>
        <v>0</v>
      </c>
      <c r="CE90" s="194">
        <f t="shared" si="286"/>
        <v>0</v>
      </c>
      <c r="CF90" s="194">
        <f t="shared" si="286"/>
        <v>0</v>
      </c>
      <c r="CG90" s="194">
        <f t="shared" si="286"/>
        <v>0</v>
      </c>
      <c r="CH90" s="194">
        <f t="shared" si="286"/>
        <v>0</v>
      </c>
      <c r="CI90" s="194">
        <f t="shared" si="286"/>
        <v>0</v>
      </c>
      <c r="CJ90" s="194">
        <f t="shared" si="286"/>
        <v>0</v>
      </c>
      <c r="CK90" s="194">
        <f t="shared" si="286"/>
        <v>0</v>
      </c>
      <c r="CL90" s="194">
        <f t="shared" si="286"/>
        <v>0</v>
      </c>
      <c r="CM90" s="194">
        <f t="shared" si="286"/>
        <v>0</v>
      </c>
      <c r="CN90" s="194">
        <f t="shared" si="286"/>
        <v>0</v>
      </c>
      <c r="CO90" s="194">
        <f t="shared" si="286"/>
        <v>0</v>
      </c>
      <c r="CP90" s="194">
        <f t="shared" si="286"/>
        <v>0</v>
      </c>
      <c r="CQ90" s="194">
        <f t="shared" si="286"/>
        <v>0</v>
      </c>
      <c r="CR90" s="194">
        <f t="shared" si="286"/>
        <v>0</v>
      </c>
      <c r="CS90" s="194">
        <f t="shared" si="286"/>
        <v>0</v>
      </c>
      <c r="CT90" s="194">
        <f t="shared" si="286"/>
        <v>0</v>
      </c>
      <c r="CU90" s="194">
        <f t="shared" si="286"/>
        <v>0</v>
      </c>
      <c r="CV90" s="194">
        <f t="shared" si="286"/>
        <v>0</v>
      </c>
      <c r="CW90" s="194">
        <f t="shared" si="286"/>
        <v>0</v>
      </c>
      <c r="CX90" s="194">
        <f t="shared" si="286"/>
        <v>0</v>
      </c>
      <c r="CY90" s="194">
        <f t="shared" si="286"/>
        <v>0</v>
      </c>
      <c r="CZ90" s="194">
        <f t="shared" si="286"/>
        <v>0</v>
      </c>
      <c r="DA90" s="194">
        <f t="shared" si="286"/>
        <v>0</v>
      </c>
      <c r="DB90" s="194">
        <f t="shared" si="286"/>
        <v>0</v>
      </c>
      <c r="DC90" s="194">
        <f t="shared" si="286"/>
        <v>0</v>
      </c>
      <c r="DD90" s="194">
        <f t="shared" si="286"/>
        <v>0</v>
      </c>
      <c r="DE90" s="194">
        <f t="shared" si="286"/>
        <v>0</v>
      </c>
      <c r="DF90" s="194">
        <f t="shared" si="286"/>
        <v>0</v>
      </c>
      <c r="DG90" s="194">
        <f t="shared" si="286"/>
        <v>0</v>
      </c>
      <c r="DH90" s="194">
        <f t="shared" si="286"/>
        <v>0</v>
      </c>
      <c r="DI90" s="194">
        <f t="shared" si="286"/>
        <v>0</v>
      </c>
      <c r="DJ90" s="194">
        <f t="shared" si="286"/>
        <v>0</v>
      </c>
      <c r="DK90" s="194">
        <f t="shared" si="286"/>
        <v>0</v>
      </c>
      <c r="DL90" s="194">
        <f t="shared" si="286"/>
        <v>0</v>
      </c>
      <c r="DM90" s="194">
        <f t="shared" si="286"/>
        <v>0</v>
      </c>
      <c r="DN90" s="194">
        <f t="shared" si="286"/>
        <v>0</v>
      </c>
      <c r="DO90" s="194">
        <f t="shared" si="286"/>
        <v>0</v>
      </c>
      <c r="DP90" s="194">
        <f t="shared" si="286"/>
        <v>0</v>
      </c>
      <c r="DQ90" s="194">
        <f t="shared" si="286"/>
        <v>0</v>
      </c>
      <c r="DR90" s="194">
        <f t="shared" si="286"/>
        <v>0</v>
      </c>
      <c r="DS90" s="194">
        <f t="shared" si="286"/>
        <v>0</v>
      </c>
      <c r="DT90" s="194">
        <f t="shared" si="286"/>
        <v>0</v>
      </c>
      <c r="DU90" s="194">
        <f t="shared" si="286"/>
        <v>0</v>
      </c>
      <c r="DV90" s="194">
        <f t="shared" si="286"/>
        <v>0</v>
      </c>
      <c r="DW90" s="194">
        <f t="shared" si="286"/>
        <v>0</v>
      </c>
      <c r="DX90" s="194">
        <f t="shared" si="286"/>
        <v>0</v>
      </c>
      <c r="DY90" s="194">
        <f t="shared" si="286"/>
        <v>0</v>
      </c>
      <c r="DZ90" s="194">
        <f t="shared" si="286"/>
        <v>0</v>
      </c>
      <c r="EA90" s="194">
        <f t="shared" si="286"/>
        <v>0</v>
      </c>
      <c r="EB90" s="194">
        <f t="shared" si="286"/>
        <v>0</v>
      </c>
      <c r="EC90" s="194">
        <f t="shared" si="286"/>
        <v>0</v>
      </c>
      <c r="ED90" s="194">
        <f t="shared" si="286"/>
        <v>0</v>
      </c>
      <c r="EE90" s="194">
        <f t="shared" si="286"/>
        <v>0</v>
      </c>
      <c r="EF90" s="194">
        <f t="shared" si="286"/>
        <v>0</v>
      </c>
      <c r="EG90" s="194">
        <f t="shared" si="286"/>
        <v>0</v>
      </c>
      <c r="EH90" s="194">
        <f t="shared" si="286"/>
        <v>0</v>
      </c>
      <c r="EI90" s="194">
        <f t="shared" si="286"/>
        <v>0</v>
      </c>
      <c r="EJ90" s="194">
        <f t="shared" si="286"/>
        <v>0</v>
      </c>
      <c r="EK90" s="194">
        <f t="shared" si="286"/>
        <v>0</v>
      </c>
      <c r="EL90" s="194">
        <f t="shared" si="286"/>
        <v>0</v>
      </c>
      <c r="EM90" s="194">
        <f t="shared" si="286"/>
        <v>0</v>
      </c>
      <c r="EN90" s="194">
        <f t="shared" ref="EN90:GY90" si="287">EN59+EN60+EN62+EN63+EN64</f>
        <v>0</v>
      </c>
      <c r="EO90" s="194">
        <f t="shared" si="287"/>
        <v>0</v>
      </c>
      <c r="EP90" s="194">
        <f t="shared" si="287"/>
        <v>0</v>
      </c>
      <c r="EQ90" s="194">
        <f t="shared" si="287"/>
        <v>0</v>
      </c>
      <c r="ER90" s="194">
        <f t="shared" si="287"/>
        <v>0</v>
      </c>
      <c r="ES90" s="194">
        <f t="shared" si="287"/>
        <v>0</v>
      </c>
      <c r="ET90" s="194">
        <f t="shared" si="287"/>
        <v>0</v>
      </c>
      <c r="EU90" s="194">
        <f t="shared" si="287"/>
        <v>0</v>
      </c>
      <c r="EV90" s="194">
        <f t="shared" si="287"/>
        <v>0</v>
      </c>
      <c r="EW90" s="194">
        <f t="shared" si="287"/>
        <v>0</v>
      </c>
      <c r="EX90" s="194">
        <f t="shared" si="287"/>
        <v>0</v>
      </c>
      <c r="EY90" s="194">
        <f t="shared" si="287"/>
        <v>0</v>
      </c>
      <c r="EZ90" s="194">
        <f t="shared" si="287"/>
        <v>0</v>
      </c>
      <c r="FA90" s="194">
        <f t="shared" si="287"/>
        <v>0</v>
      </c>
      <c r="FB90" s="194">
        <f t="shared" si="287"/>
        <v>0</v>
      </c>
      <c r="FC90" s="194">
        <f t="shared" si="287"/>
        <v>0</v>
      </c>
      <c r="FD90" s="194">
        <f t="shared" si="287"/>
        <v>0</v>
      </c>
      <c r="FE90" s="194">
        <f t="shared" si="287"/>
        <v>0</v>
      </c>
      <c r="FF90" s="194">
        <f t="shared" si="287"/>
        <v>0</v>
      </c>
      <c r="FG90" s="194">
        <f t="shared" si="287"/>
        <v>0</v>
      </c>
      <c r="FH90" s="194">
        <f t="shared" si="287"/>
        <v>0</v>
      </c>
      <c r="FI90" s="194">
        <f t="shared" si="287"/>
        <v>0</v>
      </c>
      <c r="FJ90" s="194">
        <f t="shared" si="287"/>
        <v>0</v>
      </c>
      <c r="FK90" s="194">
        <f t="shared" si="287"/>
        <v>0</v>
      </c>
      <c r="FL90" s="194">
        <f t="shared" si="287"/>
        <v>0</v>
      </c>
      <c r="FM90" s="194">
        <f t="shared" si="287"/>
        <v>0</v>
      </c>
      <c r="FN90" s="194">
        <f t="shared" si="287"/>
        <v>0</v>
      </c>
      <c r="FO90" s="194">
        <f t="shared" si="287"/>
        <v>0</v>
      </c>
      <c r="FP90" s="194">
        <f t="shared" si="287"/>
        <v>0</v>
      </c>
      <c r="FQ90" s="194">
        <f t="shared" si="287"/>
        <v>0</v>
      </c>
      <c r="FR90" s="194">
        <f t="shared" si="287"/>
        <v>0</v>
      </c>
      <c r="FS90" s="194">
        <f t="shared" si="287"/>
        <v>0</v>
      </c>
      <c r="FT90" s="194">
        <f t="shared" si="287"/>
        <v>0</v>
      </c>
      <c r="FU90" s="194">
        <f t="shared" si="287"/>
        <v>0</v>
      </c>
      <c r="FV90" s="194">
        <f t="shared" si="287"/>
        <v>0</v>
      </c>
      <c r="FW90" s="194">
        <f t="shared" si="287"/>
        <v>0</v>
      </c>
      <c r="FX90" s="194">
        <f t="shared" si="287"/>
        <v>0</v>
      </c>
      <c r="FY90" s="194">
        <f t="shared" si="287"/>
        <v>0</v>
      </c>
      <c r="FZ90" s="194">
        <f t="shared" si="287"/>
        <v>0</v>
      </c>
      <c r="GA90" s="194">
        <f t="shared" si="287"/>
        <v>0</v>
      </c>
      <c r="GB90" s="194">
        <f t="shared" si="287"/>
        <v>0</v>
      </c>
      <c r="GC90" s="194">
        <f t="shared" si="287"/>
        <v>0</v>
      </c>
      <c r="GD90" s="194">
        <f t="shared" si="287"/>
        <v>0</v>
      </c>
      <c r="GE90" s="194">
        <f t="shared" si="287"/>
        <v>0</v>
      </c>
      <c r="GF90" s="194">
        <f t="shared" si="287"/>
        <v>0</v>
      </c>
      <c r="GG90" s="194">
        <f t="shared" si="287"/>
        <v>0</v>
      </c>
      <c r="GH90" s="194">
        <f t="shared" si="287"/>
        <v>0</v>
      </c>
      <c r="GI90" s="194">
        <f t="shared" si="287"/>
        <v>0</v>
      </c>
      <c r="GJ90" s="194">
        <f t="shared" si="287"/>
        <v>0</v>
      </c>
      <c r="GK90" s="194">
        <f t="shared" si="287"/>
        <v>0</v>
      </c>
      <c r="GL90" s="194">
        <f t="shared" si="287"/>
        <v>0</v>
      </c>
      <c r="GM90" s="194">
        <f t="shared" si="287"/>
        <v>0</v>
      </c>
      <c r="GN90" s="194">
        <f t="shared" si="287"/>
        <v>0</v>
      </c>
      <c r="GO90" s="194">
        <f t="shared" si="287"/>
        <v>0</v>
      </c>
      <c r="GP90" s="194">
        <f t="shared" si="287"/>
        <v>0</v>
      </c>
      <c r="GQ90" s="194">
        <f t="shared" si="287"/>
        <v>0</v>
      </c>
      <c r="GR90" s="194">
        <f t="shared" si="287"/>
        <v>0</v>
      </c>
      <c r="GS90" s="194">
        <f t="shared" si="287"/>
        <v>0</v>
      </c>
      <c r="GT90" s="194">
        <f t="shared" si="287"/>
        <v>0</v>
      </c>
      <c r="GU90" s="194">
        <f t="shared" si="287"/>
        <v>0</v>
      </c>
      <c r="GV90" s="194">
        <f t="shared" si="287"/>
        <v>0</v>
      </c>
      <c r="GW90" s="194">
        <f t="shared" si="287"/>
        <v>12</v>
      </c>
      <c r="GX90" s="194">
        <f t="shared" si="287"/>
        <v>0</v>
      </c>
      <c r="GY90" s="194">
        <f t="shared" si="287"/>
        <v>0</v>
      </c>
      <c r="GZ90" s="194">
        <f t="shared" ref="GZ90:HT90" si="288">GZ59+GZ60+GZ62+GZ63+GZ64</f>
        <v>0</v>
      </c>
      <c r="HA90" s="194">
        <f t="shared" si="288"/>
        <v>0</v>
      </c>
      <c r="HB90" s="194">
        <f t="shared" si="288"/>
        <v>0</v>
      </c>
      <c r="HC90" s="194">
        <f t="shared" si="288"/>
        <v>0</v>
      </c>
      <c r="HD90" s="194">
        <f t="shared" si="288"/>
        <v>0</v>
      </c>
      <c r="HE90" s="194">
        <f t="shared" si="288"/>
        <v>0</v>
      </c>
      <c r="HF90" s="194">
        <f t="shared" si="288"/>
        <v>0</v>
      </c>
      <c r="HG90" s="194">
        <f t="shared" si="288"/>
        <v>80</v>
      </c>
      <c r="HH90" s="194">
        <f t="shared" si="288"/>
        <v>0</v>
      </c>
      <c r="HI90" s="194">
        <f t="shared" si="288"/>
        <v>0</v>
      </c>
      <c r="HJ90" s="194">
        <f t="shared" si="288"/>
        <v>0</v>
      </c>
      <c r="HK90" s="194">
        <f t="shared" si="288"/>
        <v>0</v>
      </c>
      <c r="HL90" s="194">
        <f t="shared" si="288"/>
        <v>0</v>
      </c>
      <c r="HM90" s="194">
        <f t="shared" si="288"/>
        <v>0</v>
      </c>
      <c r="HN90" s="194">
        <f t="shared" si="288"/>
        <v>0</v>
      </c>
      <c r="HO90" s="194">
        <f t="shared" si="288"/>
        <v>0</v>
      </c>
      <c r="HP90" s="194">
        <f t="shared" si="288"/>
        <v>0</v>
      </c>
      <c r="HQ90" s="194">
        <f t="shared" si="288"/>
        <v>0</v>
      </c>
      <c r="HR90" s="194">
        <f t="shared" si="288"/>
        <v>0</v>
      </c>
      <c r="HS90" s="194">
        <f t="shared" si="288"/>
        <v>0</v>
      </c>
      <c r="HT90" s="194">
        <f t="shared" si="288"/>
        <v>0</v>
      </c>
    </row>
    <row r="91" spans="2:229" x14ac:dyDescent="0.25">
      <c r="B91" s="495"/>
      <c r="C91" s="438" t="s">
        <v>80</v>
      </c>
      <c r="E91" s="194">
        <f>E34/2+E37+E42+E43</f>
        <v>0</v>
      </c>
      <c r="F91" s="194">
        <f t="shared" ref="F91:N91" si="289">F34/2+F37+F42+F43</f>
        <v>0</v>
      </c>
      <c r="G91" s="194">
        <f t="shared" si="289"/>
        <v>0</v>
      </c>
      <c r="H91" s="194">
        <f t="shared" si="289"/>
        <v>0</v>
      </c>
      <c r="I91" s="194">
        <f t="shared" si="289"/>
        <v>0</v>
      </c>
      <c r="J91" s="194">
        <f t="shared" si="289"/>
        <v>0</v>
      </c>
      <c r="K91" s="194">
        <f t="shared" si="289"/>
        <v>0</v>
      </c>
      <c r="L91" s="194">
        <f t="shared" si="289"/>
        <v>0</v>
      </c>
      <c r="M91" s="194">
        <f t="shared" si="289"/>
        <v>0</v>
      </c>
      <c r="N91" s="194">
        <f t="shared" si="289"/>
        <v>0</v>
      </c>
      <c r="O91" s="292">
        <f>O61/2+O58+O67+O66</f>
        <v>0</v>
      </c>
      <c r="P91" s="292">
        <f t="shared" ref="P91:CA91" si="290">P61/2+P58+P67+P66</f>
        <v>0</v>
      </c>
      <c r="Q91" s="292">
        <f t="shared" si="290"/>
        <v>0</v>
      </c>
      <c r="R91" s="292">
        <f t="shared" si="290"/>
        <v>0</v>
      </c>
      <c r="S91" s="292">
        <f t="shared" si="290"/>
        <v>0</v>
      </c>
      <c r="T91" s="292">
        <f t="shared" si="290"/>
        <v>0</v>
      </c>
      <c r="U91" s="292">
        <f t="shared" si="290"/>
        <v>0</v>
      </c>
      <c r="V91" s="292">
        <f t="shared" si="290"/>
        <v>0</v>
      </c>
      <c r="W91" s="292">
        <f t="shared" si="290"/>
        <v>0</v>
      </c>
      <c r="X91" s="292">
        <f t="shared" si="290"/>
        <v>0</v>
      </c>
      <c r="Y91" s="292">
        <f t="shared" si="290"/>
        <v>0</v>
      </c>
      <c r="Z91" s="292">
        <f t="shared" si="290"/>
        <v>0</v>
      </c>
      <c r="AA91" s="292">
        <f t="shared" si="290"/>
        <v>0</v>
      </c>
      <c r="AB91" s="292">
        <f t="shared" si="290"/>
        <v>0</v>
      </c>
      <c r="AC91" s="292">
        <f t="shared" si="290"/>
        <v>0</v>
      </c>
      <c r="AD91" s="292">
        <f t="shared" si="290"/>
        <v>0</v>
      </c>
      <c r="AE91" s="292">
        <f t="shared" si="290"/>
        <v>0</v>
      </c>
      <c r="AF91" s="292">
        <f t="shared" si="290"/>
        <v>0</v>
      </c>
      <c r="AG91" s="292">
        <f t="shared" si="290"/>
        <v>0</v>
      </c>
      <c r="AH91" s="292">
        <f t="shared" si="290"/>
        <v>0</v>
      </c>
      <c r="AI91" s="292">
        <f t="shared" si="290"/>
        <v>0</v>
      </c>
      <c r="AJ91" s="292">
        <f t="shared" si="290"/>
        <v>0</v>
      </c>
      <c r="AK91" s="292">
        <f t="shared" si="290"/>
        <v>0</v>
      </c>
      <c r="AL91" s="292">
        <f t="shared" si="290"/>
        <v>0</v>
      </c>
      <c r="AM91" s="292">
        <f t="shared" si="290"/>
        <v>0</v>
      </c>
      <c r="AN91" s="292">
        <f t="shared" si="290"/>
        <v>0</v>
      </c>
      <c r="AO91" s="292">
        <f t="shared" si="290"/>
        <v>0</v>
      </c>
      <c r="AP91" s="292">
        <f t="shared" si="290"/>
        <v>0</v>
      </c>
      <c r="AQ91" s="292">
        <f t="shared" si="290"/>
        <v>0</v>
      </c>
      <c r="AR91" s="292">
        <f t="shared" si="290"/>
        <v>0</v>
      </c>
      <c r="AS91" s="292">
        <f t="shared" si="290"/>
        <v>0</v>
      </c>
      <c r="AT91" s="292">
        <f t="shared" si="290"/>
        <v>0</v>
      </c>
      <c r="AU91" s="292">
        <f t="shared" si="290"/>
        <v>0</v>
      </c>
      <c r="AV91" s="292">
        <f t="shared" si="290"/>
        <v>0</v>
      </c>
      <c r="AW91" s="292">
        <f t="shared" si="290"/>
        <v>0</v>
      </c>
      <c r="AX91" s="292">
        <f t="shared" si="290"/>
        <v>0</v>
      </c>
      <c r="AY91" s="292">
        <f t="shared" si="290"/>
        <v>0</v>
      </c>
      <c r="AZ91" s="292">
        <f t="shared" si="290"/>
        <v>0</v>
      </c>
      <c r="BA91" s="292">
        <f t="shared" si="290"/>
        <v>0</v>
      </c>
      <c r="BB91" s="292">
        <f t="shared" si="290"/>
        <v>0</v>
      </c>
      <c r="BC91" s="292">
        <f t="shared" si="290"/>
        <v>0</v>
      </c>
      <c r="BD91" s="292">
        <f t="shared" si="290"/>
        <v>0</v>
      </c>
      <c r="BE91" s="292">
        <f t="shared" si="290"/>
        <v>0</v>
      </c>
      <c r="BF91" s="292">
        <f t="shared" si="290"/>
        <v>0</v>
      </c>
      <c r="BG91" s="292">
        <f t="shared" si="290"/>
        <v>0</v>
      </c>
      <c r="BH91" s="292">
        <f t="shared" si="290"/>
        <v>0</v>
      </c>
      <c r="BI91" s="292">
        <f t="shared" si="290"/>
        <v>0</v>
      </c>
      <c r="BJ91" s="292">
        <f t="shared" si="290"/>
        <v>0</v>
      </c>
      <c r="BK91" s="292">
        <f t="shared" si="290"/>
        <v>0</v>
      </c>
      <c r="BL91" s="292">
        <f t="shared" si="290"/>
        <v>0</v>
      </c>
      <c r="BM91" s="292">
        <f t="shared" si="290"/>
        <v>0</v>
      </c>
      <c r="BN91" s="292">
        <f t="shared" si="290"/>
        <v>0</v>
      </c>
      <c r="BO91" s="292">
        <f t="shared" si="290"/>
        <v>0</v>
      </c>
      <c r="BP91" s="292">
        <f t="shared" si="290"/>
        <v>0</v>
      </c>
      <c r="BQ91" s="292">
        <f t="shared" si="290"/>
        <v>0</v>
      </c>
      <c r="BR91" s="292">
        <f t="shared" si="290"/>
        <v>0</v>
      </c>
      <c r="BS91" s="292">
        <f t="shared" si="290"/>
        <v>0</v>
      </c>
      <c r="BT91" s="292">
        <f t="shared" si="290"/>
        <v>0</v>
      </c>
      <c r="BU91" s="292">
        <f t="shared" si="290"/>
        <v>0</v>
      </c>
      <c r="BV91" s="292">
        <f t="shared" si="290"/>
        <v>0</v>
      </c>
      <c r="BW91" s="292">
        <f t="shared" si="290"/>
        <v>0</v>
      </c>
      <c r="BX91" s="292">
        <f t="shared" si="290"/>
        <v>0</v>
      </c>
      <c r="BY91" s="292">
        <f t="shared" si="290"/>
        <v>0</v>
      </c>
      <c r="BZ91" s="292">
        <f t="shared" si="290"/>
        <v>0</v>
      </c>
      <c r="CA91" s="292">
        <f t="shared" si="290"/>
        <v>0</v>
      </c>
      <c r="CB91" s="292">
        <f t="shared" ref="CB91:EM91" si="291">CB61/2+CB58+CB67+CB66</f>
        <v>0</v>
      </c>
      <c r="CC91" s="292">
        <f t="shared" si="291"/>
        <v>0</v>
      </c>
      <c r="CD91" s="292">
        <f t="shared" si="291"/>
        <v>0</v>
      </c>
      <c r="CE91" s="292">
        <f t="shared" si="291"/>
        <v>0</v>
      </c>
      <c r="CF91" s="292">
        <f t="shared" si="291"/>
        <v>0</v>
      </c>
      <c r="CG91" s="292">
        <f t="shared" si="291"/>
        <v>0</v>
      </c>
      <c r="CH91" s="292">
        <f t="shared" si="291"/>
        <v>0</v>
      </c>
      <c r="CI91" s="292">
        <f t="shared" si="291"/>
        <v>0</v>
      </c>
      <c r="CJ91" s="292">
        <f t="shared" si="291"/>
        <v>0</v>
      </c>
      <c r="CK91" s="292">
        <f t="shared" si="291"/>
        <v>0</v>
      </c>
      <c r="CL91" s="292">
        <f t="shared" si="291"/>
        <v>0</v>
      </c>
      <c r="CM91" s="292">
        <f t="shared" si="291"/>
        <v>0</v>
      </c>
      <c r="CN91" s="292">
        <f t="shared" si="291"/>
        <v>0</v>
      </c>
      <c r="CO91" s="292">
        <f t="shared" si="291"/>
        <v>0</v>
      </c>
      <c r="CP91" s="292">
        <f t="shared" si="291"/>
        <v>0</v>
      </c>
      <c r="CQ91" s="292">
        <f t="shared" si="291"/>
        <v>0</v>
      </c>
      <c r="CR91" s="292">
        <f t="shared" si="291"/>
        <v>0</v>
      </c>
      <c r="CS91" s="292">
        <f t="shared" si="291"/>
        <v>0</v>
      </c>
      <c r="CT91" s="292">
        <f t="shared" si="291"/>
        <v>0</v>
      </c>
      <c r="CU91" s="292">
        <f t="shared" si="291"/>
        <v>0</v>
      </c>
      <c r="CV91" s="292">
        <f t="shared" si="291"/>
        <v>0</v>
      </c>
      <c r="CW91" s="292">
        <f t="shared" si="291"/>
        <v>0</v>
      </c>
      <c r="CX91" s="292">
        <f t="shared" si="291"/>
        <v>0</v>
      </c>
      <c r="CY91" s="292">
        <f t="shared" si="291"/>
        <v>0</v>
      </c>
      <c r="CZ91" s="292">
        <f t="shared" si="291"/>
        <v>0</v>
      </c>
      <c r="DA91" s="292">
        <f t="shared" si="291"/>
        <v>0</v>
      </c>
      <c r="DB91" s="292">
        <f t="shared" si="291"/>
        <v>0</v>
      </c>
      <c r="DC91" s="292">
        <f t="shared" si="291"/>
        <v>0</v>
      </c>
      <c r="DD91" s="292">
        <f t="shared" si="291"/>
        <v>0</v>
      </c>
      <c r="DE91" s="292">
        <f t="shared" si="291"/>
        <v>0</v>
      </c>
      <c r="DF91" s="292">
        <f t="shared" si="291"/>
        <v>0</v>
      </c>
      <c r="DG91" s="292">
        <f t="shared" si="291"/>
        <v>0</v>
      </c>
      <c r="DH91" s="292">
        <f t="shared" si="291"/>
        <v>0</v>
      </c>
      <c r="DI91" s="292">
        <f t="shared" si="291"/>
        <v>0</v>
      </c>
      <c r="DJ91" s="292">
        <f t="shared" si="291"/>
        <v>0</v>
      </c>
      <c r="DK91" s="292">
        <f t="shared" si="291"/>
        <v>0</v>
      </c>
      <c r="DL91" s="292">
        <f t="shared" si="291"/>
        <v>0</v>
      </c>
      <c r="DM91" s="292">
        <f t="shared" si="291"/>
        <v>0</v>
      </c>
      <c r="DN91" s="292">
        <f t="shared" si="291"/>
        <v>0</v>
      </c>
      <c r="DO91" s="292">
        <f t="shared" si="291"/>
        <v>0</v>
      </c>
      <c r="DP91" s="292">
        <f t="shared" si="291"/>
        <v>0</v>
      </c>
      <c r="DQ91" s="292">
        <f t="shared" si="291"/>
        <v>0</v>
      </c>
      <c r="DR91" s="292">
        <f t="shared" si="291"/>
        <v>0</v>
      </c>
      <c r="DS91" s="292">
        <f t="shared" si="291"/>
        <v>0</v>
      </c>
      <c r="DT91" s="292">
        <f t="shared" si="291"/>
        <v>0</v>
      </c>
      <c r="DU91" s="292">
        <f t="shared" si="291"/>
        <v>0</v>
      </c>
      <c r="DV91" s="292">
        <f t="shared" si="291"/>
        <v>0</v>
      </c>
      <c r="DW91" s="292">
        <f t="shared" si="291"/>
        <v>0</v>
      </c>
      <c r="DX91" s="292">
        <f t="shared" si="291"/>
        <v>0</v>
      </c>
      <c r="DY91" s="292">
        <f t="shared" si="291"/>
        <v>0</v>
      </c>
      <c r="DZ91" s="292">
        <f t="shared" si="291"/>
        <v>0</v>
      </c>
      <c r="EA91" s="292">
        <f t="shared" si="291"/>
        <v>0</v>
      </c>
      <c r="EB91" s="292">
        <f t="shared" si="291"/>
        <v>0</v>
      </c>
      <c r="EC91" s="292">
        <f t="shared" si="291"/>
        <v>0</v>
      </c>
      <c r="ED91" s="292">
        <f t="shared" si="291"/>
        <v>0</v>
      </c>
      <c r="EE91" s="292">
        <f t="shared" si="291"/>
        <v>0</v>
      </c>
      <c r="EF91" s="292">
        <f t="shared" si="291"/>
        <v>0</v>
      </c>
      <c r="EG91" s="292">
        <f t="shared" si="291"/>
        <v>0</v>
      </c>
      <c r="EH91" s="292">
        <f t="shared" si="291"/>
        <v>0</v>
      </c>
      <c r="EI91" s="292">
        <f t="shared" si="291"/>
        <v>0</v>
      </c>
      <c r="EJ91" s="292">
        <f t="shared" si="291"/>
        <v>0</v>
      </c>
      <c r="EK91" s="292">
        <f t="shared" si="291"/>
        <v>0</v>
      </c>
      <c r="EL91" s="292">
        <f t="shared" si="291"/>
        <v>0</v>
      </c>
      <c r="EM91" s="292">
        <f t="shared" si="291"/>
        <v>0</v>
      </c>
      <c r="EN91" s="292">
        <f t="shared" ref="EN91:GY91" si="292">EN61/2+EN58+EN67+EN66</f>
        <v>0</v>
      </c>
      <c r="EO91" s="292">
        <f t="shared" si="292"/>
        <v>0</v>
      </c>
      <c r="EP91" s="292">
        <f t="shared" si="292"/>
        <v>0</v>
      </c>
      <c r="EQ91" s="292">
        <f t="shared" si="292"/>
        <v>0</v>
      </c>
      <c r="ER91" s="292">
        <f t="shared" si="292"/>
        <v>0</v>
      </c>
      <c r="ES91" s="292">
        <f t="shared" si="292"/>
        <v>0</v>
      </c>
      <c r="ET91" s="292">
        <f t="shared" si="292"/>
        <v>0</v>
      </c>
      <c r="EU91" s="292">
        <f t="shared" si="292"/>
        <v>0</v>
      </c>
      <c r="EV91" s="292">
        <f t="shared" si="292"/>
        <v>0</v>
      </c>
      <c r="EW91" s="292">
        <f t="shared" si="292"/>
        <v>0</v>
      </c>
      <c r="EX91" s="292">
        <f t="shared" si="292"/>
        <v>0</v>
      </c>
      <c r="EY91" s="292">
        <f t="shared" si="292"/>
        <v>0</v>
      </c>
      <c r="EZ91" s="292">
        <f t="shared" si="292"/>
        <v>0</v>
      </c>
      <c r="FA91" s="292">
        <f t="shared" si="292"/>
        <v>0</v>
      </c>
      <c r="FB91" s="292">
        <f t="shared" si="292"/>
        <v>0</v>
      </c>
      <c r="FC91" s="292">
        <f t="shared" si="292"/>
        <v>0</v>
      </c>
      <c r="FD91" s="292">
        <f t="shared" si="292"/>
        <v>0</v>
      </c>
      <c r="FE91" s="292">
        <f t="shared" si="292"/>
        <v>0</v>
      </c>
      <c r="FF91" s="292">
        <f t="shared" si="292"/>
        <v>0</v>
      </c>
      <c r="FG91" s="292">
        <f t="shared" si="292"/>
        <v>0</v>
      </c>
      <c r="FH91" s="292">
        <f t="shared" si="292"/>
        <v>0</v>
      </c>
      <c r="FI91" s="292">
        <f t="shared" si="292"/>
        <v>0</v>
      </c>
      <c r="FJ91" s="292">
        <f t="shared" si="292"/>
        <v>0</v>
      </c>
      <c r="FK91" s="292">
        <f t="shared" si="292"/>
        <v>0</v>
      </c>
      <c r="FL91" s="292">
        <f t="shared" si="292"/>
        <v>0</v>
      </c>
      <c r="FM91" s="292">
        <f t="shared" si="292"/>
        <v>0</v>
      </c>
      <c r="FN91" s="292">
        <f t="shared" si="292"/>
        <v>0</v>
      </c>
      <c r="FO91" s="292">
        <f t="shared" si="292"/>
        <v>0</v>
      </c>
      <c r="FP91" s="292">
        <f t="shared" si="292"/>
        <v>0</v>
      </c>
      <c r="FQ91" s="292">
        <f t="shared" si="292"/>
        <v>0</v>
      </c>
      <c r="FR91" s="292">
        <f t="shared" si="292"/>
        <v>0</v>
      </c>
      <c r="FS91" s="292">
        <f t="shared" si="292"/>
        <v>0</v>
      </c>
      <c r="FT91" s="292">
        <f t="shared" si="292"/>
        <v>0</v>
      </c>
      <c r="FU91" s="292">
        <f t="shared" si="292"/>
        <v>0</v>
      </c>
      <c r="FV91" s="292">
        <f t="shared" si="292"/>
        <v>0</v>
      </c>
      <c r="FW91" s="292">
        <f t="shared" si="292"/>
        <v>0</v>
      </c>
      <c r="FX91" s="292">
        <f t="shared" si="292"/>
        <v>0</v>
      </c>
      <c r="FY91" s="292">
        <f t="shared" si="292"/>
        <v>0</v>
      </c>
      <c r="FZ91" s="292">
        <f t="shared" si="292"/>
        <v>0</v>
      </c>
      <c r="GA91" s="292">
        <f t="shared" si="292"/>
        <v>0</v>
      </c>
      <c r="GB91" s="292">
        <f t="shared" si="292"/>
        <v>0</v>
      </c>
      <c r="GC91" s="292">
        <f t="shared" si="292"/>
        <v>0</v>
      </c>
      <c r="GD91" s="292">
        <f t="shared" si="292"/>
        <v>0</v>
      </c>
      <c r="GE91" s="292">
        <f t="shared" si="292"/>
        <v>0</v>
      </c>
      <c r="GF91" s="292">
        <f t="shared" si="292"/>
        <v>0</v>
      </c>
      <c r="GG91" s="292">
        <f t="shared" si="292"/>
        <v>0</v>
      </c>
      <c r="GH91" s="292">
        <f t="shared" si="292"/>
        <v>0</v>
      </c>
      <c r="GI91" s="292">
        <f t="shared" si="292"/>
        <v>0</v>
      </c>
      <c r="GJ91" s="292">
        <f t="shared" si="292"/>
        <v>0</v>
      </c>
      <c r="GK91" s="292">
        <f t="shared" si="292"/>
        <v>0</v>
      </c>
      <c r="GL91" s="292">
        <f t="shared" si="292"/>
        <v>0</v>
      </c>
      <c r="GM91" s="292">
        <f t="shared" si="292"/>
        <v>0</v>
      </c>
      <c r="GN91" s="292">
        <f t="shared" si="292"/>
        <v>0</v>
      </c>
      <c r="GO91" s="292">
        <f t="shared" si="292"/>
        <v>0</v>
      </c>
      <c r="GP91" s="292">
        <f t="shared" si="292"/>
        <v>0</v>
      </c>
      <c r="GQ91" s="292">
        <f t="shared" si="292"/>
        <v>0</v>
      </c>
      <c r="GR91" s="292">
        <f t="shared" si="292"/>
        <v>0</v>
      </c>
      <c r="GS91" s="292">
        <f t="shared" si="292"/>
        <v>0</v>
      </c>
      <c r="GT91" s="292">
        <f t="shared" si="292"/>
        <v>0</v>
      </c>
      <c r="GU91" s="292">
        <f t="shared" si="292"/>
        <v>0</v>
      </c>
      <c r="GV91" s="292">
        <f t="shared" si="292"/>
        <v>0</v>
      </c>
      <c r="GW91" s="292">
        <f t="shared" si="292"/>
        <v>0</v>
      </c>
      <c r="GX91" s="292">
        <f t="shared" si="292"/>
        <v>0</v>
      </c>
      <c r="GY91" s="292">
        <f t="shared" si="292"/>
        <v>0</v>
      </c>
      <c r="GZ91" s="292">
        <f t="shared" ref="GZ91:HT91" si="293">GZ61/2+GZ58+GZ67+GZ66</f>
        <v>0</v>
      </c>
      <c r="HA91" s="292">
        <f t="shared" si="293"/>
        <v>0</v>
      </c>
      <c r="HB91" s="292">
        <f t="shared" si="293"/>
        <v>0</v>
      </c>
      <c r="HC91" s="292">
        <f t="shared" si="293"/>
        <v>0</v>
      </c>
      <c r="HD91" s="292">
        <f t="shared" si="293"/>
        <v>0</v>
      </c>
      <c r="HE91" s="292">
        <f t="shared" si="293"/>
        <v>0</v>
      </c>
      <c r="HF91" s="292">
        <f t="shared" si="293"/>
        <v>0</v>
      </c>
      <c r="HG91" s="292">
        <f t="shared" si="293"/>
        <v>0</v>
      </c>
      <c r="HH91" s="292">
        <f t="shared" si="293"/>
        <v>0</v>
      </c>
      <c r="HI91" s="292">
        <f t="shared" si="293"/>
        <v>0</v>
      </c>
      <c r="HJ91" s="292">
        <f t="shared" si="293"/>
        <v>0</v>
      </c>
      <c r="HK91" s="292">
        <f t="shared" si="293"/>
        <v>0</v>
      </c>
      <c r="HL91" s="292">
        <f t="shared" si="293"/>
        <v>0</v>
      </c>
      <c r="HM91" s="292">
        <f t="shared" si="293"/>
        <v>0</v>
      </c>
      <c r="HN91" s="292">
        <f t="shared" si="293"/>
        <v>0</v>
      </c>
      <c r="HO91" s="292">
        <f t="shared" si="293"/>
        <v>0</v>
      </c>
      <c r="HP91" s="292">
        <f t="shared" si="293"/>
        <v>0</v>
      </c>
      <c r="HQ91" s="292">
        <f t="shared" si="293"/>
        <v>0</v>
      </c>
      <c r="HR91" s="292">
        <f t="shared" si="293"/>
        <v>0</v>
      </c>
      <c r="HS91" s="292">
        <f t="shared" si="293"/>
        <v>0</v>
      </c>
      <c r="HT91" s="292">
        <f t="shared" si="293"/>
        <v>0</v>
      </c>
    </row>
    <row r="92" spans="2:229" x14ac:dyDescent="0.25">
      <c r="B92" s="495"/>
      <c r="C92" s="438" t="s">
        <v>89</v>
      </c>
      <c r="E92">
        <f>E34/2+E41+E44</f>
        <v>0</v>
      </c>
      <c r="F92">
        <f t="shared" ref="F92:N92" si="294">F34/2+F41+F44</f>
        <v>0</v>
      </c>
      <c r="G92">
        <f t="shared" si="294"/>
        <v>0</v>
      </c>
      <c r="H92">
        <f t="shared" si="294"/>
        <v>0</v>
      </c>
      <c r="I92">
        <f t="shared" si="294"/>
        <v>0</v>
      </c>
      <c r="J92">
        <f t="shared" si="294"/>
        <v>0</v>
      </c>
      <c r="K92">
        <f t="shared" si="294"/>
        <v>0</v>
      </c>
      <c r="L92">
        <f t="shared" si="294"/>
        <v>0</v>
      </c>
      <c r="M92">
        <f t="shared" si="294"/>
        <v>0</v>
      </c>
      <c r="N92">
        <f t="shared" si="294"/>
        <v>0</v>
      </c>
      <c r="O92" s="293">
        <f>O58/2+O68+O65</f>
        <v>0</v>
      </c>
      <c r="P92" s="293">
        <f t="shared" ref="P92:CA92" si="295">P58/2+P68+P65</f>
        <v>0</v>
      </c>
      <c r="Q92" s="293">
        <f t="shared" si="295"/>
        <v>0</v>
      </c>
      <c r="R92" s="293">
        <f t="shared" si="295"/>
        <v>0</v>
      </c>
      <c r="S92" s="293">
        <f t="shared" si="295"/>
        <v>0</v>
      </c>
      <c r="T92" s="293">
        <f t="shared" si="295"/>
        <v>0</v>
      </c>
      <c r="U92" s="293">
        <f t="shared" si="295"/>
        <v>0</v>
      </c>
      <c r="V92" s="293">
        <f t="shared" si="295"/>
        <v>0</v>
      </c>
      <c r="W92" s="293">
        <f t="shared" si="295"/>
        <v>0</v>
      </c>
      <c r="X92" s="293">
        <f t="shared" si="295"/>
        <v>0</v>
      </c>
      <c r="Y92" s="293">
        <f t="shared" si="295"/>
        <v>0</v>
      </c>
      <c r="Z92" s="293">
        <f t="shared" si="295"/>
        <v>0</v>
      </c>
      <c r="AA92" s="293">
        <f t="shared" si="295"/>
        <v>0</v>
      </c>
      <c r="AB92" s="293">
        <f t="shared" si="295"/>
        <v>0</v>
      </c>
      <c r="AC92" s="293">
        <f t="shared" si="295"/>
        <v>0</v>
      </c>
      <c r="AD92" s="293">
        <f t="shared" si="295"/>
        <v>0</v>
      </c>
      <c r="AE92" s="293">
        <f t="shared" si="295"/>
        <v>0</v>
      </c>
      <c r="AF92" s="293">
        <f t="shared" si="295"/>
        <v>0</v>
      </c>
      <c r="AG92" s="293">
        <f t="shared" si="295"/>
        <v>0</v>
      </c>
      <c r="AH92" s="293">
        <f t="shared" si="295"/>
        <v>0</v>
      </c>
      <c r="AI92" s="293">
        <f t="shared" si="295"/>
        <v>0</v>
      </c>
      <c r="AJ92" s="293">
        <f t="shared" si="295"/>
        <v>0</v>
      </c>
      <c r="AK92" s="293">
        <f t="shared" si="295"/>
        <v>0</v>
      </c>
      <c r="AL92" s="293">
        <f t="shared" si="295"/>
        <v>0</v>
      </c>
      <c r="AM92" s="293">
        <f t="shared" si="295"/>
        <v>0</v>
      </c>
      <c r="AN92" s="293">
        <f t="shared" si="295"/>
        <v>0</v>
      </c>
      <c r="AO92" s="293">
        <f t="shared" si="295"/>
        <v>0</v>
      </c>
      <c r="AP92" s="293">
        <f t="shared" si="295"/>
        <v>0</v>
      </c>
      <c r="AQ92" s="293">
        <f t="shared" si="295"/>
        <v>0</v>
      </c>
      <c r="AR92" s="293">
        <f t="shared" si="295"/>
        <v>0</v>
      </c>
      <c r="AS92" s="293">
        <f t="shared" si="295"/>
        <v>0</v>
      </c>
      <c r="AT92" s="293">
        <f t="shared" si="295"/>
        <v>0</v>
      </c>
      <c r="AU92" s="293">
        <f t="shared" si="295"/>
        <v>0</v>
      </c>
      <c r="AV92" s="293">
        <f t="shared" si="295"/>
        <v>0</v>
      </c>
      <c r="AW92" s="293">
        <f t="shared" si="295"/>
        <v>0</v>
      </c>
      <c r="AX92" s="293">
        <f t="shared" si="295"/>
        <v>0</v>
      </c>
      <c r="AY92" s="293">
        <f t="shared" si="295"/>
        <v>0</v>
      </c>
      <c r="AZ92" s="293">
        <f t="shared" si="295"/>
        <v>0</v>
      </c>
      <c r="BA92" s="293">
        <f t="shared" si="295"/>
        <v>0</v>
      </c>
      <c r="BB92" s="293">
        <f t="shared" si="295"/>
        <v>0</v>
      </c>
      <c r="BC92" s="293">
        <f t="shared" si="295"/>
        <v>0</v>
      </c>
      <c r="BD92" s="293">
        <f t="shared" si="295"/>
        <v>0</v>
      </c>
      <c r="BE92" s="293">
        <f t="shared" si="295"/>
        <v>0</v>
      </c>
      <c r="BF92" s="293">
        <f t="shared" si="295"/>
        <v>0</v>
      </c>
      <c r="BG92" s="293">
        <f t="shared" si="295"/>
        <v>0</v>
      </c>
      <c r="BH92" s="293">
        <f t="shared" si="295"/>
        <v>0</v>
      </c>
      <c r="BI92" s="293">
        <f t="shared" si="295"/>
        <v>0</v>
      </c>
      <c r="BJ92" s="293">
        <f t="shared" si="295"/>
        <v>0</v>
      </c>
      <c r="BK92" s="293">
        <f t="shared" si="295"/>
        <v>0</v>
      </c>
      <c r="BL92" s="293">
        <f t="shared" si="295"/>
        <v>0</v>
      </c>
      <c r="BM92" s="293">
        <f t="shared" si="295"/>
        <v>0</v>
      </c>
      <c r="BN92" s="293">
        <f t="shared" si="295"/>
        <v>0</v>
      </c>
      <c r="BO92" s="293">
        <f t="shared" si="295"/>
        <v>0</v>
      </c>
      <c r="BP92" s="293">
        <f t="shared" si="295"/>
        <v>0</v>
      </c>
      <c r="BQ92" s="293">
        <f t="shared" si="295"/>
        <v>0</v>
      </c>
      <c r="BR92" s="293">
        <f t="shared" si="295"/>
        <v>0</v>
      </c>
      <c r="BS92" s="293">
        <f t="shared" si="295"/>
        <v>0</v>
      </c>
      <c r="BT92" s="293">
        <f t="shared" si="295"/>
        <v>0</v>
      </c>
      <c r="BU92" s="293">
        <f t="shared" si="295"/>
        <v>0</v>
      </c>
      <c r="BV92" s="293">
        <f t="shared" si="295"/>
        <v>0</v>
      </c>
      <c r="BW92" s="293">
        <f t="shared" si="295"/>
        <v>0</v>
      </c>
      <c r="BX92" s="293">
        <f t="shared" si="295"/>
        <v>0</v>
      </c>
      <c r="BY92" s="293">
        <f t="shared" si="295"/>
        <v>0</v>
      </c>
      <c r="BZ92" s="293">
        <f t="shared" si="295"/>
        <v>0</v>
      </c>
      <c r="CA92" s="293">
        <f t="shared" si="295"/>
        <v>0</v>
      </c>
      <c r="CB92" s="293">
        <f t="shared" ref="CB92:EM92" si="296">CB58/2+CB68+CB65</f>
        <v>0</v>
      </c>
      <c r="CC92" s="293">
        <f t="shared" si="296"/>
        <v>0</v>
      </c>
      <c r="CD92" s="293">
        <f t="shared" si="296"/>
        <v>0</v>
      </c>
      <c r="CE92" s="293">
        <f t="shared" si="296"/>
        <v>0</v>
      </c>
      <c r="CF92" s="293">
        <f t="shared" si="296"/>
        <v>0</v>
      </c>
      <c r="CG92" s="293">
        <f t="shared" si="296"/>
        <v>0</v>
      </c>
      <c r="CH92" s="293">
        <f t="shared" si="296"/>
        <v>0</v>
      </c>
      <c r="CI92" s="293">
        <f t="shared" si="296"/>
        <v>0</v>
      </c>
      <c r="CJ92" s="293">
        <f t="shared" si="296"/>
        <v>0</v>
      </c>
      <c r="CK92" s="293">
        <f t="shared" si="296"/>
        <v>0</v>
      </c>
      <c r="CL92" s="293">
        <f t="shared" si="296"/>
        <v>0</v>
      </c>
      <c r="CM92" s="293">
        <f t="shared" si="296"/>
        <v>0</v>
      </c>
      <c r="CN92" s="293">
        <f t="shared" si="296"/>
        <v>0</v>
      </c>
      <c r="CO92" s="293">
        <f t="shared" si="296"/>
        <v>0</v>
      </c>
      <c r="CP92" s="293">
        <f t="shared" si="296"/>
        <v>0</v>
      </c>
      <c r="CQ92" s="293">
        <f t="shared" si="296"/>
        <v>0</v>
      </c>
      <c r="CR92" s="293">
        <f t="shared" si="296"/>
        <v>0</v>
      </c>
      <c r="CS92" s="293">
        <f t="shared" si="296"/>
        <v>0</v>
      </c>
      <c r="CT92" s="293">
        <f t="shared" si="296"/>
        <v>0</v>
      </c>
      <c r="CU92" s="293">
        <f t="shared" si="296"/>
        <v>0</v>
      </c>
      <c r="CV92" s="293">
        <f t="shared" si="296"/>
        <v>0</v>
      </c>
      <c r="CW92" s="293">
        <f t="shared" si="296"/>
        <v>0</v>
      </c>
      <c r="CX92" s="293">
        <f t="shared" si="296"/>
        <v>0</v>
      </c>
      <c r="CY92" s="293">
        <f t="shared" si="296"/>
        <v>0</v>
      </c>
      <c r="CZ92" s="293">
        <f t="shared" si="296"/>
        <v>0</v>
      </c>
      <c r="DA92" s="293">
        <f t="shared" si="296"/>
        <v>0</v>
      </c>
      <c r="DB92" s="293">
        <f t="shared" si="296"/>
        <v>0</v>
      </c>
      <c r="DC92" s="293">
        <f t="shared" si="296"/>
        <v>0</v>
      </c>
      <c r="DD92" s="293">
        <f t="shared" si="296"/>
        <v>0</v>
      </c>
      <c r="DE92" s="293">
        <f t="shared" si="296"/>
        <v>0</v>
      </c>
      <c r="DF92" s="293">
        <f t="shared" si="296"/>
        <v>0</v>
      </c>
      <c r="DG92" s="293">
        <f t="shared" si="296"/>
        <v>0</v>
      </c>
      <c r="DH92" s="293">
        <f t="shared" si="296"/>
        <v>0</v>
      </c>
      <c r="DI92" s="293">
        <f t="shared" si="296"/>
        <v>0</v>
      </c>
      <c r="DJ92" s="293">
        <f t="shared" si="296"/>
        <v>0</v>
      </c>
      <c r="DK92" s="293">
        <f t="shared" si="296"/>
        <v>0</v>
      </c>
      <c r="DL92" s="293">
        <f t="shared" si="296"/>
        <v>0</v>
      </c>
      <c r="DM92" s="293">
        <f t="shared" si="296"/>
        <v>0</v>
      </c>
      <c r="DN92" s="293">
        <f t="shared" si="296"/>
        <v>0</v>
      </c>
      <c r="DO92" s="293">
        <f t="shared" si="296"/>
        <v>0</v>
      </c>
      <c r="DP92" s="293">
        <f t="shared" si="296"/>
        <v>0</v>
      </c>
      <c r="DQ92" s="293">
        <f t="shared" si="296"/>
        <v>0</v>
      </c>
      <c r="DR92" s="293">
        <f t="shared" si="296"/>
        <v>0</v>
      </c>
      <c r="DS92" s="293">
        <f t="shared" si="296"/>
        <v>0</v>
      </c>
      <c r="DT92" s="293">
        <f t="shared" si="296"/>
        <v>0</v>
      </c>
      <c r="DU92" s="293">
        <f t="shared" si="296"/>
        <v>0</v>
      </c>
      <c r="DV92" s="293">
        <f t="shared" si="296"/>
        <v>0</v>
      </c>
      <c r="DW92" s="293">
        <f t="shared" si="296"/>
        <v>0</v>
      </c>
      <c r="DX92" s="293">
        <f t="shared" si="296"/>
        <v>0</v>
      </c>
      <c r="DY92" s="293">
        <f t="shared" si="296"/>
        <v>0</v>
      </c>
      <c r="DZ92" s="293">
        <f t="shared" si="296"/>
        <v>0</v>
      </c>
      <c r="EA92" s="293">
        <f t="shared" si="296"/>
        <v>0</v>
      </c>
      <c r="EB92" s="293">
        <f t="shared" si="296"/>
        <v>0</v>
      </c>
      <c r="EC92" s="293">
        <f t="shared" si="296"/>
        <v>0</v>
      </c>
      <c r="ED92" s="293">
        <f t="shared" si="296"/>
        <v>0</v>
      </c>
      <c r="EE92" s="293">
        <f t="shared" si="296"/>
        <v>0</v>
      </c>
      <c r="EF92" s="293">
        <f t="shared" si="296"/>
        <v>0</v>
      </c>
      <c r="EG92" s="293">
        <f t="shared" si="296"/>
        <v>0</v>
      </c>
      <c r="EH92" s="293">
        <f t="shared" si="296"/>
        <v>0</v>
      </c>
      <c r="EI92" s="293">
        <f t="shared" si="296"/>
        <v>0</v>
      </c>
      <c r="EJ92" s="293">
        <f t="shared" si="296"/>
        <v>0</v>
      </c>
      <c r="EK92" s="293">
        <f t="shared" si="296"/>
        <v>0</v>
      </c>
      <c r="EL92" s="293">
        <f t="shared" si="296"/>
        <v>0</v>
      </c>
      <c r="EM92" s="293">
        <f t="shared" si="296"/>
        <v>0</v>
      </c>
      <c r="EN92" s="293">
        <f t="shared" ref="EN92:GY92" si="297">EN58/2+EN68+EN65</f>
        <v>0</v>
      </c>
      <c r="EO92" s="293">
        <f t="shared" si="297"/>
        <v>0</v>
      </c>
      <c r="EP92" s="293">
        <f t="shared" si="297"/>
        <v>0</v>
      </c>
      <c r="EQ92" s="293">
        <f t="shared" si="297"/>
        <v>0</v>
      </c>
      <c r="ER92" s="293">
        <f t="shared" si="297"/>
        <v>0</v>
      </c>
      <c r="ES92" s="293">
        <f t="shared" si="297"/>
        <v>0</v>
      </c>
      <c r="ET92" s="293">
        <f t="shared" si="297"/>
        <v>0</v>
      </c>
      <c r="EU92" s="293">
        <f t="shared" si="297"/>
        <v>0</v>
      </c>
      <c r="EV92" s="293">
        <f t="shared" si="297"/>
        <v>0</v>
      </c>
      <c r="EW92" s="293">
        <f t="shared" si="297"/>
        <v>0</v>
      </c>
      <c r="EX92" s="293">
        <f t="shared" si="297"/>
        <v>0</v>
      </c>
      <c r="EY92" s="293">
        <f t="shared" si="297"/>
        <v>0</v>
      </c>
      <c r="EZ92" s="293">
        <f t="shared" si="297"/>
        <v>0</v>
      </c>
      <c r="FA92" s="293">
        <f t="shared" si="297"/>
        <v>0</v>
      </c>
      <c r="FB92" s="293">
        <f t="shared" si="297"/>
        <v>0</v>
      </c>
      <c r="FC92" s="293">
        <f t="shared" si="297"/>
        <v>0</v>
      </c>
      <c r="FD92" s="293">
        <f t="shared" si="297"/>
        <v>0</v>
      </c>
      <c r="FE92" s="293">
        <f t="shared" si="297"/>
        <v>0</v>
      </c>
      <c r="FF92" s="293">
        <f t="shared" si="297"/>
        <v>0</v>
      </c>
      <c r="FG92" s="293">
        <f t="shared" si="297"/>
        <v>0</v>
      </c>
      <c r="FH92" s="293">
        <f t="shared" si="297"/>
        <v>0</v>
      </c>
      <c r="FI92" s="293">
        <f t="shared" si="297"/>
        <v>0</v>
      </c>
      <c r="FJ92" s="293">
        <f t="shared" si="297"/>
        <v>0</v>
      </c>
      <c r="FK92" s="293">
        <f t="shared" si="297"/>
        <v>0</v>
      </c>
      <c r="FL92" s="293">
        <f t="shared" si="297"/>
        <v>0</v>
      </c>
      <c r="FM92" s="293">
        <f t="shared" si="297"/>
        <v>0</v>
      </c>
      <c r="FN92" s="293">
        <f t="shared" si="297"/>
        <v>0</v>
      </c>
      <c r="FO92" s="293">
        <f t="shared" si="297"/>
        <v>0</v>
      </c>
      <c r="FP92" s="293">
        <f t="shared" si="297"/>
        <v>0</v>
      </c>
      <c r="FQ92" s="293">
        <f t="shared" si="297"/>
        <v>0</v>
      </c>
      <c r="FR92" s="293">
        <f t="shared" si="297"/>
        <v>0</v>
      </c>
      <c r="FS92" s="293">
        <f t="shared" si="297"/>
        <v>0</v>
      </c>
      <c r="FT92" s="293">
        <f t="shared" si="297"/>
        <v>0</v>
      </c>
      <c r="FU92" s="293">
        <f t="shared" si="297"/>
        <v>0</v>
      </c>
      <c r="FV92" s="293">
        <f t="shared" si="297"/>
        <v>0</v>
      </c>
      <c r="FW92" s="293">
        <f t="shared" si="297"/>
        <v>0</v>
      </c>
      <c r="FX92" s="293">
        <f t="shared" si="297"/>
        <v>0</v>
      </c>
      <c r="FY92" s="293">
        <f t="shared" si="297"/>
        <v>0</v>
      </c>
      <c r="FZ92" s="293">
        <f t="shared" si="297"/>
        <v>0</v>
      </c>
      <c r="GA92" s="293">
        <f t="shared" si="297"/>
        <v>0</v>
      </c>
      <c r="GB92" s="293">
        <f t="shared" si="297"/>
        <v>0</v>
      </c>
      <c r="GC92" s="293">
        <f t="shared" si="297"/>
        <v>0</v>
      </c>
      <c r="GD92" s="293">
        <f t="shared" si="297"/>
        <v>0</v>
      </c>
      <c r="GE92" s="293">
        <f t="shared" si="297"/>
        <v>0</v>
      </c>
      <c r="GF92" s="293">
        <f t="shared" si="297"/>
        <v>0</v>
      </c>
      <c r="GG92" s="293">
        <f t="shared" si="297"/>
        <v>0</v>
      </c>
      <c r="GH92" s="293">
        <f t="shared" si="297"/>
        <v>0</v>
      </c>
      <c r="GI92" s="293">
        <f t="shared" si="297"/>
        <v>0</v>
      </c>
      <c r="GJ92" s="293">
        <f t="shared" si="297"/>
        <v>0</v>
      </c>
      <c r="GK92" s="293">
        <f t="shared" si="297"/>
        <v>0</v>
      </c>
      <c r="GL92" s="293">
        <f t="shared" si="297"/>
        <v>0</v>
      </c>
      <c r="GM92" s="293">
        <f t="shared" si="297"/>
        <v>0</v>
      </c>
      <c r="GN92" s="293">
        <f t="shared" si="297"/>
        <v>0</v>
      </c>
      <c r="GO92" s="293">
        <f t="shared" si="297"/>
        <v>0</v>
      </c>
      <c r="GP92" s="293">
        <f t="shared" si="297"/>
        <v>0</v>
      </c>
      <c r="GQ92" s="293">
        <f t="shared" si="297"/>
        <v>0</v>
      </c>
      <c r="GR92" s="293">
        <f t="shared" si="297"/>
        <v>0</v>
      </c>
      <c r="GS92" s="293">
        <f t="shared" si="297"/>
        <v>0</v>
      </c>
      <c r="GT92" s="293">
        <f t="shared" si="297"/>
        <v>0</v>
      </c>
      <c r="GU92" s="293">
        <f t="shared" si="297"/>
        <v>0</v>
      </c>
      <c r="GV92" s="293">
        <f t="shared" si="297"/>
        <v>0</v>
      </c>
      <c r="GW92" s="293">
        <f t="shared" si="297"/>
        <v>0</v>
      </c>
      <c r="GX92" s="293">
        <f t="shared" si="297"/>
        <v>0</v>
      </c>
      <c r="GY92" s="293">
        <f t="shared" si="297"/>
        <v>0</v>
      </c>
      <c r="GZ92" s="293">
        <f t="shared" ref="GZ92:HT92" si="298">GZ58/2+GZ68+GZ65</f>
        <v>0</v>
      </c>
      <c r="HA92" s="293">
        <f t="shared" si="298"/>
        <v>0</v>
      </c>
      <c r="HB92" s="293">
        <f t="shared" si="298"/>
        <v>0</v>
      </c>
      <c r="HC92" s="293">
        <f t="shared" si="298"/>
        <v>0</v>
      </c>
      <c r="HD92" s="293">
        <f t="shared" si="298"/>
        <v>0</v>
      </c>
      <c r="HE92" s="293">
        <f t="shared" si="298"/>
        <v>0</v>
      </c>
      <c r="HF92" s="293">
        <f t="shared" si="298"/>
        <v>0</v>
      </c>
      <c r="HG92" s="293">
        <f t="shared" si="298"/>
        <v>0</v>
      </c>
      <c r="HH92" s="293">
        <f t="shared" si="298"/>
        <v>0</v>
      </c>
      <c r="HI92" s="293">
        <f t="shared" si="298"/>
        <v>0</v>
      </c>
      <c r="HJ92" s="293">
        <f t="shared" si="298"/>
        <v>0</v>
      </c>
      <c r="HK92" s="293">
        <f t="shared" si="298"/>
        <v>0</v>
      </c>
      <c r="HL92" s="293">
        <f t="shared" si="298"/>
        <v>0</v>
      </c>
      <c r="HM92" s="293">
        <f t="shared" si="298"/>
        <v>0</v>
      </c>
      <c r="HN92" s="293">
        <f t="shared" si="298"/>
        <v>0</v>
      </c>
      <c r="HO92" s="293">
        <f t="shared" si="298"/>
        <v>0</v>
      </c>
      <c r="HP92" s="293">
        <f t="shared" si="298"/>
        <v>0</v>
      </c>
      <c r="HQ92" s="293">
        <f t="shared" si="298"/>
        <v>0</v>
      </c>
      <c r="HR92" s="293">
        <f t="shared" si="298"/>
        <v>0</v>
      </c>
      <c r="HS92" s="293">
        <f t="shared" si="298"/>
        <v>0</v>
      </c>
      <c r="HT92" s="293">
        <f t="shared" si="298"/>
        <v>0</v>
      </c>
    </row>
  </sheetData>
  <mergeCells count="25">
    <mergeCell ref="B90:B92"/>
    <mergeCell ref="EG7:FJ7"/>
    <mergeCell ref="B82:B84"/>
    <mergeCell ref="B34:B44"/>
    <mergeCell ref="B74:B76"/>
    <mergeCell ref="A70:C70"/>
    <mergeCell ref="B78:B80"/>
    <mergeCell ref="B46:B56"/>
    <mergeCell ref="B58:B68"/>
    <mergeCell ref="GP7:HT7"/>
    <mergeCell ref="FK7:GO7"/>
    <mergeCell ref="B86:B88"/>
    <mergeCell ref="A1:C5"/>
    <mergeCell ref="D1:HU5"/>
    <mergeCell ref="B9:B19"/>
    <mergeCell ref="B22:B32"/>
    <mergeCell ref="A7:A8"/>
    <mergeCell ref="B7:B8"/>
    <mergeCell ref="C7:C8"/>
    <mergeCell ref="D7:D8"/>
    <mergeCell ref="E7:M7"/>
    <mergeCell ref="O7:AP7"/>
    <mergeCell ref="AR7:BV7"/>
    <mergeCell ref="BX7:DA7"/>
    <mergeCell ref="DB7:EF7"/>
  </mergeCells>
  <pageMargins left="0.7" right="0.7" top="0.75" bottom="0.75" header="0.3" footer="0.3"/>
  <pageSetup scale="11" fitToHeight="0" orientation="landscape" r:id="rId1"/>
  <ignoredErrors>
    <ignoredError sqref="F2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F1C8-B629-4575-BAC5-1D643C9690D3}">
  <sheetPr>
    <pageSetUpPr fitToPage="1"/>
  </sheetPr>
  <dimension ref="A1:HB90"/>
  <sheetViews>
    <sheetView zoomScale="85" zoomScaleNormal="85" zoomScaleSheetLayoutView="82" workbookViewId="0">
      <pane xSplit="4" ySplit="8" topLeftCell="FO9" activePane="bottomRight" state="frozen"/>
      <selection pane="topRight" activeCell="F1" sqref="F1"/>
      <selection pane="bottomLeft" activeCell="A2" sqref="A2"/>
      <selection pane="bottomRight" activeCell="GK20" sqref="GK20"/>
    </sheetView>
  </sheetViews>
  <sheetFormatPr defaultRowHeight="15" x14ac:dyDescent="0.25"/>
  <cols>
    <col min="1" max="1" width="11.5703125" customWidth="1"/>
    <col min="2" max="2" width="13.5703125" customWidth="1"/>
    <col min="3" max="3" width="35.7109375" style="8" customWidth="1"/>
    <col min="4" max="4" width="8" customWidth="1"/>
    <col min="5" max="40" width="6.42578125" customWidth="1"/>
    <col min="41" max="41" width="1.28515625" customWidth="1"/>
    <col min="42" max="202" width="6.42578125" customWidth="1"/>
    <col min="203" max="203" width="12.7109375" customWidth="1"/>
    <col min="204" max="204" width="12.28515625" style="45" customWidth="1"/>
    <col min="205" max="205" width="12.28515625" customWidth="1"/>
    <col min="206" max="206" width="8.7109375" customWidth="1"/>
    <col min="207" max="207" width="9.5703125" customWidth="1"/>
    <col min="208" max="208" width="8.7109375" customWidth="1"/>
    <col min="209" max="209" width="14.42578125" style="48" customWidth="1"/>
    <col min="210" max="210" width="16.28515625" customWidth="1"/>
    <col min="212" max="212" width="10.28515625" customWidth="1"/>
  </cols>
  <sheetData>
    <row r="1" spans="1:210" ht="15.75" customHeight="1" x14ac:dyDescent="0.25">
      <c r="A1" s="454" t="e" vm="2">
        <v>#VALUE!</v>
      </c>
      <c r="B1" s="454"/>
      <c r="C1" s="454"/>
      <c r="D1" s="489" t="s">
        <v>35</v>
      </c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  <c r="AO1" s="499"/>
      <c r="AP1" s="499"/>
      <c r="AQ1" s="499"/>
      <c r="AR1" s="499"/>
      <c r="AS1" s="499"/>
      <c r="AT1" s="499"/>
      <c r="AU1" s="499"/>
      <c r="AV1" s="499"/>
      <c r="AW1" s="499"/>
      <c r="AX1" s="499"/>
      <c r="AY1" s="499"/>
      <c r="AZ1" s="499"/>
      <c r="BA1" s="499"/>
      <c r="BB1" s="499"/>
      <c r="BC1" s="499"/>
      <c r="BD1" s="499"/>
      <c r="BE1" s="499"/>
      <c r="BF1" s="499"/>
      <c r="BG1" s="499"/>
      <c r="BH1" s="499"/>
      <c r="BI1" s="499"/>
      <c r="BJ1" s="499"/>
      <c r="BK1" s="499"/>
      <c r="BL1" s="499"/>
      <c r="BM1" s="499"/>
      <c r="BN1" s="499"/>
      <c r="BO1" s="499"/>
      <c r="BP1" s="499"/>
      <c r="BQ1" s="499"/>
      <c r="BR1" s="499"/>
      <c r="BS1" s="499"/>
      <c r="BT1" s="499"/>
      <c r="BU1" s="499"/>
      <c r="BV1" s="499"/>
      <c r="BW1" s="499"/>
      <c r="BX1" s="499"/>
      <c r="BY1" s="499"/>
      <c r="BZ1" s="499"/>
      <c r="CA1" s="499"/>
      <c r="CB1" s="499"/>
      <c r="CC1" s="499"/>
      <c r="CD1" s="499"/>
      <c r="CE1" s="499"/>
      <c r="CF1" s="499"/>
      <c r="CG1" s="499"/>
      <c r="CH1" s="499"/>
      <c r="CI1" s="499"/>
      <c r="CJ1" s="499"/>
      <c r="CK1" s="499"/>
      <c r="CL1" s="499"/>
      <c r="CM1" s="499"/>
      <c r="CN1" s="499"/>
      <c r="CO1" s="499"/>
      <c r="CP1" s="499"/>
      <c r="CQ1" s="499"/>
      <c r="CR1" s="499"/>
      <c r="CS1" s="499"/>
      <c r="CT1" s="499"/>
      <c r="CU1" s="499"/>
      <c r="CV1" s="499"/>
      <c r="CW1" s="499"/>
      <c r="CX1" s="499"/>
      <c r="CY1" s="499"/>
      <c r="CZ1" s="499"/>
      <c r="DA1" s="499"/>
      <c r="DB1" s="499"/>
      <c r="DC1" s="499"/>
      <c r="DD1" s="499"/>
      <c r="DE1" s="499"/>
      <c r="DF1" s="499"/>
      <c r="DG1" s="499"/>
      <c r="DH1" s="499"/>
      <c r="DI1" s="499"/>
      <c r="DJ1" s="499"/>
      <c r="DK1" s="499"/>
      <c r="DL1" s="499"/>
      <c r="DM1" s="499"/>
      <c r="DN1" s="499"/>
      <c r="DO1" s="499"/>
      <c r="DP1" s="499"/>
      <c r="DQ1" s="499"/>
      <c r="DR1" s="499"/>
      <c r="DS1" s="499"/>
      <c r="DT1" s="499"/>
      <c r="DU1" s="499"/>
      <c r="DV1" s="499"/>
      <c r="DW1" s="499"/>
      <c r="DX1" s="499"/>
      <c r="DY1" s="499"/>
      <c r="DZ1" s="499"/>
      <c r="EA1" s="499"/>
      <c r="EB1" s="499"/>
      <c r="EC1" s="499"/>
      <c r="ED1" s="499"/>
      <c r="EE1" s="499"/>
      <c r="EF1" s="499"/>
      <c r="EG1" s="499"/>
      <c r="EH1" s="499"/>
      <c r="EI1" s="499"/>
      <c r="EJ1" s="499"/>
      <c r="EK1" s="499"/>
      <c r="EL1" s="499"/>
      <c r="EM1" s="499"/>
      <c r="EN1" s="499"/>
      <c r="EO1" s="499"/>
      <c r="EP1" s="499"/>
      <c r="EQ1" s="499"/>
      <c r="ER1" s="499"/>
      <c r="ES1" s="499"/>
      <c r="ET1" s="499"/>
      <c r="EU1" s="499"/>
      <c r="EV1" s="499"/>
      <c r="EW1" s="499"/>
      <c r="EX1" s="499"/>
      <c r="EY1" s="499"/>
      <c r="EZ1" s="499"/>
      <c r="FA1" s="499"/>
      <c r="FB1" s="499"/>
      <c r="FC1" s="499"/>
      <c r="FD1" s="499"/>
      <c r="FE1" s="499"/>
      <c r="FF1" s="499"/>
      <c r="FG1" s="499"/>
      <c r="FH1" s="499"/>
      <c r="FI1" s="499"/>
      <c r="FJ1" s="499"/>
      <c r="FK1" s="499"/>
      <c r="FL1" s="499"/>
      <c r="FM1" s="499"/>
      <c r="FN1" s="499"/>
      <c r="FO1" s="499"/>
      <c r="FP1" s="499"/>
      <c r="FQ1" s="499"/>
      <c r="FR1" s="499"/>
      <c r="FS1" s="499"/>
      <c r="FT1" s="499"/>
      <c r="FU1" s="499"/>
      <c r="FV1" s="499"/>
      <c r="FW1" s="499"/>
      <c r="FX1" s="499"/>
      <c r="FY1" s="499"/>
      <c r="FZ1" s="499"/>
      <c r="GA1" s="499"/>
      <c r="GB1" s="499"/>
      <c r="GC1" s="499"/>
      <c r="GD1" s="499"/>
      <c r="GE1" s="499"/>
      <c r="GF1" s="499"/>
      <c r="GG1" s="499"/>
      <c r="GH1" s="499"/>
      <c r="GI1" s="499"/>
      <c r="GJ1" s="499"/>
      <c r="GK1" s="499"/>
      <c r="GL1" s="499"/>
      <c r="GM1" s="499"/>
      <c r="GN1" s="499"/>
      <c r="GO1" s="499"/>
      <c r="GP1" s="499"/>
      <c r="GQ1" s="499"/>
      <c r="GR1" s="499"/>
      <c r="GS1" s="499"/>
      <c r="GT1" s="499"/>
      <c r="GU1" s="499"/>
      <c r="GV1" s="43"/>
    </row>
    <row r="2" spans="1:210" ht="15.75" customHeight="1" x14ac:dyDescent="0.25">
      <c r="A2" s="454"/>
      <c r="B2" s="454"/>
      <c r="C2" s="454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  <c r="BV2" s="499"/>
      <c r="BW2" s="499"/>
      <c r="BX2" s="499"/>
      <c r="BY2" s="499"/>
      <c r="BZ2" s="499"/>
      <c r="CA2" s="499"/>
      <c r="CB2" s="499"/>
      <c r="CC2" s="499"/>
      <c r="CD2" s="499"/>
      <c r="CE2" s="499"/>
      <c r="CF2" s="499"/>
      <c r="CG2" s="499"/>
      <c r="CH2" s="499"/>
      <c r="CI2" s="499"/>
      <c r="CJ2" s="499"/>
      <c r="CK2" s="499"/>
      <c r="CL2" s="499"/>
      <c r="CM2" s="499"/>
      <c r="CN2" s="499"/>
      <c r="CO2" s="499"/>
      <c r="CP2" s="499"/>
      <c r="CQ2" s="499"/>
      <c r="CR2" s="499"/>
      <c r="CS2" s="499"/>
      <c r="CT2" s="499"/>
      <c r="CU2" s="499"/>
      <c r="CV2" s="499"/>
      <c r="CW2" s="499"/>
      <c r="CX2" s="499"/>
      <c r="CY2" s="499"/>
      <c r="CZ2" s="499"/>
      <c r="DA2" s="499"/>
      <c r="DB2" s="499"/>
      <c r="DC2" s="499"/>
      <c r="DD2" s="499"/>
      <c r="DE2" s="499"/>
      <c r="DF2" s="499"/>
      <c r="DG2" s="499"/>
      <c r="DH2" s="499"/>
      <c r="DI2" s="499"/>
      <c r="DJ2" s="499"/>
      <c r="DK2" s="499"/>
      <c r="DL2" s="499"/>
      <c r="DM2" s="499"/>
      <c r="DN2" s="499"/>
      <c r="DO2" s="499"/>
      <c r="DP2" s="499"/>
      <c r="DQ2" s="499"/>
      <c r="DR2" s="499"/>
      <c r="DS2" s="499"/>
      <c r="DT2" s="499"/>
      <c r="DU2" s="499"/>
      <c r="DV2" s="499"/>
      <c r="DW2" s="499"/>
      <c r="DX2" s="499"/>
      <c r="DY2" s="499"/>
      <c r="DZ2" s="499"/>
      <c r="EA2" s="499"/>
      <c r="EB2" s="499"/>
      <c r="EC2" s="499"/>
      <c r="ED2" s="499"/>
      <c r="EE2" s="499"/>
      <c r="EF2" s="499"/>
      <c r="EG2" s="499"/>
      <c r="EH2" s="499"/>
      <c r="EI2" s="499"/>
      <c r="EJ2" s="499"/>
      <c r="EK2" s="499"/>
      <c r="EL2" s="499"/>
      <c r="EM2" s="499"/>
      <c r="EN2" s="499"/>
      <c r="EO2" s="499"/>
      <c r="EP2" s="499"/>
      <c r="EQ2" s="499"/>
      <c r="ER2" s="499"/>
      <c r="ES2" s="499"/>
      <c r="ET2" s="499"/>
      <c r="EU2" s="499"/>
      <c r="EV2" s="499"/>
      <c r="EW2" s="499"/>
      <c r="EX2" s="499"/>
      <c r="EY2" s="499"/>
      <c r="EZ2" s="499"/>
      <c r="FA2" s="499"/>
      <c r="FB2" s="499"/>
      <c r="FC2" s="499"/>
      <c r="FD2" s="499"/>
      <c r="FE2" s="499"/>
      <c r="FF2" s="499"/>
      <c r="FG2" s="499"/>
      <c r="FH2" s="499"/>
      <c r="FI2" s="499"/>
      <c r="FJ2" s="499"/>
      <c r="FK2" s="499"/>
      <c r="FL2" s="499"/>
      <c r="FM2" s="499"/>
      <c r="FN2" s="499"/>
      <c r="FO2" s="499"/>
      <c r="FP2" s="499"/>
      <c r="FQ2" s="499"/>
      <c r="FR2" s="499"/>
      <c r="FS2" s="499"/>
      <c r="FT2" s="499"/>
      <c r="FU2" s="499"/>
      <c r="FV2" s="499"/>
      <c r="FW2" s="499"/>
      <c r="FX2" s="499"/>
      <c r="FY2" s="499"/>
      <c r="FZ2" s="499"/>
      <c r="GA2" s="499"/>
      <c r="GB2" s="499"/>
      <c r="GC2" s="499"/>
      <c r="GD2" s="499"/>
      <c r="GE2" s="499"/>
      <c r="GF2" s="499"/>
      <c r="GG2" s="499"/>
      <c r="GH2" s="499"/>
      <c r="GI2" s="499"/>
      <c r="GJ2" s="499"/>
      <c r="GK2" s="499"/>
      <c r="GL2" s="499"/>
      <c r="GM2" s="499"/>
      <c r="GN2" s="499"/>
      <c r="GO2" s="499"/>
      <c r="GP2" s="499"/>
      <c r="GQ2" s="499"/>
      <c r="GR2" s="499"/>
      <c r="GS2" s="499"/>
      <c r="GT2" s="499"/>
      <c r="GU2" s="499"/>
      <c r="GV2" s="43"/>
    </row>
    <row r="3" spans="1:210" ht="15.75" customHeight="1" x14ac:dyDescent="0.25">
      <c r="A3" s="454"/>
      <c r="B3" s="454"/>
      <c r="C3" s="454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  <c r="AO3" s="499"/>
      <c r="AP3" s="499"/>
      <c r="AQ3" s="499"/>
      <c r="AR3" s="499"/>
      <c r="AS3" s="499"/>
      <c r="AT3" s="499"/>
      <c r="AU3" s="499"/>
      <c r="AV3" s="499"/>
      <c r="AW3" s="499"/>
      <c r="AX3" s="499"/>
      <c r="AY3" s="499"/>
      <c r="AZ3" s="499"/>
      <c r="BA3" s="499"/>
      <c r="BB3" s="499"/>
      <c r="BC3" s="499"/>
      <c r="BD3" s="499"/>
      <c r="BE3" s="499"/>
      <c r="BF3" s="499"/>
      <c r="BG3" s="499"/>
      <c r="BH3" s="499"/>
      <c r="BI3" s="499"/>
      <c r="BJ3" s="499"/>
      <c r="BK3" s="499"/>
      <c r="BL3" s="499"/>
      <c r="BM3" s="499"/>
      <c r="BN3" s="499"/>
      <c r="BO3" s="499"/>
      <c r="BP3" s="499"/>
      <c r="BQ3" s="499"/>
      <c r="BR3" s="499"/>
      <c r="BS3" s="499"/>
      <c r="BT3" s="499"/>
      <c r="BU3" s="499"/>
      <c r="BV3" s="499"/>
      <c r="BW3" s="499"/>
      <c r="BX3" s="499"/>
      <c r="BY3" s="499"/>
      <c r="BZ3" s="499"/>
      <c r="CA3" s="499"/>
      <c r="CB3" s="499"/>
      <c r="CC3" s="499"/>
      <c r="CD3" s="499"/>
      <c r="CE3" s="499"/>
      <c r="CF3" s="499"/>
      <c r="CG3" s="499"/>
      <c r="CH3" s="499"/>
      <c r="CI3" s="499"/>
      <c r="CJ3" s="499"/>
      <c r="CK3" s="499"/>
      <c r="CL3" s="499"/>
      <c r="CM3" s="499"/>
      <c r="CN3" s="499"/>
      <c r="CO3" s="499"/>
      <c r="CP3" s="499"/>
      <c r="CQ3" s="499"/>
      <c r="CR3" s="499"/>
      <c r="CS3" s="499"/>
      <c r="CT3" s="499"/>
      <c r="CU3" s="499"/>
      <c r="CV3" s="499"/>
      <c r="CW3" s="499"/>
      <c r="CX3" s="499"/>
      <c r="CY3" s="499"/>
      <c r="CZ3" s="499"/>
      <c r="DA3" s="499"/>
      <c r="DB3" s="499"/>
      <c r="DC3" s="499"/>
      <c r="DD3" s="499"/>
      <c r="DE3" s="499"/>
      <c r="DF3" s="499"/>
      <c r="DG3" s="499"/>
      <c r="DH3" s="499"/>
      <c r="DI3" s="499"/>
      <c r="DJ3" s="499"/>
      <c r="DK3" s="499"/>
      <c r="DL3" s="499"/>
      <c r="DM3" s="499"/>
      <c r="DN3" s="499"/>
      <c r="DO3" s="499"/>
      <c r="DP3" s="499"/>
      <c r="DQ3" s="499"/>
      <c r="DR3" s="499"/>
      <c r="DS3" s="499"/>
      <c r="DT3" s="499"/>
      <c r="DU3" s="499"/>
      <c r="DV3" s="499"/>
      <c r="DW3" s="499"/>
      <c r="DX3" s="499"/>
      <c r="DY3" s="499"/>
      <c r="DZ3" s="499"/>
      <c r="EA3" s="499"/>
      <c r="EB3" s="499"/>
      <c r="EC3" s="499"/>
      <c r="ED3" s="499"/>
      <c r="EE3" s="499"/>
      <c r="EF3" s="499"/>
      <c r="EG3" s="499"/>
      <c r="EH3" s="499"/>
      <c r="EI3" s="499"/>
      <c r="EJ3" s="499"/>
      <c r="EK3" s="499"/>
      <c r="EL3" s="499"/>
      <c r="EM3" s="499"/>
      <c r="EN3" s="499"/>
      <c r="EO3" s="499"/>
      <c r="EP3" s="499"/>
      <c r="EQ3" s="499"/>
      <c r="ER3" s="499"/>
      <c r="ES3" s="499"/>
      <c r="ET3" s="499"/>
      <c r="EU3" s="499"/>
      <c r="EV3" s="499"/>
      <c r="EW3" s="499"/>
      <c r="EX3" s="499"/>
      <c r="EY3" s="499"/>
      <c r="EZ3" s="499"/>
      <c r="FA3" s="499"/>
      <c r="FB3" s="499"/>
      <c r="FC3" s="499"/>
      <c r="FD3" s="499"/>
      <c r="FE3" s="499"/>
      <c r="FF3" s="499"/>
      <c r="FG3" s="499"/>
      <c r="FH3" s="499"/>
      <c r="FI3" s="499"/>
      <c r="FJ3" s="499"/>
      <c r="FK3" s="499"/>
      <c r="FL3" s="499"/>
      <c r="FM3" s="499"/>
      <c r="FN3" s="499"/>
      <c r="FO3" s="499"/>
      <c r="FP3" s="499"/>
      <c r="FQ3" s="499"/>
      <c r="FR3" s="499"/>
      <c r="FS3" s="499"/>
      <c r="FT3" s="499"/>
      <c r="FU3" s="499"/>
      <c r="FV3" s="499"/>
      <c r="FW3" s="499"/>
      <c r="FX3" s="499"/>
      <c r="FY3" s="499"/>
      <c r="FZ3" s="499"/>
      <c r="GA3" s="499"/>
      <c r="GB3" s="499"/>
      <c r="GC3" s="499"/>
      <c r="GD3" s="499"/>
      <c r="GE3" s="499"/>
      <c r="GF3" s="499"/>
      <c r="GG3" s="499"/>
      <c r="GH3" s="499"/>
      <c r="GI3" s="499"/>
      <c r="GJ3" s="499"/>
      <c r="GK3" s="499"/>
      <c r="GL3" s="499"/>
      <c r="GM3" s="499"/>
      <c r="GN3" s="499"/>
      <c r="GO3" s="499"/>
      <c r="GP3" s="499"/>
      <c r="GQ3" s="499"/>
      <c r="GR3" s="499"/>
      <c r="GS3" s="499"/>
      <c r="GT3" s="499"/>
      <c r="GU3" s="499"/>
      <c r="GV3" s="43"/>
    </row>
    <row r="4" spans="1:210" ht="15.75" customHeight="1" x14ac:dyDescent="0.25">
      <c r="A4" s="454"/>
      <c r="B4" s="454"/>
      <c r="C4" s="454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AS4" s="499"/>
      <c r="AT4" s="499"/>
      <c r="AU4" s="499"/>
      <c r="AV4" s="499"/>
      <c r="AW4" s="499"/>
      <c r="AX4" s="499"/>
      <c r="AY4" s="499"/>
      <c r="AZ4" s="499"/>
      <c r="BA4" s="499"/>
      <c r="BB4" s="499"/>
      <c r="BC4" s="499"/>
      <c r="BD4" s="499"/>
      <c r="BE4" s="499"/>
      <c r="BF4" s="499"/>
      <c r="BG4" s="499"/>
      <c r="BH4" s="499"/>
      <c r="BI4" s="499"/>
      <c r="BJ4" s="499"/>
      <c r="BK4" s="499"/>
      <c r="BL4" s="499"/>
      <c r="BM4" s="499"/>
      <c r="BN4" s="499"/>
      <c r="BO4" s="499"/>
      <c r="BP4" s="499"/>
      <c r="BQ4" s="499"/>
      <c r="BR4" s="499"/>
      <c r="BS4" s="499"/>
      <c r="BT4" s="499"/>
      <c r="BU4" s="499"/>
      <c r="BV4" s="499"/>
      <c r="BW4" s="499"/>
      <c r="BX4" s="499"/>
      <c r="BY4" s="499"/>
      <c r="BZ4" s="499"/>
      <c r="CA4" s="499"/>
      <c r="CB4" s="499"/>
      <c r="CC4" s="499"/>
      <c r="CD4" s="499"/>
      <c r="CE4" s="499"/>
      <c r="CF4" s="499"/>
      <c r="CG4" s="499"/>
      <c r="CH4" s="499"/>
      <c r="CI4" s="499"/>
      <c r="CJ4" s="499"/>
      <c r="CK4" s="499"/>
      <c r="CL4" s="499"/>
      <c r="CM4" s="499"/>
      <c r="CN4" s="499"/>
      <c r="CO4" s="499"/>
      <c r="CP4" s="499"/>
      <c r="CQ4" s="499"/>
      <c r="CR4" s="499"/>
      <c r="CS4" s="499"/>
      <c r="CT4" s="499"/>
      <c r="CU4" s="499"/>
      <c r="CV4" s="499"/>
      <c r="CW4" s="499"/>
      <c r="CX4" s="499"/>
      <c r="CY4" s="499"/>
      <c r="CZ4" s="499"/>
      <c r="DA4" s="499"/>
      <c r="DB4" s="499"/>
      <c r="DC4" s="499"/>
      <c r="DD4" s="499"/>
      <c r="DE4" s="499"/>
      <c r="DF4" s="499"/>
      <c r="DG4" s="499"/>
      <c r="DH4" s="499"/>
      <c r="DI4" s="499"/>
      <c r="DJ4" s="499"/>
      <c r="DK4" s="499"/>
      <c r="DL4" s="499"/>
      <c r="DM4" s="499"/>
      <c r="DN4" s="499"/>
      <c r="DO4" s="499"/>
      <c r="DP4" s="499"/>
      <c r="DQ4" s="499"/>
      <c r="DR4" s="499"/>
      <c r="DS4" s="499"/>
      <c r="DT4" s="499"/>
      <c r="DU4" s="499"/>
      <c r="DV4" s="499"/>
      <c r="DW4" s="499"/>
      <c r="DX4" s="499"/>
      <c r="DY4" s="499"/>
      <c r="DZ4" s="499"/>
      <c r="EA4" s="499"/>
      <c r="EB4" s="499"/>
      <c r="EC4" s="499"/>
      <c r="ED4" s="499"/>
      <c r="EE4" s="499"/>
      <c r="EF4" s="499"/>
      <c r="EG4" s="499"/>
      <c r="EH4" s="499"/>
      <c r="EI4" s="499"/>
      <c r="EJ4" s="499"/>
      <c r="EK4" s="499"/>
      <c r="EL4" s="499"/>
      <c r="EM4" s="499"/>
      <c r="EN4" s="499"/>
      <c r="EO4" s="499"/>
      <c r="EP4" s="499"/>
      <c r="EQ4" s="499"/>
      <c r="ER4" s="499"/>
      <c r="ES4" s="499"/>
      <c r="ET4" s="499"/>
      <c r="EU4" s="499"/>
      <c r="EV4" s="499"/>
      <c r="EW4" s="499"/>
      <c r="EX4" s="499"/>
      <c r="EY4" s="499"/>
      <c r="EZ4" s="499"/>
      <c r="FA4" s="499"/>
      <c r="FB4" s="499"/>
      <c r="FC4" s="499"/>
      <c r="FD4" s="499"/>
      <c r="FE4" s="499"/>
      <c r="FF4" s="499"/>
      <c r="FG4" s="499"/>
      <c r="FH4" s="499"/>
      <c r="FI4" s="499"/>
      <c r="FJ4" s="499"/>
      <c r="FK4" s="499"/>
      <c r="FL4" s="499"/>
      <c r="FM4" s="499"/>
      <c r="FN4" s="499"/>
      <c r="FO4" s="499"/>
      <c r="FP4" s="499"/>
      <c r="FQ4" s="499"/>
      <c r="FR4" s="499"/>
      <c r="FS4" s="499"/>
      <c r="FT4" s="499"/>
      <c r="FU4" s="499"/>
      <c r="FV4" s="499"/>
      <c r="FW4" s="499"/>
      <c r="FX4" s="499"/>
      <c r="FY4" s="499"/>
      <c r="FZ4" s="499"/>
      <c r="GA4" s="499"/>
      <c r="GB4" s="499"/>
      <c r="GC4" s="499"/>
      <c r="GD4" s="499"/>
      <c r="GE4" s="499"/>
      <c r="GF4" s="499"/>
      <c r="GG4" s="499"/>
      <c r="GH4" s="499"/>
      <c r="GI4" s="499"/>
      <c r="GJ4" s="499"/>
      <c r="GK4" s="499"/>
      <c r="GL4" s="499"/>
      <c r="GM4" s="499"/>
      <c r="GN4" s="499"/>
      <c r="GO4" s="499"/>
      <c r="GP4" s="499"/>
      <c r="GQ4" s="499"/>
      <c r="GR4" s="499"/>
      <c r="GS4" s="499"/>
      <c r="GT4" s="499"/>
      <c r="GU4" s="499"/>
      <c r="GV4" s="43"/>
    </row>
    <row r="5" spans="1:210" ht="15.75" customHeight="1" x14ac:dyDescent="0.25">
      <c r="A5" s="454"/>
      <c r="B5" s="454"/>
      <c r="C5" s="454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  <c r="AO5" s="499"/>
      <c r="AP5" s="499"/>
      <c r="AQ5" s="499"/>
      <c r="AR5" s="499"/>
      <c r="AS5" s="499"/>
      <c r="AT5" s="499"/>
      <c r="AU5" s="499"/>
      <c r="AV5" s="499"/>
      <c r="AW5" s="499"/>
      <c r="AX5" s="499"/>
      <c r="AY5" s="499"/>
      <c r="AZ5" s="499"/>
      <c r="BA5" s="499"/>
      <c r="BB5" s="499"/>
      <c r="BC5" s="499"/>
      <c r="BD5" s="499"/>
      <c r="BE5" s="499"/>
      <c r="BF5" s="499"/>
      <c r="BG5" s="499"/>
      <c r="BH5" s="499"/>
      <c r="BI5" s="499"/>
      <c r="BJ5" s="499"/>
      <c r="BK5" s="499"/>
      <c r="BL5" s="499"/>
      <c r="BM5" s="499"/>
      <c r="BN5" s="499"/>
      <c r="BO5" s="499"/>
      <c r="BP5" s="499"/>
      <c r="BQ5" s="499"/>
      <c r="BR5" s="499"/>
      <c r="BS5" s="499"/>
      <c r="BT5" s="499"/>
      <c r="BU5" s="499"/>
      <c r="BV5" s="499"/>
      <c r="BW5" s="499"/>
      <c r="BX5" s="499"/>
      <c r="BY5" s="499"/>
      <c r="BZ5" s="499"/>
      <c r="CA5" s="499"/>
      <c r="CB5" s="499"/>
      <c r="CC5" s="499"/>
      <c r="CD5" s="499"/>
      <c r="CE5" s="499"/>
      <c r="CF5" s="499"/>
      <c r="CG5" s="499"/>
      <c r="CH5" s="499"/>
      <c r="CI5" s="499"/>
      <c r="CJ5" s="499"/>
      <c r="CK5" s="499"/>
      <c r="CL5" s="499"/>
      <c r="CM5" s="499"/>
      <c r="CN5" s="499"/>
      <c r="CO5" s="499"/>
      <c r="CP5" s="499"/>
      <c r="CQ5" s="499"/>
      <c r="CR5" s="499"/>
      <c r="CS5" s="499"/>
      <c r="CT5" s="499"/>
      <c r="CU5" s="499"/>
      <c r="CV5" s="499"/>
      <c r="CW5" s="499"/>
      <c r="CX5" s="499"/>
      <c r="CY5" s="499"/>
      <c r="CZ5" s="499"/>
      <c r="DA5" s="499"/>
      <c r="DB5" s="499"/>
      <c r="DC5" s="499"/>
      <c r="DD5" s="499"/>
      <c r="DE5" s="499"/>
      <c r="DF5" s="499"/>
      <c r="DG5" s="499"/>
      <c r="DH5" s="499"/>
      <c r="DI5" s="499"/>
      <c r="DJ5" s="499"/>
      <c r="DK5" s="499"/>
      <c r="DL5" s="499"/>
      <c r="DM5" s="499"/>
      <c r="DN5" s="499"/>
      <c r="DO5" s="499"/>
      <c r="DP5" s="499"/>
      <c r="DQ5" s="499"/>
      <c r="DR5" s="499"/>
      <c r="DS5" s="499"/>
      <c r="DT5" s="499"/>
      <c r="DU5" s="499"/>
      <c r="DV5" s="499"/>
      <c r="DW5" s="499"/>
      <c r="DX5" s="499"/>
      <c r="DY5" s="499"/>
      <c r="DZ5" s="499"/>
      <c r="EA5" s="499"/>
      <c r="EB5" s="499"/>
      <c r="EC5" s="499"/>
      <c r="ED5" s="499"/>
      <c r="EE5" s="499"/>
      <c r="EF5" s="499"/>
      <c r="EG5" s="499"/>
      <c r="EH5" s="499"/>
      <c r="EI5" s="499"/>
      <c r="EJ5" s="499"/>
      <c r="EK5" s="499"/>
      <c r="EL5" s="499"/>
      <c r="EM5" s="499"/>
      <c r="EN5" s="499"/>
      <c r="EO5" s="499"/>
      <c r="EP5" s="499"/>
      <c r="EQ5" s="499"/>
      <c r="ER5" s="499"/>
      <c r="ES5" s="499"/>
      <c r="ET5" s="499"/>
      <c r="EU5" s="499"/>
      <c r="EV5" s="499"/>
      <c r="EW5" s="499"/>
      <c r="EX5" s="499"/>
      <c r="EY5" s="499"/>
      <c r="EZ5" s="499"/>
      <c r="FA5" s="499"/>
      <c r="FB5" s="499"/>
      <c r="FC5" s="499"/>
      <c r="FD5" s="499"/>
      <c r="FE5" s="499"/>
      <c r="FF5" s="499"/>
      <c r="FG5" s="499"/>
      <c r="FH5" s="499"/>
      <c r="FI5" s="499"/>
      <c r="FJ5" s="499"/>
      <c r="FK5" s="499"/>
      <c r="FL5" s="499"/>
      <c r="FM5" s="499"/>
      <c r="FN5" s="499"/>
      <c r="FO5" s="499"/>
      <c r="FP5" s="499"/>
      <c r="FQ5" s="499"/>
      <c r="FR5" s="499"/>
      <c r="FS5" s="499"/>
      <c r="FT5" s="499"/>
      <c r="FU5" s="499"/>
      <c r="FV5" s="499"/>
      <c r="FW5" s="499"/>
      <c r="FX5" s="499"/>
      <c r="FY5" s="499"/>
      <c r="FZ5" s="499"/>
      <c r="GA5" s="499"/>
      <c r="GB5" s="499"/>
      <c r="GC5" s="499"/>
      <c r="GD5" s="499"/>
      <c r="GE5" s="499"/>
      <c r="GF5" s="499"/>
      <c r="GG5" s="499"/>
      <c r="GH5" s="499"/>
      <c r="GI5" s="499"/>
      <c r="GJ5" s="499"/>
      <c r="GK5" s="499"/>
      <c r="GL5" s="499"/>
      <c r="GM5" s="499"/>
      <c r="GN5" s="499"/>
      <c r="GO5" s="499"/>
      <c r="GP5" s="499"/>
      <c r="GQ5" s="499"/>
      <c r="GR5" s="499"/>
      <c r="GS5" s="499"/>
      <c r="GT5" s="499"/>
      <c r="GU5" s="499"/>
      <c r="GV5" s="43"/>
    </row>
    <row r="6" spans="1:210" ht="15.75" thickBot="1" x14ac:dyDescent="0.3"/>
    <row r="7" spans="1:210" ht="19.5" customHeight="1" thickBot="1" x14ac:dyDescent="0.3">
      <c r="A7" s="456" t="s">
        <v>18</v>
      </c>
      <c r="B7" s="458" t="s">
        <v>14</v>
      </c>
      <c r="C7" s="458" t="s">
        <v>13</v>
      </c>
      <c r="D7" s="503" t="s">
        <v>0</v>
      </c>
      <c r="E7" s="490" t="s">
        <v>25</v>
      </c>
      <c r="F7" s="463"/>
      <c r="G7" s="463"/>
      <c r="H7" s="463"/>
      <c r="I7" s="463"/>
      <c r="J7" s="463"/>
      <c r="K7" s="463"/>
      <c r="L7" s="463"/>
      <c r="M7" s="490" t="s">
        <v>73</v>
      </c>
      <c r="N7" s="463"/>
      <c r="O7" s="463"/>
      <c r="P7" s="463"/>
      <c r="Q7" s="463"/>
      <c r="R7" s="463"/>
      <c r="S7" s="463"/>
      <c r="T7" s="463"/>
      <c r="U7" s="463"/>
      <c r="V7" s="463"/>
      <c r="W7" s="463"/>
      <c r="X7" s="463"/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3"/>
      <c r="AO7" s="127"/>
      <c r="AP7" s="490" t="s">
        <v>76</v>
      </c>
      <c r="AQ7" s="463"/>
      <c r="AR7" s="463"/>
      <c r="AS7" s="463"/>
      <c r="AT7" s="463"/>
      <c r="AU7" s="463"/>
      <c r="AV7" s="463"/>
      <c r="AW7" s="463"/>
      <c r="AX7" s="463"/>
      <c r="AY7" s="463"/>
      <c r="AZ7" s="463"/>
      <c r="BA7" s="463"/>
      <c r="BB7" s="463"/>
      <c r="BC7" s="463"/>
      <c r="BD7" s="463"/>
      <c r="BE7" s="463"/>
      <c r="BF7" s="463"/>
      <c r="BG7" s="463"/>
      <c r="BH7" s="463"/>
      <c r="BI7" s="463"/>
      <c r="BJ7" s="463"/>
      <c r="BK7" s="463"/>
      <c r="BL7" s="463"/>
      <c r="BM7" s="463"/>
      <c r="BN7" s="463"/>
      <c r="BO7" s="463"/>
      <c r="BP7" s="463"/>
      <c r="BQ7" s="463"/>
      <c r="BR7" s="463"/>
      <c r="BS7" s="463"/>
      <c r="BT7" s="463"/>
      <c r="BU7" s="490" t="s">
        <v>105</v>
      </c>
      <c r="BV7" s="463"/>
      <c r="BW7" s="463"/>
      <c r="BX7" s="463"/>
      <c r="BY7" s="463"/>
      <c r="BZ7" s="463"/>
      <c r="CA7" s="463"/>
      <c r="CB7" s="463"/>
      <c r="CC7" s="463"/>
      <c r="CD7" s="463"/>
      <c r="CE7" s="463"/>
      <c r="CF7" s="463"/>
      <c r="CG7" s="463"/>
      <c r="CH7" s="463"/>
      <c r="CI7" s="463"/>
      <c r="CJ7" s="463"/>
      <c r="CK7" s="463"/>
      <c r="CL7" s="463"/>
      <c r="CM7" s="463"/>
      <c r="CN7" s="463"/>
      <c r="CO7" s="463"/>
      <c r="CP7" s="463"/>
      <c r="CQ7" s="463"/>
      <c r="CR7" s="463"/>
      <c r="CS7" s="463"/>
      <c r="CT7" s="463"/>
      <c r="CU7" s="463"/>
      <c r="CV7" s="463"/>
      <c r="CW7" s="463"/>
      <c r="CX7" s="491"/>
      <c r="CY7" s="490" t="s">
        <v>111</v>
      </c>
      <c r="CZ7" s="463"/>
      <c r="DA7" s="463"/>
      <c r="DB7" s="463"/>
      <c r="DC7" s="463"/>
      <c r="DD7" s="463"/>
      <c r="DE7" s="463"/>
      <c r="DF7" s="463"/>
      <c r="DG7" s="463"/>
      <c r="DH7" s="463"/>
      <c r="DI7" s="463"/>
      <c r="DJ7" s="463"/>
      <c r="DK7" s="463"/>
      <c r="DL7" s="463"/>
      <c r="DM7" s="463"/>
      <c r="DN7" s="463"/>
      <c r="DO7" s="463"/>
      <c r="DP7" s="463"/>
      <c r="DQ7" s="463"/>
      <c r="DR7" s="463"/>
      <c r="DS7" s="463"/>
      <c r="DT7" s="463"/>
      <c r="DU7" s="463"/>
      <c r="DV7" s="463"/>
      <c r="DW7" s="463"/>
      <c r="DX7" s="463"/>
      <c r="DY7" s="463"/>
      <c r="DZ7" s="463"/>
      <c r="EA7" s="463"/>
      <c r="EB7" s="463"/>
      <c r="EC7" s="463"/>
      <c r="ED7" s="399" t="s">
        <v>117</v>
      </c>
      <c r="EE7" s="400"/>
      <c r="EF7" s="400"/>
      <c r="EG7" s="400"/>
      <c r="EH7" s="400"/>
      <c r="EI7" s="400"/>
      <c r="EJ7" s="400"/>
      <c r="EK7" s="400"/>
      <c r="EL7" s="400"/>
      <c r="EM7" s="400"/>
      <c r="EN7" s="400"/>
      <c r="EO7" s="400"/>
      <c r="EP7" s="400"/>
      <c r="EQ7" s="400"/>
      <c r="ER7" s="400"/>
      <c r="ES7" s="400"/>
      <c r="ET7" s="400"/>
      <c r="EU7" s="400"/>
      <c r="EV7" s="400"/>
      <c r="EW7" s="400"/>
      <c r="EX7" s="400"/>
      <c r="EY7" s="400"/>
      <c r="EZ7" s="400"/>
      <c r="FA7" s="400"/>
      <c r="FB7" s="400"/>
      <c r="FC7" s="400"/>
      <c r="FD7" s="400"/>
      <c r="FE7" s="400"/>
      <c r="FF7" s="400"/>
      <c r="FG7" s="400"/>
      <c r="FH7" s="490" t="s">
        <v>133</v>
      </c>
      <c r="FI7" s="463"/>
      <c r="FJ7" s="463"/>
      <c r="FK7" s="463"/>
      <c r="FL7" s="463"/>
      <c r="FM7" s="463"/>
      <c r="FN7" s="463"/>
      <c r="FO7" s="463"/>
      <c r="FP7" s="463"/>
      <c r="FQ7" s="463"/>
      <c r="FR7" s="463"/>
      <c r="FS7" s="463"/>
      <c r="FT7" s="463"/>
      <c r="FU7" s="463"/>
      <c r="FV7" s="463"/>
      <c r="FW7" s="463"/>
      <c r="FX7" s="463"/>
      <c r="FY7" s="463"/>
      <c r="FZ7" s="463"/>
      <c r="GA7" s="463"/>
      <c r="GB7" s="463"/>
      <c r="GC7" s="463"/>
      <c r="GD7" s="463"/>
      <c r="GE7" s="463"/>
      <c r="GF7" s="463"/>
      <c r="GG7" s="463"/>
      <c r="GH7" s="463"/>
      <c r="GI7" s="463"/>
      <c r="GJ7" s="463"/>
      <c r="GK7" s="463"/>
      <c r="GL7" s="463"/>
      <c r="GM7" s="490" t="s">
        <v>142</v>
      </c>
      <c r="GN7" s="463"/>
      <c r="GO7" s="463"/>
      <c r="GP7" s="463"/>
      <c r="GQ7" s="463"/>
      <c r="GR7" s="463"/>
      <c r="GS7" s="463"/>
      <c r="GT7" s="491"/>
      <c r="GU7" s="397"/>
      <c r="GV7" s="509" t="s">
        <v>39</v>
      </c>
      <c r="GW7" s="511" t="s">
        <v>40</v>
      </c>
    </row>
    <row r="8" spans="1:210" s="1" customFormat="1" ht="18.600000000000001" customHeight="1" thickBot="1" x14ac:dyDescent="0.3">
      <c r="A8" s="457"/>
      <c r="B8" s="459"/>
      <c r="C8" s="459"/>
      <c r="D8" s="504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12">
        <v>46054</v>
      </c>
      <c r="N8" s="12">
        <v>46055</v>
      </c>
      <c r="O8" s="12">
        <v>46056</v>
      </c>
      <c r="P8" s="12">
        <v>46057</v>
      </c>
      <c r="Q8" s="12">
        <v>46058</v>
      </c>
      <c r="R8" s="12">
        <v>46059</v>
      </c>
      <c r="S8" s="12">
        <v>46060</v>
      </c>
      <c r="T8" s="12">
        <v>46061</v>
      </c>
      <c r="U8" s="12">
        <v>46062</v>
      </c>
      <c r="V8" s="12">
        <v>46063</v>
      </c>
      <c r="W8" s="12">
        <v>46064</v>
      </c>
      <c r="X8" s="12">
        <v>46065</v>
      </c>
      <c r="Y8" s="12">
        <v>46066</v>
      </c>
      <c r="Z8" s="12">
        <v>46067</v>
      </c>
      <c r="AA8" s="12">
        <v>46068</v>
      </c>
      <c r="AB8" s="12">
        <v>46069</v>
      </c>
      <c r="AC8" s="12">
        <v>46070</v>
      </c>
      <c r="AD8" s="12">
        <v>46071</v>
      </c>
      <c r="AE8" s="12">
        <v>46072</v>
      </c>
      <c r="AF8" s="12">
        <v>46073</v>
      </c>
      <c r="AG8" s="12">
        <v>46074</v>
      </c>
      <c r="AH8" s="12">
        <v>46075</v>
      </c>
      <c r="AI8" s="12">
        <v>46076</v>
      </c>
      <c r="AJ8" s="12">
        <v>46077</v>
      </c>
      <c r="AK8" s="12">
        <v>46078</v>
      </c>
      <c r="AL8" s="12">
        <v>46079</v>
      </c>
      <c r="AM8" s="12">
        <v>46080</v>
      </c>
      <c r="AN8" s="51">
        <v>46081</v>
      </c>
      <c r="AO8" s="145"/>
      <c r="AP8" s="70">
        <v>46082</v>
      </c>
      <c r="AQ8" s="14">
        <v>46083</v>
      </c>
      <c r="AR8" s="70">
        <v>46084</v>
      </c>
      <c r="AS8" s="14">
        <v>46085</v>
      </c>
      <c r="AT8" s="70">
        <v>46086</v>
      </c>
      <c r="AU8" s="14">
        <v>46087</v>
      </c>
      <c r="AV8" s="70">
        <v>46088</v>
      </c>
      <c r="AW8" s="14">
        <v>46089</v>
      </c>
      <c r="AX8" s="70">
        <v>46090</v>
      </c>
      <c r="AY8" s="14">
        <v>46091</v>
      </c>
      <c r="AZ8" s="70">
        <v>46092</v>
      </c>
      <c r="BA8" s="14">
        <v>46093</v>
      </c>
      <c r="BB8" s="70">
        <v>46094</v>
      </c>
      <c r="BC8" s="14">
        <v>46095</v>
      </c>
      <c r="BD8" s="70">
        <v>46096</v>
      </c>
      <c r="BE8" s="14">
        <v>46097</v>
      </c>
      <c r="BF8" s="70">
        <v>46098</v>
      </c>
      <c r="BG8" s="14">
        <v>46099</v>
      </c>
      <c r="BH8" s="70">
        <v>46100</v>
      </c>
      <c r="BI8" s="14">
        <v>46101</v>
      </c>
      <c r="BJ8" s="70">
        <v>46102</v>
      </c>
      <c r="BK8" s="14">
        <v>46103</v>
      </c>
      <c r="BL8" s="70">
        <v>46104</v>
      </c>
      <c r="BM8" s="14">
        <v>46105</v>
      </c>
      <c r="BN8" s="70">
        <v>46106</v>
      </c>
      <c r="BO8" s="14">
        <v>46107</v>
      </c>
      <c r="BP8" s="70">
        <v>46108</v>
      </c>
      <c r="BQ8" s="14">
        <v>46109</v>
      </c>
      <c r="BR8" s="70">
        <v>46110</v>
      </c>
      <c r="BS8" s="14">
        <v>46111</v>
      </c>
      <c r="BT8" s="70">
        <v>46112</v>
      </c>
      <c r="BU8" s="14">
        <v>46113</v>
      </c>
      <c r="BV8" s="70">
        <v>46114</v>
      </c>
      <c r="BW8" s="14">
        <v>46115</v>
      </c>
      <c r="BX8" s="70">
        <v>46116</v>
      </c>
      <c r="BY8" s="14">
        <v>46117</v>
      </c>
      <c r="BZ8" s="70">
        <v>46118</v>
      </c>
      <c r="CA8" s="14">
        <v>46119</v>
      </c>
      <c r="CB8" s="70">
        <v>46120</v>
      </c>
      <c r="CC8" s="14">
        <v>46121</v>
      </c>
      <c r="CD8" s="70">
        <v>46122</v>
      </c>
      <c r="CE8" s="14">
        <v>46123</v>
      </c>
      <c r="CF8" s="70">
        <v>46124</v>
      </c>
      <c r="CG8" s="14">
        <v>46125</v>
      </c>
      <c r="CH8" s="70">
        <v>46126</v>
      </c>
      <c r="CI8" s="14">
        <v>46127</v>
      </c>
      <c r="CJ8" s="70">
        <v>46128</v>
      </c>
      <c r="CK8" s="14">
        <v>46129</v>
      </c>
      <c r="CL8" s="70">
        <v>46130</v>
      </c>
      <c r="CM8" s="14">
        <v>46131</v>
      </c>
      <c r="CN8" s="70">
        <v>46132</v>
      </c>
      <c r="CO8" s="14">
        <v>46133</v>
      </c>
      <c r="CP8" s="70">
        <v>46134</v>
      </c>
      <c r="CQ8" s="14">
        <v>46135</v>
      </c>
      <c r="CR8" s="70">
        <v>46136</v>
      </c>
      <c r="CS8" s="14">
        <v>46137</v>
      </c>
      <c r="CT8" s="70">
        <v>46138</v>
      </c>
      <c r="CU8" s="14">
        <v>46139</v>
      </c>
      <c r="CV8" s="70">
        <v>46140</v>
      </c>
      <c r="CW8" s="14">
        <v>46141</v>
      </c>
      <c r="CX8" s="70">
        <v>46142</v>
      </c>
      <c r="CY8" s="14">
        <v>46143</v>
      </c>
      <c r="CZ8" s="70">
        <v>46144</v>
      </c>
      <c r="DA8" s="14">
        <v>46145</v>
      </c>
      <c r="DB8" s="70">
        <v>46146</v>
      </c>
      <c r="DC8" s="14">
        <v>46147</v>
      </c>
      <c r="DD8" s="70">
        <v>46148</v>
      </c>
      <c r="DE8" s="14">
        <v>46149</v>
      </c>
      <c r="DF8" s="70">
        <v>46150</v>
      </c>
      <c r="DG8" s="14">
        <v>46151</v>
      </c>
      <c r="DH8" s="70">
        <v>46152</v>
      </c>
      <c r="DI8" s="14">
        <v>46153</v>
      </c>
      <c r="DJ8" s="70">
        <v>46154</v>
      </c>
      <c r="DK8" s="14">
        <v>46155</v>
      </c>
      <c r="DL8" s="70">
        <v>46156</v>
      </c>
      <c r="DM8" s="14">
        <v>46157</v>
      </c>
      <c r="DN8" s="70">
        <v>46158</v>
      </c>
      <c r="DO8" s="14">
        <v>46159</v>
      </c>
      <c r="DP8" s="70">
        <v>46160</v>
      </c>
      <c r="DQ8" s="14">
        <v>46161</v>
      </c>
      <c r="DR8" s="70">
        <v>46162</v>
      </c>
      <c r="DS8" s="14">
        <v>46163</v>
      </c>
      <c r="DT8" s="70">
        <v>46164</v>
      </c>
      <c r="DU8" s="14">
        <v>46165</v>
      </c>
      <c r="DV8" s="70">
        <v>46166</v>
      </c>
      <c r="DW8" s="14">
        <v>46167</v>
      </c>
      <c r="DX8" s="70">
        <v>46168</v>
      </c>
      <c r="DY8" s="14">
        <v>46169</v>
      </c>
      <c r="DZ8" s="70">
        <v>46170</v>
      </c>
      <c r="EA8" s="14">
        <v>46171</v>
      </c>
      <c r="EB8" s="70">
        <v>46172</v>
      </c>
      <c r="EC8" s="51">
        <v>46173</v>
      </c>
      <c r="ED8" s="70">
        <v>46174</v>
      </c>
      <c r="EE8" s="14">
        <v>46175</v>
      </c>
      <c r="EF8" s="70">
        <v>46176</v>
      </c>
      <c r="EG8" s="14">
        <v>46177</v>
      </c>
      <c r="EH8" s="70">
        <v>46178</v>
      </c>
      <c r="EI8" s="14">
        <v>46179</v>
      </c>
      <c r="EJ8" s="70">
        <v>46180</v>
      </c>
      <c r="EK8" s="14">
        <v>46181</v>
      </c>
      <c r="EL8" s="70">
        <v>46182</v>
      </c>
      <c r="EM8" s="14">
        <v>46183</v>
      </c>
      <c r="EN8" s="70">
        <v>46184</v>
      </c>
      <c r="EO8" s="14">
        <v>46185</v>
      </c>
      <c r="EP8" s="70">
        <v>46186</v>
      </c>
      <c r="EQ8" s="14">
        <v>46187</v>
      </c>
      <c r="ER8" s="70">
        <v>46188</v>
      </c>
      <c r="ES8" s="14">
        <v>46189</v>
      </c>
      <c r="ET8" s="70">
        <v>46190</v>
      </c>
      <c r="EU8" s="14">
        <v>46191</v>
      </c>
      <c r="EV8" s="70">
        <v>46192</v>
      </c>
      <c r="EW8" s="14">
        <v>46193</v>
      </c>
      <c r="EX8" s="70">
        <v>46194</v>
      </c>
      <c r="EY8" s="14">
        <v>46195</v>
      </c>
      <c r="EZ8" s="70">
        <v>46196</v>
      </c>
      <c r="FA8" s="14">
        <v>46197</v>
      </c>
      <c r="FB8" s="70">
        <v>46198</v>
      </c>
      <c r="FC8" s="14">
        <v>46199</v>
      </c>
      <c r="FD8" s="70">
        <v>46200</v>
      </c>
      <c r="FE8" s="14">
        <v>46201</v>
      </c>
      <c r="FF8" s="70">
        <v>46202</v>
      </c>
      <c r="FG8" s="51">
        <v>46203</v>
      </c>
      <c r="FH8" s="70">
        <v>46204</v>
      </c>
      <c r="FI8" s="12">
        <v>46205</v>
      </c>
      <c r="FJ8" s="12">
        <v>46206</v>
      </c>
      <c r="FK8" s="12">
        <v>46207</v>
      </c>
      <c r="FL8" s="12">
        <v>46208</v>
      </c>
      <c r="FM8" s="12">
        <v>46209</v>
      </c>
      <c r="FN8" s="12">
        <v>46210</v>
      </c>
      <c r="FO8" s="12">
        <v>46211</v>
      </c>
      <c r="FP8" s="12">
        <v>46212</v>
      </c>
      <c r="FQ8" s="12">
        <v>46213</v>
      </c>
      <c r="FR8" s="12">
        <v>46214</v>
      </c>
      <c r="FS8" s="12">
        <v>46215</v>
      </c>
      <c r="FT8" s="12">
        <v>46216</v>
      </c>
      <c r="FU8" s="12">
        <v>46217</v>
      </c>
      <c r="FV8" s="14">
        <v>46218</v>
      </c>
      <c r="FW8" s="12">
        <v>46219</v>
      </c>
      <c r="FX8" s="14">
        <v>46220</v>
      </c>
      <c r="FY8" s="12">
        <v>46221</v>
      </c>
      <c r="FZ8" s="14">
        <v>46222</v>
      </c>
      <c r="GA8" s="12">
        <v>46223</v>
      </c>
      <c r="GB8" s="14">
        <v>46224</v>
      </c>
      <c r="GC8" s="12">
        <v>46225</v>
      </c>
      <c r="GD8" s="14">
        <v>46226</v>
      </c>
      <c r="GE8" s="12">
        <v>46227</v>
      </c>
      <c r="GF8" s="14">
        <v>46228</v>
      </c>
      <c r="GG8" s="12">
        <v>46229</v>
      </c>
      <c r="GH8" s="14">
        <v>46230</v>
      </c>
      <c r="GI8" s="12">
        <v>46231</v>
      </c>
      <c r="GJ8" s="14">
        <v>46232</v>
      </c>
      <c r="GK8" s="12">
        <v>46233</v>
      </c>
      <c r="GL8" s="51">
        <v>46234</v>
      </c>
      <c r="GM8" s="431">
        <v>46235</v>
      </c>
      <c r="GN8" s="327">
        <v>46236</v>
      </c>
      <c r="GO8" s="120">
        <v>46237</v>
      </c>
      <c r="GP8" s="327">
        <v>46238</v>
      </c>
      <c r="GQ8" s="120">
        <v>46239</v>
      </c>
      <c r="GR8" s="327">
        <v>46240</v>
      </c>
      <c r="GS8" s="120">
        <v>46241</v>
      </c>
      <c r="GT8" s="327">
        <v>46242</v>
      </c>
      <c r="GU8" s="348" t="s">
        <v>26</v>
      </c>
      <c r="GV8" s="510"/>
      <c r="GW8" s="512"/>
      <c r="HA8" s="49"/>
      <c r="HB8" s="1" t="s">
        <v>70</v>
      </c>
    </row>
    <row r="9" spans="1:210" x14ac:dyDescent="0.25">
      <c r="A9" s="9">
        <v>1</v>
      </c>
      <c r="B9" s="502" t="s">
        <v>24</v>
      </c>
      <c r="C9" s="44" t="s">
        <v>41</v>
      </c>
      <c r="D9" s="11" t="s">
        <v>19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Z9" s="101">
        <v>0</v>
      </c>
      <c r="AA9" s="101">
        <v>0</v>
      </c>
      <c r="AB9" s="101">
        <v>0</v>
      </c>
      <c r="AC9" s="101">
        <v>0</v>
      </c>
      <c r="AD9" s="101">
        <v>0</v>
      </c>
      <c r="AE9" s="101">
        <v>0</v>
      </c>
      <c r="AF9" s="101">
        <v>0</v>
      </c>
      <c r="AG9" s="101">
        <v>0</v>
      </c>
      <c r="AH9" s="101">
        <v>0</v>
      </c>
      <c r="AI9" s="101">
        <v>0</v>
      </c>
      <c r="AJ9" s="101">
        <v>0</v>
      </c>
      <c r="AK9" s="101">
        <v>0</v>
      </c>
      <c r="AL9" s="101">
        <v>0</v>
      </c>
      <c r="AM9" s="101">
        <v>0</v>
      </c>
      <c r="AN9" s="101">
        <v>0</v>
      </c>
      <c r="AO9" s="162"/>
      <c r="AP9" s="160">
        <v>0</v>
      </c>
      <c r="AQ9" s="101">
        <v>0</v>
      </c>
      <c r="AR9" s="101">
        <v>0</v>
      </c>
      <c r="AS9" s="101">
        <v>0</v>
      </c>
      <c r="AT9" s="101">
        <v>0</v>
      </c>
      <c r="AU9" s="101">
        <v>0</v>
      </c>
      <c r="AV9" s="101">
        <v>0</v>
      </c>
      <c r="AW9" s="101">
        <v>0</v>
      </c>
      <c r="AX9" s="101">
        <v>0</v>
      </c>
      <c r="AY9" s="101">
        <v>0</v>
      </c>
      <c r="AZ9" s="101">
        <v>0</v>
      </c>
      <c r="BA9" s="101">
        <v>0</v>
      </c>
      <c r="BB9" s="101">
        <v>0</v>
      </c>
      <c r="BC9" s="101">
        <v>0</v>
      </c>
      <c r="BD9" s="101">
        <v>0</v>
      </c>
      <c r="BE9" s="101">
        <v>0</v>
      </c>
      <c r="BF9" s="101">
        <v>0</v>
      </c>
      <c r="BG9" s="101">
        <v>0</v>
      </c>
      <c r="BH9" s="101">
        <v>0</v>
      </c>
      <c r="BI9" s="101">
        <v>0</v>
      </c>
      <c r="BJ9" s="101">
        <v>0</v>
      </c>
      <c r="BK9" s="101">
        <v>0</v>
      </c>
      <c r="BL9" s="101">
        <v>0</v>
      </c>
      <c r="BM9" s="101">
        <v>0</v>
      </c>
      <c r="BN9" s="101">
        <v>0</v>
      </c>
      <c r="BO9" s="101">
        <v>0</v>
      </c>
      <c r="BP9" s="101">
        <v>0</v>
      </c>
      <c r="BQ9" s="101">
        <v>0</v>
      </c>
      <c r="BR9" s="101">
        <v>0</v>
      </c>
      <c r="BS9" s="101">
        <v>0</v>
      </c>
      <c r="BT9" s="101">
        <v>0</v>
      </c>
      <c r="BU9" s="101">
        <v>0</v>
      </c>
      <c r="BV9" s="101">
        <v>0</v>
      </c>
      <c r="BW9" s="101">
        <v>0</v>
      </c>
      <c r="BX9" s="101">
        <v>0</v>
      </c>
      <c r="BY9" s="101">
        <v>0</v>
      </c>
      <c r="BZ9" s="101">
        <v>0</v>
      </c>
      <c r="CA9" s="101">
        <v>0</v>
      </c>
      <c r="CB9" s="101">
        <v>0</v>
      </c>
      <c r="CC9" s="101">
        <v>0</v>
      </c>
      <c r="CD9" s="101">
        <v>0</v>
      </c>
      <c r="CE9" s="101">
        <v>0</v>
      </c>
      <c r="CF9" s="101">
        <v>0</v>
      </c>
      <c r="CG9" s="101">
        <v>0</v>
      </c>
      <c r="CH9" s="101">
        <v>0</v>
      </c>
      <c r="CI9" s="101">
        <v>0</v>
      </c>
      <c r="CJ9" s="101">
        <v>0</v>
      </c>
      <c r="CK9" s="101">
        <v>0</v>
      </c>
      <c r="CL9" s="101">
        <v>0</v>
      </c>
      <c r="CM9" s="101">
        <v>0</v>
      </c>
      <c r="CN9" s="101">
        <v>0</v>
      </c>
      <c r="CO9" s="101">
        <v>0</v>
      </c>
      <c r="CP9" s="101">
        <v>0</v>
      </c>
      <c r="CQ9" s="101">
        <v>0</v>
      </c>
      <c r="CR9" s="101">
        <v>0</v>
      </c>
      <c r="CS9" s="101">
        <v>0</v>
      </c>
      <c r="CT9" s="101">
        <v>0</v>
      </c>
      <c r="CU9" s="101">
        <v>0</v>
      </c>
      <c r="CV9" s="101">
        <v>0</v>
      </c>
      <c r="CW9" s="101">
        <v>0</v>
      </c>
      <c r="CX9" s="101">
        <v>0</v>
      </c>
      <c r="CY9" s="101">
        <v>0</v>
      </c>
      <c r="CZ9" s="101">
        <v>0</v>
      </c>
      <c r="DA9" s="101">
        <v>0</v>
      </c>
      <c r="DB9" s="101">
        <v>0</v>
      </c>
      <c r="DC9" s="101">
        <v>0</v>
      </c>
      <c r="DD9" s="101">
        <v>0</v>
      </c>
      <c r="DE9" s="101">
        <v>0</v>
      </c>
      <c r="DF9" s="101">
        <v>0</v>
      </c>
      <c r="DG9" s="101">
        <v>0</v>
      </c>
      <c r="DH9" s="101">
        <v>0</v>
      </c>
      <c r="DI9" s="101">
        <v>0</v>
      </c>
      <c r="DJ9" s="101">
        <v>0</v>
      </c>
      <c r="DK9" s="101">
        <v>0</v>
      </c>
      <c r="DL9" s="101">
        <v>0</v>
      </c>
      <c r="DM9" s="101">
        <v>0</v>
      </c>
      <c r="DN9" s="101">
        <v>0</v>
      </c>
      <c r="DO9" s="101">
        <v>0</v>
      </c>
      <c r="DP9" s="101">
        <v>0</v>
      </c>
      <c r="DQ9" s="101">
        <v>0</v>
      </c>
      <c r="DR9" s="101">
        <v>0</v>
      </c>
      <c r="DS9" s="101">
        <v>0</v>
      </c>
      <c r="DT9" s="101">
        <v>0</v>
      </c>
      <c r="DU9" s="101">
        <v>0</v>
      </c>
      <c r="DV9" s="101">
        <v>0</v>
      </c>
      <c r="DW9" s="101">
        <v>0</v>
      </c>
      <c r="DX9" s="101">
        <v>0</v>
      </c>
      <c r="DY9" s="101">
        <v>0</v>
      </c>
      <c r="DZ9" s="101">
        <v>0</v>
      </c>
      <c r="EA9" s="101">
        <v>0</v>
      </c>
      <c r="EB9" s="101">
        <v>0</v>
      </c>
      <c r="EC9" s="101">
        <v>0</v>
      </c>
      <c r="ED9" s="160">
        <v>0</v>
      </c>
      <c r="EE9" s="101">
        <v>0</v>
      </c>
      <c r="EF9" s="101">
        <v>0</v>
      </c>
      <c r="EG9" s="101">
        <v>0</v>
      </c>
      <c r="EH9" s="101">
        <v>0</v>
      </c>
      <c r="EI9" s="101">
        <v>0</v>
      </c>
      <c r="EJ9" s="101">
        <v>0</v>
      </c>
      <c r="EK9" s="101">
        <v>0</v>
      </c>
      <c r="EL9" s="101">
        <v>0</v>
      </c>
      <c r="EM9" s="101">
        <v>0</v>
      </c>
      <c r="EN9" s="101">
        <v>0</v>
      </c>
      <c r="EO9" s="101">
        <v>0</v>
      </c>
      <c r="EP9" s="101">
        <v>0</v>
      </c>
      <c r="EQ9" s="101">
        <v>0</v>
      </c>
      <c r="ER9" s="101">
        <v>0</v>
      </c>
      <c r="ES9" s="101">
        <v>0</v>
      </c>
      <c r="ET9" s="101">
        <v>0</v>
      </c>
      <c r="EU9" s="101">
        <v>0</v>
      </c>
      <c r="EV9" s="101">
        <v>0</v>
      </c>
      <c r="EW9" s="101">
        <v>0</v>
      </c>
      <c r="EX9" s="101">
        <v>0</v>
      </c>
      <c r="EY9" s="101">
        <v>0</v>
      </c>
      <c r="EZ9" s="101">
        <v>0</v>
      </c>
      <c r="FA9" s="101">
        <v>0</v>
      </c>
      <c r="FB9" s="101">
        <v>0</v>
      </c>
      <c r="FC9" s="101">
        <v>0</v>
      </c>
      <c r="FD9" s="101">
        <v>0</v>
      </c>
      <c r="FE9" s="101">
        <v>0</v>
      </c>
      <c r="FF9" s="101">
        <v>0</v>
      </c>
      <c r="FG9" s="101">
        <v>0</v>
      </c>
      <c r="FH9" s="88">
        <v>0</v>
      </c>
      <c r="FI9" s="68">
        <v>0</v>
      </c>
      <c r="FJ9" s="68">
        <v>0</v>
      </c>
      <c r="FK9" s="68">
        <v>0</v>
      </c>
      <c r="FL9" s="68">
        <v>0</v>
      </c>
      <c r="FM9" s="101">
        <v>0</v>
      </c>
      <c r="FN9" s="68">
        <v>0</v>
      </c>
      <c r="FO9" s="101">
        <v>0</v>
      </c>
      <c r="FP9" s="101">
        <v>0</v>
      </c>
      <c r="FQ9" s="101">
        <v>0</v>
      </c>
      <c r="FR9" s="101">
        <v>0</v>
      </c>
      <c r="FS9" s="101">
        <v>0</v>
      </c>
      <c r="FT9" s="101">
        <v>0</v>
      </c>
      <c r="FU9" s="101">
        <v>0</v>
      </c>
      <c r="FV9" s="101">
        <v>0</v>
      </c>
      <c r="FW9" s="101">
        <v>0</v>
      </c>
      <c r="FX9" s="101">
        <v>0</v>
      </c>
      <c r="FY9" s="101">
        <v>0</v>
      </c>
      <c r="FZ9" s="101">
        <v>0</v>
      </c>
      <c r="GA9" s="101">
        <v>0</v>
      </c>
      <c r="GB9" s="101">
        <v>0</v>
      </c>
      <c r="GC9" s="101">
        <v>0</v>
      </c>
      <c r="GD9" s="101">
        <v>0</v>
      </c>
      <c r="GE9" s="101">
        <v>0</v>
      </c>
      <c r="GF9" s="101">
        <v>0</v>
      </c>
      <c r="GG9" s="101">
        <v>0</v>
      </c>
      <c r="GH9" s="101">
        <v>0</v>
      </c>
      <c r="GI9" s="101">
        <v>0</v>
      </c>
      <c r="GJ9" s="101">
        <v>0</v>
      </c>
      <c r="GK9" s="101">
        <v>0</v>
      </c>
      <c r="GL9" s="101">
        <v>0</v>
      </c>
      <c r="GM9" s="389">
        <v>0</v>
      </c>
      <c r="GN9" s="157">
        <v>0</v>
      </c>
      <c r="GO9" s="37">
        <v>0</v>
      </c>
      <c r="GP9" s="154"/>
      <c r="GQ9" s="154"/>
      <c r="GR9" s="154"/>
      <c r="GS9" s="154"/>
      <c r="GT9" s="380"/>
      <c r="GU9" s="326">
        <f>SUM(E9:GL9)</f>
        <v>0</v>
      </c>
      <c r="GV9" s="61">
        <v>90</v>
      </c>
      <c r="GW9" s="62">
        <f t="shared" ref="GW9:GW29" ca="1" si="0">TODAY()-HB9</f>
        <v>296</v>
      </c>
      <c r="HA9" s="48" t="s">
        <v>37</v>
      </c>
      <c r="HB9" s="47">
        <v>45958</v>
      </c>
    </row>
    <row r="10" spans="1:210" x14ac:dyDescent="0.25">
      <c r="A10" s="2">
        <v>2</v>
      </c>
      <c r="B10" s="474"/>
      <c r="C10" s="46" t="s">
        <v>48</v>
      </c>
      <c r="D10" s="4" t="s">
        <v>19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  <c r="W10" s="101">
        <v>0</v>
      </c>
      <c r="X10" s="101">
        <v>0</v>
      </c>
      <c r="Y10" s="101">
        <v>0</v>
      </c>
      <c r="Z10" s="101">
        <v>0</v>
      </c>
      <c r="AA10" s="101">
        <v>0</v>
      </c>
      <c r="AB10" s="101">
        <v>0</v>
      </c>
      <c r="AC10" s="101">
        <v>0</v>
      </c>
      <c r="AD10" s="101">
        <v>0</v>
      </c>
      <c r="AE10" s="101">
        <v>0</v>
      </c>
      <c r="AF10" s="101">
        <v>0</v>
      </c>
      <c r="AG10" s="101">
        <v>0</v>
      </c>
      <c r="AH10" s="101">
        <v>0</v>
      </c>
      <c r="AI10" s="101">
        <v>0</v>
      </c>
      <c r="AJ10" s="101">
        <v>0</v>
      </c>
      <c r="AK10" s="101">
        <v>0</v>
      </c>
      <c r="AL10" s="101">
        <v>0</v>
      </c>
      <c r="AM10" s="101">
        <v>0</v>
      </c>
      <c r="AN10" s="122">
        <v>15.5</v>
      </c>
      <c r="AO10" s="185"/>
      <c r="AP10" s="160">
        <v>0</v>
      </c>
      <c r="AQ10" s="101">
        <v>0</v>
      </c>
      <c r="AR10" s="101">
        <v>0</v>
      </c>
      <c r="AS10" s="101">
        <v>0</v>
      </c>
      <c r="AT10" s="101">
        <v>29</v>
      </c>
      <c r="AU10" s="101">
        <v>0</v>
      </c>
      <c r="AV10" s="101">
        <v>0</v>
      </c>
      <c r="AW10" s="101">
        <v>0</v>
      </c>
      <c r="AX10" s="101">
        <v>0</v>
      </c>
      <c r="AY10" s="101">
        <v>0</v>
      </c>
      <c r="AZ10" s="101">
        <v>0</v>
      </c>
      <c r="BA10" s="101">
        <v>0</v>
      </c>
      <c r="BB10" s="101">
        <v>0</v>
      </c>
      <c r="BC10" s="101">
        <v>0</v>
      </c>
      <c r="BD10" s="101">
        <v>0</v>
      </c>
      <c r="BE10" s="101">
        <v>0</v>
      </c>
      <c r="BF10" s="101">
        <v>0</v>
      </c>
      <c r="BG10" s="101">
        <v>0</v>
      </c>
      <c r="BH10" s="101">
        <v>0</v>
      </c>
      <c r="BI10" s="101">
        <v>0</v>
      </c>
      <c r="BJ10" s="101">
        <v>0</v>
      </c>
      <c r="BK10" s="101">
        <v>0</v>
      </c>
      <c r="BL10" s="101">
        <v>0</v>
      </c>
      <c r="BM10" s="101">
        <v>0</v>
      </c>
      <c r="BN10" s="101">
        <v>0</v>
      </c>
      <c r="BO10" s="101">
        <v>0</v>
      </c>
      <c r="BP10" s="101">
        <v>0</v>
      </c>
      <c r="BQ10" s="101">
        <v>0</v>
      </c>
      <c r="BR10" s="101">
        <v>0</v>
      </c>
      <c r="BS10" s="101">
        <v>0</v>
      </c>
      <c r="BT10" s="101">
        <v>0</v>
      </c>
      <c r="BU10" s="101">
        <v>0</v>
      </c>
      <c r="BV10" s="101">
        <v>0</v>
      </c>
      <c r="BW10" s="101">
        <v>0</v>
      </c>
      <c r="BX10" s="101">
        <v>0</v>
      </c>
      <c r="BY10" s="101">
        <v>0</v>
      </c>
      <c r="BZ10" s="101">
        <v>0</v>
      </c>
      <c r="CA10" s="101">
        <v>0</v>
      </c>
      <c r="CB10" s="101">
        <v>0</v>
      </c>
      <c r="CC10" s="101">
        <v>0</v>
      </c>
      <c r="CD10" s="101">
        <v>0</v>
      </c>
      <c r="CE10" s="101">
        <v>0</v>
      </c>
      <c r="CF10" s="101">
        <v>0</v>
      </c>
      <c r="CG10" s="101">
        <v>0</v>
      </c>
      <c r="CH10" s="101">
        <v>0</v>
      </c>
      <c r="CI10" s="101">
        <v>0</v>
      </c>
      <c r="CJ10" s="101">
        <v>0</v>
      </c>
      <c r="CK10" s="101">
        <v>0</v>
      </c>
      <c r="CL10" s="101">
        <v>0</v>
      </c>
      <c r="CM10" s="101">
        <v>0</v>
      </c>
      <c r="CN10" s="101">
        <v>0</v>
      </c>
      <c r="CO10" s="101">
        <v>0</v>
      </c>
      <c r="CP10" s="101">
        <v>0</v>
      </c>
      <c r="CQ10" s="101">
        <v>0</v>
      </c>
      <c r="CR10" s="101">
        <v>0</v>
      </c>
      <c r="CS10" s="101">
        <v>0</v>
      </c>
      <c r="CT10" s="101">
        <v>0</v>
      </c>
      <c r="CU10" s="101">
        <v>0</v>
      </c>
      <c r="CV10" s="101">
        <v>0</v>
      </c>
      <c r="CW10" s="101">
        <v>0</v>
      </c>
      <c r="CX10" s="101">
        <v>0</v>
      </c>
      <c r="CY10" s="101">
        <v>0</v>
      </c>
      <c r="CZ10" s="101">
        <v>0</v>
      </c>
      <c r="DA10" s="101">
        <v>0</v>
      </c>
      <c r="DB10" s="101">
        <v>0</v>
      </c>
      <c r="DC10" s="101">
        <v>0</v>
      </c>
      <c r="DD10" s="101">
        <v>0</v>
      </c>
      <c r="DE10" s="101">
        <v>0</v>
      </c>
      <c r="DF10" s="101">
        <v>0</v>
      </c>
      <c r="DG10" s="101">
        <v>0</v>
      </c>
      <c r="DH10" s="101">
        <v>0</v>
      </c>
      <c r="DI10" s="101">
        <v>0</v>
      </c>
      <c r="DJ10" s="101">
        <v>0</v>
      </c>
      <c r="DK10" s="101">
        <v>0</v>
      </c>
      <c r="DL10" s="101">
        <v>0</v>
      </c>
      <c r="DM10" s="101">
        <v>0</v>
      </c>
      <c r="DN10" s="101">
        <v>0</v>
      </c>
      <c r="DO10" s="101">
        <v>0</v>
      </c>
      <c r="DP10" s="101">
        <v>0</v>
      </c>
      <c r="DQ10" s="101">
        <v>0</v>
      </c>
      <c r="DR10" s="101">
        <v>0</v>
      </c>
      <c r="DS10" s="101">
        <v>0</v>
      </c>
      <c r="DT10" s="101">
        <v>0</v>
      </c>
      <c r="DU10" s="101">
        <v>0</v>
      </c>
      <c r="DV10" s="101">
        <v>0</v>
      </c>
      <c r="DW10" s="101">
        <v>0</v>
      </c>
      <c r="DX10" s="101">
        <v>0</v>
      </c>
      <c r="DY10" s="101">
        <v>0</v>
      </c>
      <c r="DZ10" s="101">
        <v>0</v>
      </c>
      <c r="EA10" s="101">
        <v>0</v>
      </c>
      <c r="EB10" s="101">
        <v>0</v>
      </c>
      <c r="EC10" s="101">
        <v>0</v>
      </c>
      <c r="ED10" s="160">
        <v>0</v>
      </c>
      <c r="EE10" s="101">
        <v>0</v>
      </c>
      <c r="EF10" s="101">
        <v>0</v>
      </c>
      <c r="EG10" s="101">
        <v>0</v>
      </c>
      <c r="EH10" s="101">
        <v>0</v>
      </c>
      <c r="EI10" s="101">
        <v>0</v>
      </c>
      <c r="EJ10" s="101">
        <v>0</v>
      </c>
      <c r="EK10" s="101">
        <v>0</v>
      </c>
      <c r="EL10" s="101">
        <v>0</v>
      </c>
      <c r="EM10" s="101">
        <v>0</v>
      </c>
      <c r="EN10" s="101">
        <v>0</v>
      </c>
      <c r="EO10" s="101">
        <v>0</v>
      </c>
      <c r="EP10" s="101">
        <v>0</v>
      </c>
      <c r="EQ10" s="101">
        <v>0</v>
      </c>
      <c r="ER10" s="101">
        <v>0</v>
      </c>
      <c r="ES10" s="101">
        <v>0</v>
      </c>
      <c r="ET10" s="101">
        <v>0</v>
      </c>
      <c r="EU10" s="101">
        <v>0</v>
      </c>
      <c r="EV10" s="101">
        <v>0</v>
      </c>
      <c r="EW10" s="101">
        <v>0</v>
      </c>
      <c r="EX10" s="101">
        <v>0</v>
      </c>
      <c r="EY10" s="101">
        <v>0</v>
      </c>
      <c r="EZ10" s="101">
        <v>0</v>
      </c>
      <c r="FA10" s="101">
        <v>0</v>
      </c>
      <c r="FB10" s="101">
        <v>0</v>
      </c>
      <c r="FC10" s="101">
        <v>0</v>
      </c>
      <c r="FD10" s="101">
        <v>0</v>
      </c>
      <c r="FE10" s="101">
        <v>0</v>
      </c>
      <c r="FF10" s="101">
        <v>0</v>
      </c>
      <c r="FG10" s="101">
        <v>0</v>
      </c>
      <c r="FH10" s="73">
        <v>0</v>
      </c>
      <c r="FI10" s="13">
        <v>0</v>
      </c>
      <c r="FJ10" s="13">
        <v>0</v>
      </c>
      <c r="FK10" s="13">
        <v>0</v>
      </c>
      <c r="FL10" s="13">
        <v>0</v>
      </c>
      <c r="FM10" s="101">
        <v>0</v>
      </c>
      <c r="FN10" s="13">
        <v>0</v>
      </c>
      <c r="FO10" s="101">
        <v>0</v>
      </c>
      <c r="FP10" s="101">
        <v>0</v>
      </c>
      <c r="FQ10" s="101">
        <v>0</v>
      </c>
      <c r="FR10" s="101">
        <v>0</v>
      </c>
      <c r="FS10" s="101">
        <v>0</v>
      </c>
      <c r="FT10" s="101">
        <v>0</v>
      </c>
      <c r="FU10" s="101">
        <v>0</v>
      </c>
      <c r="FV10" s="101">
        <v>0</v>
      </c>
      <c r="FW10" s="101">
        <v>0</v>
      </c>
      <c r="FX10" s="101">
        <v>0</v>
      </c>
      <c r="FY10" s="101">
        <v>0</v>
      </c>
      <c r="FZ10" s="101">
        <v>0</v>
      </c>
      <c r="GA10" s="101">
        <v>0</v>
      </c>
      <c r="GB10" s="101">
        <v>0</v>
      </c>
      <c r="GC10" s="101">
        <v>0</v>
      </c>
      <c r="GD10" s="101">
        <v>0</v>
      </c>
      <c r="GE10" s="101">
        <v>0</v>
      </c>
      <c r="GF10" s="101">
        <v>0</v>
      </c>
      <c r="GG10" s="101">
        <v>0</v>
      </c>
      <c r="GH10" s="101">
        <v>0</v>
      </c>
      <c r="GI10" s="101">
        <v>0</v>
      </c>
      <c r="GJ10" s="101">
        <v>0</v>
      </c>
      <c r="GK10" s="101">
        <v>0</v>
      </c>
      <c r="GL10" s="101">
        <v>0</v>
      </c>
      <c r="GM10" s="160">
        <v>0</v>
      </c>
      <c r="GN10" s="101">
        <v>0</v>
      </c>
      <c r="GO10" s="13">
        <v>0</v>
      </c>
      <c r="GP10" s="424"/>
      <c r="GQ10" s="424"/>
      <c r="GR10" s="424"/>
      <c r="GS10" s="424"/>
      <c r="GT10" s="96"/>
      <c r="GU10" s="326">
        <f t="shared" ref="GU10:GU29" si="1">SUM(E10:GL10)</f>
        <v>44.5</v>
      </c>
      <c r="GV10" s="56">
        <v>90</v>
      </c>
      <c r="GW10" s="63">
        <f ca="1">TODAY()-HB10</f>
        <v>280</v>
      </c>
      <c r="HA10" s="48" t="s">
        <v>42</v>
      </c>
      <c r="HB10" s="47">
        <v>45974</v>
      </c>
    </row>
    <row r="11" spans="1:210" x14ac:dyDescent="0.25">
      <c r="A11" s="9">
        <v>3</v>
      </c>
      <c r="B11" s="474"/>
      <c r="C11" s="46" t="s">
        <v>47</v>
      </c>
      <c r="D11" s="4" t="s">
        <v>19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Z11" s="101">
        <v>0</v>
      </c>
      <c r="AA11" s="101">
        <v>0</v>
      </c>
      <c r="AB11" s="101">
        <v>0</v>
      </c>
      <c r="AC11" s="101">
        <v>0</v>
      </c>
      <c r="AD11" s="101">
        <v>27</v>
      </c>
      <c r="AE11" s="101">
        <v>0</v>
      </c>
      <c r="AF11" s="101">
        <v>0</v>
      </c>
      <c r="AG11" s="101">
        <v>0</v>
      </c>
      <c r="AH11" s="101">
        <v>0</v>
      </c>
      <c r="AI11" s="101">
        <v>0</v>
      </c>
      <c r="AJ11" s="101">
        <v>0</v>
      </c>
      <c r="AK11" s="101">
        <v>0</v>
      </c>
      <c r="AL11" s="101">
        <v>0</v>
      </c>
      <c r="AM11" s="101">
        <v>0</v>
      </c>
      <c r="AN11" s="101">
        <v>0</v>
      </c>
      <c r="AO11" s="162"/>
      <c r="AP11" s="160">
        <v>0</v>
      </c>
      <c r="AQ11" s="101">
        <v>0</v>
      </c>
      <c r="AR11" s="101">
        <v>0</v>
      </c>
      <c r="AS11" s="101">
        <v>0</v>
      </c>
      <c r="AT11" s="101">
        <v>0</v>
      </c>
      <c r="AU11" s="101">
        <v>0</v>
      </c>
      <c r="AV11" s="101">
        <v>0</v>
      </c>
      <c r="AW11" s="101">
        <v>0</v>
      </c>
      <c r="AX11" s="101">
        <v>0</v>
      </c>
      <c r="AY11" s="101">
        <v>0</v>
      </c>
      <c r="AZ11" s="101">
        <v>0</v>
      </c>
      <c r="BA11" s="101">
        <v>0</v>
      </c>
      <c r="BB11" s="101">
        <v>0</v>
      </c>
      <c r="BC11" s="101">
        <v>0</v>
      </c>
      <c r="BD11" s="101">
        <v>0</v>
      </c>
      <c r="BE11" s="101">
        <v>0</v>
      </c>
      <c r="BF11" s="101">
        <v>0</v>
      </c>
      <c r="BG11" s="101">
        <v>0</v>
      </c>
      <c r="BH11" s="101">
        <v>0</v>
      </c>
      <c r="BI11" s="101">
        <v>0</v>
      </c>
      <c r="BJ11" s="101">
        <v>0</v>
      </c>
      <c r="BK11" s="101">
        <v>0</v>
      </c>
      <c r="BL11" s="101">
        <v>0</v>
      </c>
      <c r="BM11" s="101">
        <v>0</v>
      </c>
      <c r="BN11" s="101">
        <v>0</v>
      </c>
      <c r="BO11" s="101">
        <v>0</v>
      </c>
      <c r="BP11" s="101">
        <v>0</v>
      </c>
      <c r="BQ11" s="101">
        <v>0</v>
      </c>
      <c r="BR11" s="101">
        <v>0</v>
      </c>
      <c r="BS11" s="101">
        <v>0</v>
      </c>
      <c r="BT11" s="101">
        <v>0</v>
      </c>
      <c r="BU11" s="101">
        <v>0</v>
      </c>
      <c r="BV11" s="101">
        <v>0</v>
      </c>
      <c r="BW11" s="101">
        <v>0</v>
      </c>
      <c r="BX11" s="101">
        <v>0</v>
      </c>
      <c r="BY11" s="101">
        <v>0</v>
      </c>
      <c r="BZ11" s="101">
        <v>0</v>
      </c>
      <c r="CA11" s="101">
        <v>0</v>
      </c>
      <c r="CB11" s="101">
        <v>0</v>
      </c>
      <c r="CC11" s="101">
        <v>0</v>
      </c>
      <c r="CD11" s="101">
        <v>0</v>
      </c>
      <c r="CE11" s="101">
        <v>0</v>
      </c>
      <c r="CF11" s="101">
        <v>0</v>
      </c>
      <c r="CG11" s="101">
        <v>0</v>
      </c>
      <c r="CH11" s="101">
        <v>0</v>
      </c>
      <c r="CI11" s="101">
        <v>0</v>
      </c>
      <c r="CJ11" s="101">
        <v>0</v>
      </c>
      <c r="CK11" s="101">
        <v>0</v>
      </c>
      <c r="CL11" s="101">
        <v>0</v>
      </c>
      <c r="CM11" s="101">
        <v>0</v>
      </c>
      <c r="CN11" s="101">
        <v>0</v>
      </c>
      <c r="CO11" s="101">
        <v>0</v>
      </c>
      <c r="CP11" s="101">
        <v>0</v>
      </c>
      <c r="CQ11" s="101">
        <v>0</v>
      </c>
      <c r="CR11" s="101">
        <v>0</v>
      </c>
      <c r="CS11" s="101">
        <v>0</v>
      </c>
      <c r="CT11" s="101">
        <v>0</v>
      </c>
      <c r="CU11" s="101">
        <v>0</v>
      </c>
      <c r="CV11" s="101">
        <v>0</v>
      </c>
      <c r="CW11" s="101">
        <v>0</v>
      </c>
      <c r="CX11" s="101">
        <v>0</v>
      </c>
      <c r="CY11" s="101">
        <v>0</v>
      </c>
      <c r="CZ11" s="101">
        <v>0</v>
      </c>
      <c r="DA11" s="101">
        <v>0</v>
      </c>
      <c r="DB11" s="101">
        <v>0</v>
      </c>
      <c r="DC11" s="101">
        <v>0</v>
      </c>
      <c r="DD11" s="101">
        <v>0</v>
      </c>
      <c r="DE11" s="101">
        <v>0</v>
      </c>
      <c r="DF11" s="101">
        <v>0</v>
      </c>
      <c r="DG11" s="101">
        <v>0</v>
      </c>
      <c r="DH11" s="101">
        <v>0</v>
      </c>
      <c r="DI11" s="101">
        <v>0</v>
      </c>
      <c r="DJ11" s="101">
        <v>0</v>
      </c>
      <c r="DK11" s="101">
        <v>0</v>
      </c>
      <c r="DL11" s="101">
        <v>0</v>
      </c>
      <c r="DM11" s="101">
        <v>0</v>
      </c>
      <c r="DN11" s="101">
        <v>0</v>
      </c>
      <c r="DO11" s="101">
        <v>0</v>
      </c>
      <c r="DP11" s="101">
        <v>0</v>
      </c>
      <c r="DQ11" s="101">
        <v>0</v>
      </c>
      <c r="DR11" s="101">
        <v>0</v>
      </c>
      <c r="DS11" s="101">
        <v>0</v>
      </c>
      <c r="DT11" s="101">
        <v>0</v>
      </c>
      <c r="DU11" s="101">
        <v>0</v>
      </c>
      <c r="DV11" s="101">
        <v>0</v>
      </c>
      <c r="DW11" s="101">
        <v>0</v>
      </c>
      <c r="DX11" s="101">
        <v>0</v>
      </c>
      <c r="DY11" s="101">
        <v>0</v>
      </c>
      <c r="DZ11" s="101">
        <v>0</v>
      </c>
      <c r="EA11" s="101">
        <v>0</v>
      </c>
      <c r="EB11" s="101">
        <v>0</v>
      </c>
      <c r="EC11" s="101">
        <v>0</v>
      </c>
      <c r="ED11" s="160">
        <v>0</v>
      </c>
      <c r="EE11" s="101">
        <v>0</v>
      </c>
      <c r="EF11" s="101">
        <v>0</v>
      </c>
      <c r="EG11" s="101">
        <v>0</v>
      </c>
      <c r="EH11" s="101">
        <v>0</v>
      </c>
      <c r="EI11" s="101">
        <v>0</v>
      </c>
      <c r="EJ11" s="101">
        <v>0</v>
      </c>
      <c r="EK11" s="101">
        <v>0</v>
      </c>
      <c r="EL11" s="101">
        <v>0</v>
      </c>
      <c r="EM11" s="101">
        <v>0</v>
      </c>
      <c r="EN11" s="101">
        <v>0</v>
      </c>
      <c r="EO11" s="101">
        <v>0</v>
      </c>
      <c r="EP11" s="101">
        <v>0</v>
      </c>
      <c r="EQ11" s="101">
        <v>0</v>
      </c>
      <c r="ER11" s="101">
        <v>0</v>
      </c>
      <c r="ES11" s="101">
        <v>0</v>
      </c>
      <c r="ET11" s="101">
        <v>0</v>
      </c>
      <c r="EU11" s="101">
        <v>0</v>
      </c>
      <c r="EV11" s="101">
        <v>0</v>
      </c>
      <c r="EW11" s="101">
        <v>0</v>
      </c>
      <c r="EX11" s="101">
        <v>0</v>
      </c>
      <c r="EY11" s="101">
        <v>0</v>
      </c>
      <c r="EZ11" s="101">
        <v>0</v>
      </c>
      <c r="FA11" s="101">
        <v>0</v>
      </c>
      <c r="FB11" s="101">
        <v>0</v>
      </c>
      <c r="FC11" s="101">
        <v>0</v>
      </c>
      <c r="FD11" s="101">
        <v>0</v>
      </c>
      <c r="FE11" s="101">
        <v>0</v>
      </c>
      <c r="FF11" s="101">
        <v>0</v>
      </c>
      <c r="FG11" s="101">
        <v>0</v>
      </c>
      <c r="FH11" s="73">
        <v>0</v>
      </c>
      <c r="FI11" s="13">
        <v>0</v>
      </c>
      <c r="FJ11" s="13">
        <v>0</v>
      </c>
      <c r="FK11" s="13">
        <v>0</v>
      </c>
      <c r="FL11" s="13">
        <v>0</v>
      </c>
      <c r="FM11" s="101">
        <v>0</v>
      </c>
      <c r="FN11" s="13">
        <v>0</v>
      </c>
      <c r="FO11" s="101">
        <v>0</v>
      </c>
      <c r="FP11" s="101">
        <v>0</v>
      </c>
      <c r="FQ11" s="101">
        <v>0</v>
      </c>
      <c r="FR11" s="101">
        <v>0</v>
      </c>
      <c r="FS11" s="101">
        <v>0</v>
      </c>
      <c r="FT11" s="101">
        <v>0</v>
      </c>
      <c r="FU11" s="101">
        <v>0</v>
      </c>
      <c r="FV11" s="101">
        <v>0</v>
      </c>
      <c r="FW11" s="101">
        <v>0</v>
      </c>
      <c r="FX11" s="101">
        <v>0</v>
      </c>
      <c r="FY11" s="101">
        <v>0</v>
      </c>
      <c r="FZ11" s="101">
        <v>0</v>
      </c>
      <c r="GA11" s="101">
        <v>0</v>
      </c>
      <c r="GB11" s="101">
        <v>0</v>
      </c>
      <c r="GC11" s="101">
        <v>0</v>
      </c>
      <c r="GD11" s="101">
        <v>0</v>
      </c>
      <c r="GE11" s="101">
        <v>0</v>
      </c>
      <c r="GF11" s="101">
        <v>0</v>
      </c>
      <c r="GG11" s="101">
        <v>0</v>
      </c>
      <c r="GH11" s="101">
        <v>0</v>
      </c>
      <c r="GI11" s="101">
        <v>0</v>
      </c>
      <c r="GJ11" s="101">
        <v>0</v>
      </c>
      <c r="GK11" s="101">
        <v>0</v>
      </c>
      <c r="GL11" s="101">
        <v>0</v>
      </c>
      <c r="GM11" s="160">
        <v>0</v>
      </c>
      <c r="GN11" s="101">
        <v>0</v>
      </c>
      <c r="GO11" s="13">
        <v>0</v>
      </c>
      <c r="GP11" s="424"/>
      <c r="GQ11" s="424"/>
      <c r="GR11" s="424"/>
      <c r="GS11" s="424"/>
      <c r="GT11" s="96"/>
      <c r="GU11" s="326">
        <f t="shared" si="1"/>
        <v>27</v>
      </c>
      <c r="GV11" s="56">
        <v>90</v>
      </c>
      <c r="GW11" s="63">
        <f t="shared" ca="1" si="0"/>
        <v>280</v>
      </c>
      <c r="HA11" s="48" t="s">
        <v>42</v>
      </c>
      <c r="HB11" s="47">
        <v>45974</v>
      </c>
    </row>
    <row r="12" spans="1:210" x14ac:dyDescent="0.25">
      <c r="A12" s="2">
        <v>4</v>
      </c>
      <c r="B12" s="474"/>
      <c r="C12" s="46" t="s">
        <v>46</v>
      </c>
      <c r="D12" s="4" t="s">
        <v>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Z12" s="101">
        <v>0</v>
      </c>
      <c r="AA12" s="101">
        <v>0</v>
      </c>
      <c r="AB12" s="101">
        <v>0</v>
      </c>
      <c r="AC12" s="101">
        <v>38</v>
      </c>
      <c r="AD12" s="101">
        <v>0</v>
      </c>
      <c r="AE12" s="101">
        <v>0</v>
      </c>
      <c r="AF12" s="101">
        <v>0</v>
      </c>
      <c r="AG12" s="101">
        <v>0</v>
      </c>
      <c r="AH12" s="101">
        <v>0</v>
      </c>
      <c r="AI12" s="101">
        <v>0</v>
      </c>
      <c r="AJ12" s="101">
        <v>0</v>
      </c>
      <c r="AK12" s="101">
        <v>0</v>
      </c>
      <c r="AL12" s="101">
        <v>0</v>
      </c>
      <c r="AM12" s="101">
        <v>0</v>
      </c>
      <c r="AN12" s="101">
        <v>0</v>
      </c>
      <c r="AO12" s="162"/>
      <c r="AP12" s="160">
        <v>0</v>
      </c>
      <c r="AQ12" s="101">
        <v>0</v>
      </c>
      <c r="AR12" s="101">
        <v>0</v>
      </c>
      <c r="AS12" s="101">
        <v>0</v>
      </c>
      <c r="AT12" s="101">
        <v>0</v>
      </c>
      <c r="AU12" s="101">
        <v>0</v>
      </c>
      <c r="AV12" s="101">
        <v>0</v>
      </c>
      <c r="AW12" s="101">
        <v>0</v>
      </c>
      <c r="AX12" s="101">
        <v>0</v>
      </c>
      <c r="AY12" s="101">
        <v>0</v>
      </c>
      <c r="AZ12" s="101">
        <v>0</v>
      </c>
      <c r="BA12" s="101">
        <v>0</v>
      </c>
      <c r="BB12" s="101">
        <v>0</v>
      </c>
      <c r="BC12" s="101">
        <v>0</v>
      </c>
      <c r="BD12" s="101">
        <v>0</v>
      </c>
      <c r="BE12" s="101">
        <v>0</v>
      </c>
      <c r="BF12" s="101">
        <v>0</v>
      </c>
      <c r="BG12" s="101">
        <v>0</v>
      </c>
      <c r="BH12" s="101">
        <v>0</v>
      </c>
      <c r="BI12" s="101">
        <v>0</v>
      </c>
      <c r="BJ12" s="101">
        <v>0</v>
      </c>
      <c r="BK12" s="101">
        <v>0</v>
      </c>
      <c r="BL12" s="101">
        <v>0</v>
      </c>
      <c r="BM12" s="101">
        <v>0</v>
      </c>
      <c r="BN12" s="101">
        <v>0</v>
      </c>
      <c r="BO12" s="101">
        <v>0</v>
      </c>
      <c r="BP12" s="101">
        <v>0</v>
      </c>
      <c r="BQ12" s="101">
        <v>0</v>
      </c>
      <c r="BR12" s="101">
        <v>0</v>
      </c>
      <c r="BS12" s="101">
        <v>0</v>
      </c>
      <c r="BT12" s="101">
        <v>0</v>
      </c>
      <c r="BU12" s="101">
        <v>0</v>
      </c>
      <c r="BV12" s="101">
        <v>0</v>
      </c>
      <c r="BW12" s="101">
        <v>0</v>
      </c>
      <c r="BX12" s="101">
        <v>0</v>
      </c>
      <c r="BY12" s="101">
        <v>0</v>
      </c>
      <c r="BZ12" s="101">
        <v>0</v>
      </c>
      <c r="CA12" s="101">
        <v>0</v>
      </c>
      <c r="CB12" s="101">
        <v>0</v>
      </c>
      <c r="CC12" s="101">
        <v>0</v>
      </c>
      <c r="CD12" s="101">
        <v>0</v>
      </c>
      <c r="CE12" s="101">
        <v>0</v>
      </c>
      <c r="CF12" s="101">
        <v>0</v>
      </c>
      <c r="CG12" s="101">
        <v>0</v>
      </c>
      <c r="CH12" s="101">
        <v>0</v>
      </c>
      <c r="CI12" s="101">
        <v>0</v>
      </c>
      <c r="CJ12" s="101">
        <v>0</v>
      </c>
      <c r="CK12" s="101">
        <v>0</v>
      </c>
      <c r="CL12" s="101">
        <v>0</v>
      </c>
      <c r="CM12" s="101">
        <v>0</v>
      </c>
      <c r="CN12" s="101">
        <v>0</v>
      </c>
      <c r="CO12" s="101">
        <v>0</v>
      </c>
      <c r="CP12" s="101">
        <v>0</v>
      </c>
      <c r="CQ12" s="101">
        <v>0</v>
      </c>
      <c r="CR12" s="101">
        <v>0</v>
      </c>
      <c r="CS12" s="101">
        <v>0</v>
      </c>
      <c r="CT12" s="101">
        <v>0</v>
      </c>
      <c r="CU12" s="101">
        <v>0</v>
      </c>
      <c r="CV12" s="101">
        <v>0</v>
      </c>
      <c r="CW12" s="101">
        <v>0</v>
      </c>
      <c r="CX12" s="101">
        <v>0</v>
      </c>
      <c r="CY12" s="101">
        <v>0</v>
      </c>
      <c r="CZ12" s="101">
        <v>0</v>
      </c>
      <c r="DA12" s="101">
        <v>0</v>
      </c>
      <c r="DB12" s="101">
        <v>0</v>
      </c>
      <c r="DC12" s="101">
        <v>0</v>
      </c>
      <c r="DD12" s="101">
        <v>0</v>
      </c>
      <c r="DE12" s="101">
        <v>0</v>
      </c>
      <c r="DF12" s="101">
        <v>0</v>
      </c>
      <c r="DG12" s="101">
        <v>0</v>
      </c>
      <c r="DH12" s="101">
        <v>0</v>
      </c>
      <c r="DI12" s="101">
        <v>0</v>
      </c>
      <c r="DJ12" s="101">
        <v>0</v>
      </c>
      <c r="DK12" s="101">
        <v>0</v>
      </c>
      <c r="DL12" s="101">
        <v>0</v>
      </c>
      <c r="DM12" s="101">
        <v>0</v>
      </c>
      <c r="DN12" s="101">
        <v>0</v>
      </c>
      <c r="DO12" s="101">
        <v>0</v>
      </c>
      <c r="DP12" s="101">
        <v>0</v>
      </c>
      <c r="DQ12" s="101">
        <v>0</v>
      </c>
      <c r="DR12" s="101">
        <v>0</v>
      </c>
      <c r="DS12" s="101">
        <v>0</v>
      </c>
      <c r="DT12" s="101">
        <v>0</v>
      </c>
      <c r="DU12" s="101">
        <v>0</v>
      </c>
      <c r="DV12" s="101">
        <v>0</v>
      </c>
      <c r="DW12" s="101">
        <v>0</v>
      </c>
      <c r="DX12" s="101">
        <v>0</v>
      </c>
      <c r="DY12" s="101">
        <v>0</v>
      </c>
      <c r="DZ12" s="101">
        <v>0</v>
      </c>
      <c r="EA12" s="101">
        <v>0</v>
      </c>
      <c r="EB12" s="101">
        <v>0</v>
      </c>
      <c r="EC12" s="101">
        <v>0</v>
      </c>
      <c r="ED12" s="160">
        <v>0</v>
      </c>
      <c r="EE12" s="101">
        <v>0</v>
      </c>
      <c r="EF12" s="101">
        <v>0</v>
      </c>
      <c r="EG12" s="101">
        <v>0</v>
      </c>
      <c r="EH12" s="101">
        <v>0</v>
      </c>
      <c r="EI12" s="101">
        <v>0</v>
      </c>
      <c r="EJ12" s="101">
        <v>0</v>
      </c>
      <c r="EK12" s="101">
        <v>0</v>
      </c>
      <c r="EL12" s="101">
        <v>0</v>
      </c>
      <c r="EM12" s="101">
        <v>0</v>
      </c>
      <c r="EN12" s="101">
        <v>0</v>
      </c>
      <c r="EO12" s="101">
        <v>0</v>
      </c>
      <c r="EP12" s="101">
        <v>0</v>
      </c>
      <c r="EQ12" s="101">
        <v>0</v>
      </c>
      <c r="ER12" s="101">
        <v>0</v>
      </c>
      <c r="ES12" s="101">
        <v>0</v>
      </c>
      <c r="ET12" s="101">
        <v>0</v>
      </c>
      <c r="EU12" s="101">
        <v>0</v>
      </c>
      <c r="EV12" s="101">
        <v>0</v>
      </c>
      <c r="EW12" s="101">
        <v>0</v>
      </c>
      <c r="EX12" s="101">
        <v>0</v>
      </c>
      <c r="EY12" s="101">
        <v>0</v>
      </c>
      <c r="EZ12" s="101">
        <v>0</v>
      </c>
      <c r="FA12" s="101">
        <v>0</v>
      </c>
      <c r="FB12" s="101">
        <v>0</v>
      </c>
      <c r="FC12" s="101">
        <v>0</v>
      </c>
      <c r="FD12" s="101">
        <v>0</v>
      </c>
      <c r="FE12" s="101">
        <v>0</v>
      </c>
      <c r="FF12" s="101">
        <v>0</v>
      </c>
      <c r="FG12" s="101">
        <v>0</v>
      </c>
      <c r="FH12" s="73">
        <v>0</v>
      </c>
      <c r="FI12" s="13">
        <v>0</v>
      </c>
      <c r="FJ12" s="13">
        <v>0</v>
      </c>
      <c r="FK12" s="13">
        <v>0</v>
      </c>
      <c r="FL12" s="13">
        <v>0</v>
      </c>
      <c r="FM12" s="101">
        <v>0</v>
      </c>
      <c r="FN12" s="13">
        <v>0</v>
      </c>
      <c r="FO12" s="101">
        <v>0</v>
      </c>
      <c r="FP12" s="101">
        <v>0</v>
      </c>
      <c r="FQ12" s="101">
        <v>0</v>
      </c>
      <c r="FR12" s="101">
        <v>0</v>
      </c>
      <c r="FS12" s="101">
        <v>0</v>
      </c>
      <c r="FT12" s="101">
        <v>0</v>
      </c>
      <c r="FU12" s="101">
        <v>0</v>
      </c>
      <c r="FV12" s="101">
        <v>0</v>
      </c>
      <c r="FW12" s="101">
        <v>0</v>
      </c>
      <c r="FX12" s="101">
        <v>0</v>
      </c>
      <c r="FY12" s="101">
        <v>0</v>
      </c>
      <c r="FZ12" s="101">
        <v>0</v>
      </c>
      <c r="GA12" s="101">
        <v>0</v>
      </c>
      <c r="GB12" s="101">
        <v>0</v>
      </c>
      <c r="GC12" s="101">
        <v>0</v>
      </c>
      <c r="GD12" s="101">
        <v>0</v>
      </c>
      <c r="GE12" s="101">
        <v>0</v>
      </c>
      <c r="GF12" s="101">
        <v>0</v>
      </c>
      <c r="GG12" s="101">
        <v>0</v>
      </c>
      <c r="GH12" s="101">
        <v>0</v>
      </c>
      <c r="GI12" s="101">
        <v>0</v>
      </c>
      <c r="GJ12" s="101">
        <v>0</v>
      </c>
      <c r="GK12" s="101">
        <v>0</v>
      </c>
      <c r="GL12" s="101">
        <v>0</v>
      </c>
      <c r="GM12" s="160">
        <v>0</v>
      </c>
      <c r="GN12" s="101">
        <v>0</v>
      </c>
      <c r="GO12" s="13">
        <v>0</v>
      </c>
      <c r="GP12" s="424"/>
      <c r="GQ12" s="424"/>
      <c r="GR12" s="424"/>
      <c r="GS12" s="424"/>
      <c r="GT12" s="96"/>
      <c r="GU12" s="326">
        <f t="shared" si="1"/>
        <v>38</v>
      </c>
      <c r="GV12" s="56">
        <v>90</v>
      </c>
      <c r="GW12" s="63">
        <f t="shared" ca="1" si="0"/>
        <v>277</v>
      </c>
      <c r="HA12" s="48" t="s">
        <v>43</v>
      </c>
      <c r="HB12" s="47">
        <v>45977</v>
      </c>
    </row>
    <row r="13" spans="1:210" x14ac:dyDescent="0.25">
      <c r="A13" s="9">
        <v>5</v>
      </c>
      <c r="B13" s="474"/>
      <c r="C13" s="46" t="s">
        <v>45</v>
      </c>
      <c r="D13" s="4" t="s">
        <v>19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Z13" s="101">
        <v>0</v>
      </c>
      <c r="AA13" s="101">
        <v>0</v>
      </c>
      <c r="AB13" s="101">
        <v>0</v>
      </c>
      <c r="AC13" s="101">
        <v>0</v>
      </c>
      <c r="AD13" s="101">
        <v>0</v>
      </c>
      <c r="AE13" s="101">
        <v>0</v>
      </c>
      <c r="AF13" s="101">
        <v>0</v>
      </c>
      <c r="AG13" s="101">
        <v>0</v>
      </c>
      <c r="AH13" s="101">
        <v>0</v>
      </c>
      <c r="AI13" s="101">
        <v>0</v>
      </c>
      <c r="AJ13" s="101">
        <v>0</v>
      </c>
      <c r="AK13" s="101">
        <v>0</v>
      </c>
      <c r="AL13" s="101">
        <v>0</v>
      </c>
      <c r="AM13" s="101">
        <v>0</v>
      </c>
      <c r="AN13" s="101">
        <v>0</v>
      </c>
      <c r="AO13" s="162"/>
      <c r="AP13" s="160">
        <v>0</v>
      </c>
      <c r="AQ13" s="101">
        <v>0</v>
      </c>
      <c r="AR13" s="101">
        <v>0</v>
      </c>
      <c r="AS13" s="101">
        <v>0</v>
      </c>
      <c r="AT13" s="101">
        <v>0</v>
      </c>
      <c r="AU13" s="101">
        <v>0</v>
      </c>
      <c r="AV13" s="101">
        <v>0</v>
      </c>
      <c r="AW13" s="101">
        <v>0</v>
      </c>
      <c r="AX13" s="101">
        <v>0</v>
      </c>
      <c r="AY13" s="101">
        <v>0</v>
      </c>
      <c r="AZ13" s="101">
        <v>0</v>
      </c>
      <c r="BA13" s="101">
        <v>0</v>
      </c>
      <c r="BB13" s="101">
        <v>0</v>
      </c>
      <c r="BC13" s="101">
        <v>0</v>
      </c>
      <c r="BD13" s="101">
        <v>0</v>
      </c>
      <c r="BE13" s="101">
        <v>0</v>
      </c>
      <c r="BF13" s="101">
        <v>0</v>
      </c>
      <c r="BG13" s="101">
        <v>0</v>
      </c>
      <c r="BH13" s="101">
        <v>0</v>
      </c>
      <c r="BI13" s="101">
        <v>0</v>
      </c>
      <c r="BJ13" s="101">
        <v>0</v>
      </c>
      <c r="BK13" s="101">
        <v>0</v>
      </c>
      <c r="BL13" s="101">
        <v>0</v>
      </c>
      <c r="BM13" s="101">
        <v>0</v>
      </c>
      <c r="BN13" s="101">
        <v>0</v>
      </c>
      <c r="BO13" s="101">
        <v>0</v>
      </c>
      <c r="BP13" s="101">
        <v>0</v>
      </c>
      <c r="BQ13" s="101">
        <v>0</v>
      </c>
      <c r="BR13" s="101">
        <v>0</v>
      </c>
      <c r="BS13" s="101">
        <v>0</v>
      </c>
      <c r="BT13" s="101">
        <v>0</v>
      </c>
      <c r="BU13" s="101">
        <v>0</v>
      </c>
      <c r="BV13" s="101">
        <v>0</v>
      </c>
      <c r="BW13" s="101">
        <v>0</v>
      </c>
      <c r="BX13" s="101">
        <v>0</v>
      </c>
      <c r="BY13" s="101">
        <v>0</v>
      </c>
      <c r="BZ13" s="101">
        <v>0</v>
      </c>
      <c r="CA13" s="101">
        <v>0</v>
      </c>
      <c r="CB13" s="101">
        <v>0</v>
      </c>
      <c r="CC13" s="101">
        <v>0</v>
      </c>
      <c r="CD13" s="101">
        <v>0</v>
      </c>
      <c r="CE13" s="101">
        <v>0</v>
      </c>
      <c r="CF13" s="101">
        <v>0</v>
      </c>
      <c r="CG13" s="101">
        <v>0</v>
      </c>
      <c r="CH13" s="101">
        <v>0</v>
      </c>
      <c r="CI13" s="101">
        <v>0</v>
      </c>
      <c r="CJ13" s="101">
        <v>0</v>
      </c>
      <c r="CK13" s="101">
        <v>0</v>
      </c>
      <c r="CL13" s="101">
        <v>0</v>
      </c>
      <c r="CM13" s="101">
        <v>0</v>
      </c>
      <c r="CN13" s="101">
        <v>0</v>
      </c>
      <c r="CO13" s="101">
        <v>0</v>
      </c>
      <c r="CP13" s="101">
        <v>0</v>
      </c>
      <c r="CQ13" s="101">
        <v>0</v>
      </c>
      <c r="CR13" s="101">
        <v>0</v>
      </c>
      <c r="CS13" s="101">
        <v>0</v>
      </c>
      <c r="CT13" s="101">
        <v>0</v>
      </c>
      <c r="CU13" s="101">
        <v>0</v>
      </c>
      <c r="CV13" s="101">
        <v>0</v>
      </c>
      <c r="CW13" s="101">
        <v>0</v>
      </c>
      <c r="CX13" s="101">
        <v>0</v>
      </c>
      <c r="CY13" s="101">
        <v>0</v>
      </c>
      <c r="CZ13" s="101">
        <v>0</v>
      </c>
      <c r="DA13" s="101">
        <v>0</v>
      </c>
      <c r="DB13" s="101">
        <v>0</v>
      </c>
      <c r="DC13" s="101">
        <v>0</v>
      </c>
      <c r="DD13" s="101">
        <v>0</v>
      </c>
      <c r="DE13" s="101">
        <v>0</v>
      </c>
      <c r="DF13" s="101">
        <v>0</v>
      </c>
      <c r="DG13" s="101">
        <v>0</v>
      </c>
      <c r="DH13" s="101">
        <v>0</v>
      </c>
      <c r="DI13" s="101">
        <v>0</v>
      </c>
      <c r="DJ13" s="101">
        <v>0</v>
      </c>
      <c r="DK13" s="101">
        <v>0</v>
      </c>
      <c r="DL13" s="101">
        <v>0</v>
      </c>
      <c r="DM13" s="101">
        <v>0</v>
      </c>
      <c r="DN13" s="101">
        <v>0</v>
      </c>
      <c r="DO13" s="101">
        <v>0</v>
      </c>
      <c r="DP13" s="101">
        <v>0</v>
      </c>
      <c r="DQ13" s="101">
        <v>0</v>
      </c>
      <c r="DR13" s="101">
        <v>0</v>
      </c>
      <c r="DS13" s="101">
        <v>0</v>
      </c>
      <c r="DT13" s="101">
        <v>0</v>
      </c>
      <c r="DU13" s="101">
        <v>0</v>
      </c>
      <c r="DV13" s="101">
        <v>0</v>
      </c>
      <c r="DW13" s="101">
        <v>0</v>
      </c>
      <c r="DX13" s="101">
        <v>0</v>
      </c>
      <c r="DY13" s="101">
        <v>0</v>
      </c>
      <c r="DZ13" s="101">
        <v>0</v>
      </c>
      <c r="EA13" s="101">
        <v>0</v>
      </c>
      <c r="EB13" s="101">
        <v>0</v>
      </c>
      <c r="EC13" s="101">
        <v>0</v>
      </c>
      <c r="ED13" s="160">
        <v>0</v>
      </c>
      <c r="EE13" s="101">
        <v>0</v>
      </c>
      <c r="EF13" s="101">
        <v>0</v>
      </c>
      <c r="EG13" s="101">
        <v>0</v>
      </c>
      <c r="EH13" s="101">
        <v>0</v>
      </c>
      <c r="EI13" s="101">
        <v>0</v>
      </c>
      <c r="EJ13" s="101">
        <v>0</v>
      </c>
      <c r="EK13" s="101">
        <v>0</v>
      </c>
      <c r="EL13" s="101">
        <v>0</v>
      </c>
      <c r="EM13" s="101">
        <v>0</v>
      </c>
      <c r="EN13" s="101">
        <v>0</v>
      </c>
      <c r="EO13" s="101">
        <v>0</v>
      </c>
      <c r="EP13" s="101">
        <v>0</v>
      </c>
      <c r="EQ13" s="101">
        <v>0</v>
      </c>
      <c r="ER13" s="101">
        <v>0</v>
      </c>
      <c r="ES13" s="101">
        <v>0</v>
      </c>
      <c r="ET13" s="101">
        <v>0</v>
      </c>
      <c r="EU13" s="101">
        <v>0</v>
      </c>
      <c r="EV13" s="101">
        <v>0</v>
      </c>
      <c r="EW13" s="101">
        <v>0</v>
      </c>
      <c r="EX13" s="101">
        <v>0</v>
      </c>
      <c r="EY13" s="101">
        <v>0</v>
      </c>
      <c r="EZ13" s="101">
        <v>0</v>
      </c>
      <c r="FA13" s="101">
        <v>0</v>
      </c>
      <c r="FB13" s="101">
        <v>0</v>
      </c>
      <c r="FC13" s="101">
        <v>0</v>
      </c>
      <c r="FD13" s="101">
        <v>0</v>
      </c>
      <c r="FE13" s="101">
        <v>0</v>
      </c>
      <c r="FF13" s="101">
        <v>0</v>
      </c>
      <c r="FG13" s="101">
        <v>0</v>
      </c>
      <c r="FH13" s="73">
        <v>0</v>
      </c>
      <c r="FI13" s="13">
        <v>0</v>
      </c>
      <c r="FJ13" s="13">
        <v>0</v>
      </c>
      <c r="FK13" s="13">
        <v>0</v>
      </c>
      <c r="FL13" s="13">
        <v>0</v>
      </c>
      <c r="FM13" s="101">
        <v>0</v>
      </c>
      <c r="FN13" s="13">
        <v>0</v>
      </c>
      <c r="FO13" s="101">
        <v>0</v>
      </c>
      <c r="FP13" s="101">
        <v>0</v>
      </c>
      <c r="FQ13" s="101">
        <v>0</v>
      </c>
      <c r="FR13" s="101">
        <v>0</v>
      </c>
      <c r="FS13" s="101">
        <v>0</v>
      </c>
      <c r="FT13" s="101">
        <v>0</v>
      </c>
      <c r="FU13" s="101">
        <v>0</v>
      </c>
      <c r="FV13" s="101">
        <v>0</v>
      </c>
      <c r="FW13" s="101">
        <v>0</v>
      </c>
      <c r="FX13" s="101">
        <v>0</v>
      </c>
      <c r="FY13" s="101">
        <v>0</v>
      </c>
      <c r="FZ13" s="101">
        <v>0</v>
      </c>
      <c r="GA13" s="101">
        <v>0</v>
      </c>
      <c r="GB13" s="101">
        <v>0</v>
      </c>
      <c r="GC13" s="101">
        <v>0</v>
      </c>
      <c r="GD13" s="101">
        <v>0</v>
      </c>
      <c r="GE13" s="101">
        <v>0</v>
      </c>
      <c r="GF13" s="101">
        <v>0</v>
      </c>
      <c r="GG13" s="101">
        <v>0</v>
      </c>
      <c r="GH13" s="101">
        <v>0</v>
      </c>
      <c r="GI13" s="101">
        <v>0</v>
      </c>
      <c r="GJ13" s="101">
        <v>0</v>
      </c>
      <c r="GK13" s="101">
        <v>0</v>
      </c>
      <c r="GL13" s="101">
        <v>0</v>
      </c>
      <c r="GM13" s="160">
        <v>0</v>
      </c>
      <c r="GN13" s="101">
        <v>0</v>
      </c>
      <c r="GO13" s="13">
        <v>0</v>
      </c>
      <c r="GP13" s="424"/>
      <c r="GQ13" s="424"/>
      <c r="GR13" s="424"/>
      <c r="GS13" s="424"/>
      <c r="GT13" s="96"/>
      <c r="GU13" s="326">
        <f t="shared" si="1"/>
        <v>0</v>
      </c>
      <c r="GV13" s="56">
        <v>60</v>
      </c>
      <c r="GW13" s="63">
        <f t="shared" ca="1" si="0"/>
        <v>277</v>
      </c>
      <c r="HA13" s="48" t="s">
        <v>43</v>
      </c>
      <c r="HB13" s="47">
        <v>45977</v>
      </c>
    </row>
    <row r="14" spans="1:210" x14ac:dyDescent="0.25">
      <c r="A14" s="2">
        <v>6</v>
      </c>
      <c r="B14" s="474"/>
      <c r="C14" s="46" t="s">
        <v>49</v>
      </c>
      <c r="D14" s="4" t="s">
        <v>19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22">
        <v>19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01">
        <v>0</v>
      </c>
      <c r="AA14" s="101">
        <v>0</v>
      </c>
      <c r="AB14" s="101">
        <v>0</v>
      </c>
      <c r="AC14" s="101">
        <v>0</v>
      </c>
      <c r="AD14" s="101">
        <v>0</v>
      </c>
      <c r="AE14" s="101">
        <v>0</v>
      </c>
      <c r="AF14" s="101">
        <v>0</v>
      </c>
      <c r="AG14" s="101">
        <v>0</v>
      </c>
      <c r="AH14" s="101">
        <v>0</v>
      </c>
      <c r="AI14" s="101">
        <v>0</v>
      </c>
      <c r="AJ14" s="101">
        <v>0</v>
      </c>
      <c r="AK14" s="101">
        <v>0</v>
      </c>
      <c r="AL14" s="101">
        <v>0</v>
      </c>
      <c r="AM14" s="101">
        <v>0</v>
      </c>
      <c r="AN14" s="101">
        <v>0</v>
      </c>
      <c r="AO14" s="162"/>
      <c r="AP14" s="160">
        <v>0</v>
      </c>
      <c r="AQ14" s="101">
        <v>0</v>
      </c>
      <c r="AR14" s="101">
        <v>0</v>
      </c>
      <c r="AS14" s="101">
        <v>0</v>
      </c>
      <c r="AT14" s="101">
        <v>0</v>
      </c>
      <c r="AU14" s="101">
        <v>0</v>
      </c>
      <c r="AV14" s="101">
        <v>0</v>
      </c>
      <c r="AW14" s="101">
        <v>0</v>
      </c>
      <c r="AX14" s="101">
        <v>0</v>
      </c>
      <c r="AY14" s="101">
        <v>0</v>
      </c>
      <c r="AZ14" s="101">
        <v>0</v>
      </c>
      <c r="BA14" s="101">
        <v>0</v>
      </c>
      <c r="BB14" s="101">
        <v>0</v>
      </c>
      <c r="BC14" s="101">
        <v>0</v>
      </c>
      <c r="BD14" s="101">
        <v>0</v>
      </c>
      <c r="BE14" s="101">
        <v>0</v>
      </c>
      <c r="BF14" s="101">
        <v>0</v>
      </c>
      <c r="BG14" s="101">
        <v>0</v>
      </c>
      <c r="BH14" s="101">
        <v>0</v>
      </c>
      <c r="BI14" s="101">
        <v>0</v>
      </c>
      <c r="BJ14" s="101">
        <v>0</v>
      </c>
      <c r="BK14" s="101">
        <v>0</v>
      </c>
      <c r="BL14" s="101">
        <v>0</v>
      </c>
      <c r="BM14" s="101">
        <v>0</v>
      </c>
      <c r="BN14" s="101">
        <v>0</v>
      </c>
      <c r="BO14" s="101">
        <v>0</v>
      </c>
      <c r="BP14" s="101">
        <v>0</v>
      </c>
      <c r="BQ14" s="101">
        <v>0</v>
      </c>
      <c r="BR14" s="101">
        <v>0</v>
      </c>
      <c r="BS14" s="101">
        <v>0</v>
      </c>
      <c r="BT14" s="101">
        <v>0</v>
      </c>
      <c r="BU14" s="101">
        <v>0</v>
      </c>
      <c r="BV14" s="101">
        <v>0</v>
      </c>
      <c r="BW14" s="101">
        <v>0</v>
      </c>
      <c r="BX14" s="101">
        <v>0</v>
      </c>
      <c r="BY14" s="101">
        <v>0</v>
      </c>
      <c r="BZ14" s="101">
        <v>0</v>
      </c>
      <c r="CA14" s="101">
        <v>0</v>
      </c>
      <c r="CB14" s="101">
        <v>0</v>
      </c>
      <c r="CC14" s="101">
        <v>0</v>
      </c>
      <c r="CD14" s="101">
        <v>0</v>
      </c>
      <c r="CE14" s="101">
        <v>0</v>
      </c>
      <c r="CF14" s="101">
        <v>0</v>
      </c>
      <c r="CG14" s="101">
        <v>0</v>
      </c>
      <c r="CH14" s="101">
        <v>0</v>
      </c>
      <c r="CI14" s="101">
        <v>0</v>
      </c>
      <c r="CJ14" s="101">
        <v>0</v>
      </c>
      <c r="CK14" s="101">
        <v>0</v>
      </c>
      <c r="CL14" s="101">
        <v>0</v>
      </c>
      <c r="CM14" s="101">
        <v>0</v>
      </c>
      <c r="CN14" s="101">
        <v>0</v>
      </c>
      <c r="CO14" s="101">
        <v>0</v>
      </c>
      <c r="CP14" s="101">
        <v>0</v>
      </c>
      <c r="CQ14" s="101">
        <v>0</v>
      </c>
      <c r="CR14" s="101">
        <v>0</v>
      </c>
      <c r="CS14" s="101">
        <v>0</v>
      </c>
      <c r="CT14" s="101">
        <v>0</v>
      </c>
      <c r="CU14" s="101">
        <v>0</v>
      </c>
      <c r="CV14" s="101">
        <v>0</v>
      </c>
      <c r="CW14" s="101">
        <v>0</v>
      </c>
      <c r="CX14" s="101">
        <v>0</v>
      </c>
      <c r="CY14" s="101">
        <v>0</v>
      </c>
      <c r="CZ14" s="101">
        <v>0</v>
      </c>
      <c r="DA14" s="101">
        <v>0</v>
      </c>
      <c r="DB14" s="101">
        <v>0</v>
      </c>
      <c r="DC14" s="101">
        <v>0</v>
      </c>
      <c r="DD14" s="101">
        <v>0</v>
      </c>
      <c r="DE14" s="101">
        <v>0</v>
      </c>
      <c r="DF14" s="101">
        <v>0</v>
      </c>
      <c r="DG14" s="101">
        <v>0</v>
      </c>
      <c r="DH14" s="101">
        <v>0</v>
      </c>
      <c r="DI14" s="101">
        <v>0</v>
      </c>
      <c r="DJ14" s="101">
        <v>0</v>
      </c>
      <c r="DK14" s="101">
        <v>0</v>
      </c>
      <c r="DL14" s="101">
        <v>0</v>
      </c>
      <c r="DM14" s="101">
        <v>0</v>
      </c>
      <c r="DN14" s="101">
        <v>0</v>
      </c>
      <c r="DO14" s="101">
        <v>0</v>
      </c>
      <c r="DP14" s="101">
        <v>0</v>
      </c>
      <c r="DQ14" s="101">
        <v>0</v>
      </c>
      <c r="DR14" s="101">
        <v>0</v>
      </c>
      <c r="DS14" s="101">
        <v>0</v>
      </c>
      <c r="DT14" s="101">
        <v>0</v>
      </c>
      <c r="DU14" s="101">
        <v>0</v>
      </c>
      <c r="DV14" s="101">
        <v>0</v>
      </c>
      <c r="DW14" s="101">
        <v>0</v>
      </c>
      <c r="DX14" s="101">
        <v>0</v>
      </c>
      <c r="DY14" s="101">
        <v>0</v>
      </c>
      <c r="DZ14" s="101">
        <v>0</v>
      </c>
      <c r="EA14" s="101">
        <v>0</v>
      </c>
      <c r="EB14" s="101">
        <v>0</v>
      </c>
      <c r="EC14" s="101">
        <v>0</v>
      </c>
      <c r="ED14" s="160">
        <v>0</v>
      </c>
      <c r="EE14" s="101">
        <v>0</v>
      </c>
      <c r="EF14" s="101">
        <v>0</v>
      </c>
      <c r="EG14" s="101">
        <v>0</v>
      </c>
      <c r="EH14" s="101">
        <v>0</v>
      </c>
      <c r="EI14" s="101">
        <v>0</v>
      </c>
      <c r="EJ14" s="101">
        <v>0</v>
      </c>
      <c r="EK14" s="101">
        <v>0</v>
      </c>
      <c r="EL14" s="101">
        <v>0</v>
      </c>
      <c r="EM14" s="101">
        <v>0</v>
      </c>
      <c r="EN14" s="101">
        <v>0</v>
      </c>
      <c r="EO14" s="101">
        <v>0</v>
      </c>
      <c r="EP14" s="101">
        <v>0</v>
      </c>
      <c r="EQ14" s="101">
        <v>0</v>
      </c>
      <c r="ER14" s="101">
        <v>0</v>
      </c>
      <c r="ES14" s="101">
        <v>0</v>
      </c>
      <c r="ET14" s="101">
        <v>0</v>
      </c>
      <c r="EU14" s="101">
        <v>0</v>
      </c>
      <c r="EV14" s="101">
        <v>0</v>
      </c>
      <c r="EW14" s="101">
        <v>0</v>
      </c>
      <c r="EX14" s="101">
        <v>0</v>
      </c>
      <c r="EY14" s="101">
        <v>0</v>
      </c>
      <c r="EZ14" s="101">
        <v>0</v>
      </c>
      <c r="FA14" s="101">
        <v>0</v>
      </c>
      <c r="FB14" s="101">
        <v>0</v>
      </c>
      <c r="FC14" s="101">
        <v>0</v>
      </c>
      <c r="FD14" s="101">
        <v>0</v>
      </c>
      <c r="FE14" s="101">
        <v>0</v>
      </c>
      <c r="FF14" s="101">
        <v>0</v>
      </c>
      <c r="FG14" s="101">
        <v>0</v>
      </c>
      <c r="FH14" s="73">
        <v>0</v>
      </c>
      <c r="FI14" s="13">
        <v>0</v>
      </c>
      <c r="FJ14" s="13">
        <v>0</v>
      </c>
      <c r="FK14" s="13">
        <v>0</v>
      </c>
      <c r="FL14" s="13">
        <v>0</v>
      </c>
      <c r="FM14" s="101">
        <v>0</v>
      </c>
      <c r="FN14" s="13">
        <v>0</v>
      </c>
      <c r="FO14" s="101">
        <v>0</v>
      </c>
      <c r="FP14" s="101">
        <v>0</v>
      </c>
      <c r="FQ14" s="101">
        <v>0</v>
      </c>
      <c r="FR14" s="101">
        <v>0</v>
      </c>
      <c r="FS14" s="101">
        <v>0</v>
      </c>
      <c r="FT14" s="101">
        <v>0</v>
      </c>
      <c r="FU14" s="101">
        <v>0</v>
      </c>
      <c r="FV14" s="101">
        <v>0</v>
      </c>
      <c r="FW14" s="101">
        <v>0</v>
      </c>
      <c r="FX14" s="101">
        <v>0</v>
      </c>
      <c r="FY14" s="101">
        <v>0</v>
      </c>
      <c r="FZ14" s="101">
        <v>0</v>
      </c>
      <c r="GA14" s="101">
        <v>0</v>
      </c>
      <c r="GB14" s="101">
        <v>0</v>
      </c>
      <c r="GC14" s="101">
        <v>0</v>
      </c>
      <c r="GD14" s="101">
        <v>0</v>
      </c>
      <c r="GE14" s="101">
        <v>0</v>
      </c>
      <c r="GF14" s="101">
        <v>0</v>
      </c>
      <c r="GG14" s="101">
        <v>0</v>
      </c>
      <c r="GH14" s="101">
        <v>0</v>
      </c>
      <c r="GI14" s="101">
        <v>0</v>
      </c>
      <c r="GJ14" s="101">
        <v>0</v>
      </c>
      <c r="GK14" s="101">
        <v>0</v>
      </c>
      <c r="GL14" s="101">
        <v>0</v>
      </c>
      <c r="GM14" s="160">
        <v>0</v>
      </c>
      <c r="GN14" s="101">
        <v>0</v>
      </c>
      <c r="GO14" s="13">
        <v>0</v>
      </c>
      <c r="GP14" s="424"/>
      <c r="GQ14" s="424"/>
      <c r="GR14" s="424"/>
      <c r="GS14" s="424"/>
      <c r="GT14" s="96"/>
      <c r="GU14" s="326">
        <f t="shared" si="1"/>
        <v>19</v>
      </c>
      <c r="GV14" s="56">
        <v>90</v>
      </c>
      <c r="GW14" s="63">
        <f ca="1">TODAY()-HB14</f>
        <v>290</v>
      </c>
      <c r="HA14" s="48" t="s">
        <v>44</v>
      </c>
      <c r="HB14" s="47">
        <v>45964</v>
      </c>
    </row>
    <row r="15" spans="1:210" x14ac:dyDescent="0.25">
      <c r="A15" s="9">
        <v>7</v>
      </c>
      <c r="B15" s="474"/>
      <c r="C15" s="46" t="s">
        <v>50</v>
      </c>
      <c r="D15" s="4" t="s">
        <v>19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22">
        <v>33.299999999999997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01">
        <v>0</v>
      </c>
      <c r="AA15" s="101">
        <v>0</v>
      </c>
      <c r="AB15" s="101">
        <v>0</v>
      </c>
      <c r="AC15" s="101">
        <v>0</v>
      </c>
      <c r="AD15" s="101">
        <v>0</v>
      </c>
      <c r="AE15" s="101">
        <v>0</v>
      </c>
      <c r="AF15" s="101">
        <v>0</v>
      </c>
      <c r="AG15" s="101">
        <v>0</v>
      </c>
      <c r="AH15" s="101">
        <v>0</v>
      </c>
      <c r="AI15" s="101">
        <v>0</v>
      </c>
      <c r="AJ15" s="101">
        <v>0</v>
      </c>
      <c r="AK15" s="101">
        <v>0</v>
      </c>
      <c r="AL15" s="101">
        <v>0</v>
      </c>
      <c r="AM15" s="101">
        <v>0</v>
      </c>
      <c r="AN15" s="101">
        <v>0</v>
      </c>
      <c r="AO15" s="162"/>
      <c r="AP15" s="160">
        <v>0</v>
      </c>
      <c r="AQ15" s="101">
        <v>0</v>
      </c>
      <c r="AR15" s="101">
        <v>0</v>
      </c>
      <c r="AS15" s="101">
        <v>0</v>
      </c>
      <c r="AT15" s="101">
        <v>0</v>
      </c>
      <c r="AU15" s="101">
        <v>0</v>
      </c>
      <c r="AV15" s="101">
        <v>0</v>
      </c>
      <c r="AW15" s="101">
        <v>0</v>
      </c>
      <c r="AX15" s="101">
        <v>0</v>
      </c>
      <c r="AY15" s="101">
        <v>0</v>
      </c>
      <c r="AZ15" s="101">
        <v>0</v>
      </c>
      <c r="BA15" s="101">
        <v>0</v>
      </c>
      <c r="BB15" s="101">
        <v>0</v>
      </c>
      <c r="BC15" s="101">
        <v>0</v>
      </c>
      <c r="BD15" s="101">
        <v>0</v>
      </c>
      <c r="BE15" s="101">
        <v>0</v>
      </c>
      <c r="BF15" s="101">
        <v>0</v>
      </c>
      <c r="BG15" s="101">
        <v>0</v>
      </c>
      <c r="BH15" s="101">
        <v>0</v>
      </c>
      <c r="BI15" s="101">
        <v>0</v>
      </c>
      <c r="BJ15" s="101">
        <v>0</v>
      </c>
      <c r="BK15" s="101">
        <v>0</v>
      </c>
      <c r="BL15" s="101">
        <v>0</v>
      </c>
      <c r="BM15" s="101">
        <v>0</v>
      </c>
      <c r="BN15" s="101">
        <v>0</v>
      </c>
      <c r="BO15" s="101">
        <v>0</v>
      </c>
      <c r="BP15" s="101">
        <v>0</v>
      </c>
      <c r="BQ15" s="101">
        <v>0</v>
      </c>
      <c r="BR15" s="101">
        <v>0</v>
      </c>
      <c r="BS15" s="101">
        <v>0</v>
      </c>
      <c r="BT15" s="101">
        <v>0</v>
      </c>
      <c r="BU15" s="101">
        <v>0</v>
      </c>
      <c r="BV15" s="101">
        <v>0</v>
      </c>
      <c r="BW15" s="101">
        <v>0</v>
      </c>
      <c r="BX15" s="101">
        <v>0</v>
      </c>
      <c r="BY15" s="101">
        <v>0</v>
      </c>
      <c r="BZ15" s="101">
        <v>0</v>
      </c>
      <c r="CA15" s="101">
        <v>0</v>
      </c>
      <c r="CB15" s="101">
        <v>0</v>
      </c>
      <c r="CC15" s="101">
        <v>0</v>
      </c>
      <c r="CD15" s="101">
        <v>0</v>
      </c>
      <c r="CE15" s="101">
        <v>0</v>
      </c>
      <c r="CF15" s="101">
        <v>0</v>
      </c>
      <c r="CG15" s="101">
        <v>0</v>
      </c>
      <c r="CH15" s="101">
        <v>0</v>
      </c>
      <c r="CI15" s="101">
        <v>0</v>
      </c>
      <c r="CJ15" s="101">
        <v>0</v>
      </c>
      <c r="CK15" s="101">
        <v>0</v>
      </c>
      <c r="CL15" s="101">
        <v>0</v>
      </c>
      <c r="CM15" s="101">
        <v>0</v>
      </c>
      <c r="CN15" s="101">
        <v>0</v>
      </c>
      <c r="CO15" s="101">
        <v>0</v>
      </c>
      <c r="CP15" s="101">
        <v>0</v>
      </c>
      <c r="CQ15" s="101">
        <v>0</v>
      </c>
      <c r="CR15" s="101">
        <v>0</v>
      </c>
      <c r="CS15" s="101">
        <v>0</v>
      </c>
      <c r="CT15" s="101">
        <v>0</v>
      </c>
      <c r="CU15" s="101">
        <v>0</v>
      </c>
      <c r="CV15" s="101">
        <v>0</v>
      </c>
      <c r="CW15" s="101">
        <v>0</v>
      </c>
      <c r="CX15" s="101">
        <v>0</v>
      </c>
      <c r="CY15" s="101">
        <v>0</v>
      </c>
      <c r="CZ15" s="101">
        <v>0</v>
      </c>
      <c r="DA15" s="101">
        <v>0</v>
      </c>
      <c r="DB15" s="101">
        <v>0</v>
      </c>
      <c r="DC15" s="101">
        <v>0</v>
      </c>
      <c r="DD15" s="101">
        <v>0</v>
      </c>
      <c r="DE15" s="101">
        <v>0</v>
      </c>
      <c r="DF15" s="101">
        <v>0</v>
      </c>
      <c r="DG15" s="101">
        <v>0</v>
      </c>
      <c r="DH15" s="101">
        <v>0</v>
      </c>
      <c r="DI15" s="101">
        <v>0</v>
      </c>
      <c r="DJ15" s="101">
        <v>0</v>
      </c>
      <c r="DK15" s="101">
        <v>0</v>
      </c>
      <c r="DL15" s="101">
        <v>0</v>
      </c>
      <c r="DM15" s="101">
        <v>0</v>
      </c>
      <c r="DN15" s="101">
        <v>0</v>
      </c>
      <c r="DO15" s="101">
        <v>0</v>
      </c>
      <c r="DP15" s="101">
        <v>0</v>
      </c>
      <c r="DQ15" s="101">
        <v>0</v>
      </c>
      <c r="DR15" s="101">
        <v>0</v>
      </c>
      <c r="DS15" s="101">
        <v>0</v>
      </c>
      <c r="DT15" s="101">
        <v>0</v>
      </c>
      <c r="DU15" s="101">
        <v>0</v>
      </c>
      <c r="DV15" s="101">
        <v>0</v>
      </c>
      <c r="DW15" s="101">
        <v>0</v>
      </c>
      <c r="DX15" s="101">
        <v>0</v>
      </c>
      <c r="DY15" s="101">
        <v>0</v>
      </c>
      <c r="DZ15" s="101">
        <v>0</v>
      </c>
      <c r="EA15" s="101">
        <v>0</v>
      </c>
      <c r="EB15" s="101">
        <v>0</v>
      </c>
      <c r="EC15" s="101">
        <v>0</v>
      </c>
      <c r="ED15" s="160">
        <v>0</v>
      </c>
      <c r="EE15" s="101">
        <v>0</v>
      </c>
      <c r="EF15" s="101">
        <v>0</v>
      </c>
      <c r="EG15" s="101">
        <v>0</v>
      </c>
      <c r="EH15" s="101">
        <v>0</v>
      </c>
      <c r="EI15" s="101">
        <v>0</v>
      </c>
      <c r="EJ15" s="101">
        <v>0</v>
      </c>
      <c r="EK15" s="101">
        <v>0</v>
      </c>
      <c r="EL15" s="101">
        <v>0</v>
      </c>
      <c r="EM15" s="101">
        <v>0</v>
      </c>
      <c r="EN15" s="101">
        <v>0</v>
      </c>
      <c r="EO15" s="101">
        <v>0</v>
      </c>
      <c r="EP15" s="101">
        <v>0</v>
      </c>
      <c r="EQ15" s="101">
        <v>0</v>
      </c>
      <c r="ER15" s="101">
        <v>0</v>
      </c>
      <c r="ES15" s="101">
        <v>0</v>
      </c>
      <c r="ET15" s="101">
        <v>0</v>
      </c>
      <c r="EU15" s="101">
        <v>0</v>
      </c>
      <c r="EV15" s="101">
        <v>0</v>
      </c>
      <c r="EW15" s="101">
        <v>0</v>
      </c>
      <c r="EX15" s="101">
        <v>0</v>
      </c>
      <c r="EY15" s="101">
        <v>0</v>
      </c>
      <c r="EZ15" s="101">
        <v>0</v>
      </c>
      <c r="FA15" s="101">
        <v>0</v>
      </c>
      <c r="FB15" s="101">
        <v>0</v>
      </c>
      <c r="FC15" s="101">
        <v>0</v>
      </c>
      <c r="FD15" s="101">
        <v>0</v>
      </c>
      <c r="FE15" s="101">
        <v>0</v>
      </c>
      <c r="FF15" s="101">
        <v>0</v>
      </c>
      <c r="FG15" s="101">
        <v>0</v>
      </c>
      <c r="FH15" s="73">
        <v>0</v>
      </c>
      <c r="FI15" s="13">
        <v>0</v>
      </c>
      <c r="FJ15" s="13">
        <v>0</v>
      </c>
      <c r="FK15" s="13">
        <v>0</v>
      </c>
      <c r="FL15" s="13">
        <v>0</v>
      </c>
      <c r="FM15" s="101">
        <v>0</v>
      </c>
      <c r="FN15" s="13">
        <v>0</v>
      </c>
      <c r="FO15" s="101">
        <v>0</v>
      </c>
      <c r="FP15" s="101">
        <v>0</v>
      </c>
      <c r="FQ15" s="101">
        <v>0</v>
      </c>
      <c r="FR15" s="101">
        <v>0</v>
      </c>
      <c r="FS15" s="101">
        <v>0</v>
      </c>
      <c r="FT15" s="101">
        <v>0</v>
      </c>
      <c r="FU15" s="101">
        <v>0</v>
      </c>
      <c r="FV15" s="101">
        <v>0</v>
      </c>
      <c r="FW15" s="101">
        <v>0</v>
      </c>
      <c r="FX15" s="101">
        <v>0</v>
      </c>
      <c r="FY15" s="101">
        <v>0</v>
      </c>
      <c r="FZ15" s="101">
        <v>0</v>
      </c>
      <c r="GA15" s="101">
        <v>0</v>
      </c>
      <c r="GB15" s="101">
        <v>0</v>
      </c>
      <c r="GC15" s="101">
        <v>0</v>
      </c>
      <c r="GD15" s="101">
        <v>0</v>
      </c>
      <c r="GE15" s="101">
        <v>0</v>
      </c>
      <c r="GF15" s="101">
        <v>0</v>
      </c>
      <c r="GG15" s="101">
        <v>0</v>
      </c>
      <c r="GH15" s="101">
        <v>0</v>
      </c>
      <c r="GI15" s="101">
        <v>0</v>
      </c>
      <c r="GJ15" s="101">
        <v>0</v>
      </c>
      <c r="GK15" s="101">
        <v>0</v>
      </c>
      <c r="GL15" s="101">
        <v>0</v>
      </c>
      <c r="GM15" s="160">
        <v>0</v>
      </c>
      <c r="GN15" s="101">
        <v>0</v>
      </c>
      <c r="GO15" s="13">
        <v>0</v>
      </c>
      <c r="GP15" s="424"/>
      <c r="GQ15" s="424"/>
      <c r="GR15" s="424"/>
      <c r="GS15" s="424"/>
      <c r="GT15" s="96"/>
      <c r="GU15" s="326">
        <f t="shared" si="1"/>
        <v>33.299999999999997</v>
      </c>
      <c r="GV15" s="56">
        <v>90</v>
      </c>
      <c r="GW15" s="63">
        <f t="shared" ca="1" si="0"/>
        <v>290</v>
      </c>
      <c r="HA15" s="48" t="s">
        <v>44</v>
      </c>
      <c r="HB15" s="47">
        <v>45964</v>
      </c>
    </row>
    <row r="16" spans="1:210" ht="15" customHeight="1" x14ac:dyDescent="0.25">
      <c r="A16" s="2">
        <v>8</v>
      </c>
      <c r="B16" s="474"/>
      <c r="C16" s="46" t="s">
        <v>51</v>
      </c>
      <c r="D16" s="4" t="s">
        <v>19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0</v>
      </c>
      <c r="Z16" s="101">
        <v>0</v>
      </c>
      <c r="AA16" s="101">
        <v>0</v>
      </c>
      <c r="AB16" s="101">
        <v>0</v>
      </c>
      <c r="AC16" s="101">
        <v>0</v>
      </c>
      <c r="AD16" s="101">
        <v>0</v>
      </c>
      <c r="AE16" s="101">
        <v>0</v>
      </c>
      <c r="AF16" s="101">
        <v>0</v>
      </c>
      <c r="AG16" s="101">
        <v>0</v>
      </c>
      <c r="AH16" s="101">
        <v>0</v>
      </c>
      <c r="AI16" s="101">
        <v>0</v>
      </c>
      <c r="AJ16" s="101">
        <v>0</v>
      </c>
      <c r="AK16" s="101">
        <v>0</v>
      </c>
      <c r="AL16" s="101">
        <v>0</v>
      </c>
      <c r="AM16" s="101">
        <v>0</v>
      </c>
      <c r="AN16" s="101">
        <v>0</v>
      </c>
      <c r="AO16" s="162"/>
      <c r="AP16" s="160">
        <v>0</v>
      </c>
      <c r="AQ16" s="101">
        <v>0</v>
      </c>
      <c r="AR16" s="101">
        <v>0</v>
      </c>
      <c r="AS16" s="101">
        <v>0</v>
      </c>
      <c r="AT16" s="101">
        <v>0</v>
      </c>
      <c r="AU16" s="101">
        <v>0</v>
      </c>
      <c r="AV16" s="101">
        <v>0</v>
      </c>
      <c r="AW16" s="101">
        <v>0</v>
      </c>
      <c r="AX16" s="101">
        <v>0</v>
      </c>
      <c r="AY16" s="101">
        <v>0</v>
      </c>
      <c r="AZ16" s="101">
        <v>0</v>
      </c>
      <c r="BA16" s="101">
        <v>0</v>
      </c>
      <c r="BB16" s="101">
        <v>0</v>
      </c>
      <c r="BC16" s="101">
        <v>0</v>
      </c>
      <c r="BD16" s="101">
        <v>0</v>
      </c>
      <c r="BE16" s="101">
        <v>0</v>
      </c>
      <c r="BF16" s="101">
        <v>0</v>
      </c>
      <c r="BG16" s="101">
        <v>0</v>
      </c>
      <c r="BH16" s="101">
        <v>0</v>
      </c>
      <c r="BI16" s="101">
        <v>0</v>
      </c>
      <c r="BJ16" s="101">
        <v>0</v>
      </c>
      <c r="BK16" s="101">
        <v>0</v>
      </c>
      <c r="BL16" s="101">
        <v>0</v>
      </c>
      <c r="BM16" s="101">
        <v>0</v>
      </c>
      <c r="BN16" s="101">
        <v>0</v>
      </c>
      <c r="BO16" s="101">
        <v>0</v>
      </c>
      <c r="BP16" s="101">
        <v>0</v>
      </c>
      <c r="BQ16" s="101">
        <v>0</v>
      </c>
      <c r="BR16" s="101">
        <v>0</v>
      </c>
      <c r="BS16" s="101">
        <v>0</v>
      </c>
      <c r="BT16" s="101">
        <v>0</v>
      </c>
      <c r="BU16" s="101">
        <v>0</v>
      </c>
      <c r="BV16" s="101">
        <v>0</v>
      </c>
      <c r="BW16" s="101">
        <v>0</v>
      </c>
      <c r="BX16" s="101">
        <v>0</v>
      </c>
      <c r="BY16" s="101">
        <v>0</v>
      </c>
      <c r="BZ16" s="101">
        <v>0</v>
      </c>
      <c r="CA16" s="101">
        <v>0</v>
      </c>
      <c r="CB16" s="101">
        <v>0</v>
      </c>
      <c r="CC16" s="101">
        <v>0</v>
      </c>
      <c r="CD16" s="101">
        <v>0</v>
      </c>
      <c r="CE16" s="101">
        <v>0</v>
      </c>
      <c r="CF16" s="101">
        <v>0</v>
      </c>
      <c r="CG16" s="101">
        <v>0</v>
      </c>
      <c r="CH16" s="101">
        <v>0</v>
      </c>
      <c r="CI16" s="101">
        <v>0</v>
      </c>
      <c r="CJ16" s="101">
        <v>0</v>
      </c>
      <c r="CK16" s="101">
        <v>0</v>
      </c>
      <c r="CL16" s="101">
        <v>0</v>
      </c>
      <c r="CM16" s="101">
        <v>0</v>
      </c>
      <c r="CN16" s="101">
        <v>0</v>
      </c>
      <c r="CO16" s="101">
        <v>0</v>
      </c>
      <c r="CP16" s="101">
        <v>0</v>
      </c>
      <c r="CQ16" s="101">
        <v>0</v>
      </c>
      <c r="CR16" s="101">
        <v>0</v>
      </c>
      <c r="CS16" s="101">
        <v>0</v>
      </c>
      <c r="CT16" s="101">
        <v>0</v>
      </c>
      <c r="CU16" s="101">
        <v>0</v>
      </c>
      <c r="CV16" s="101">
        <v>0</v>
      </c>
      <c r="CW16" s="101">
        <v>0</v>
      </c>
      <c r="CX16" s="101">
        <v>0</v>
      </c>
      <c r="CY16" s="101">
        <v>0</v>
      </c>
      <c r="CZ16" s="101">
        <v>0</v>
      </c>
      <c r="DA16" s="101">
        <v>0</v>
      </c>
      <c r="DB16" s="101">
        <v>0</v>
      </c>
      <c r="DC16" s="101">
        <v>0</v>
      </c>
      <c r="DD16" s="101">
        <v>0</v>
      </c>
      <c r="DE16" s="101">
        <v>0</v>
      </c>
      <c r="DF16" s="101">
        <v>0</v>
      </c>
      <c r="DG16" s="101">
        <v>0</v>
      </c>
      <c r="DH16" s="101">
        <v>0</v>
      </c>
      <c r="DI16" s="101">
        <v>0</v>
      </c>
      <c r="DJ16" s="101">
        <v>0</v>
      </c>
      <c r="DK16" s="101">
        <v>0</v>
      </c>
      <c r="DL16" s="101">
        <v>0</v>
      </c>
      <c r="DM16" s="101">
        <v>0</v>
      </c>
      <c r="DN16" s="101">
        <v>0</v>
      </c>
      <c r="DO16" s="101">
        <v>0</v>
      </c>
      <c r="DP16" s="101">
        <v>0</v>
      </c>
      <c r="DQ16" s="101">
        <v>0</v>
      </c>
      <c r="DR16" s="101">
        <v>0</v>
      </c>
      <c r="DS16" s="101">
        <v>0</v>
      </c>
      <c r="DT16" s="101">
        <v>0</v>
      </c>
      <c r="DU16" s="101">
        <v>0</v>
      </c>
      <c r="DV16" s="101">
        <v>0</v>
      </c>
      <c r="DW16" s="101">
        <v>0</v>
      </c>
      <c r="DX16" s="101">
        <v>0</v>
      </c>
      <c r="DY16" s="101">
        <v>0</v>
      </c>
      <c r="DZ16" s="101">
        <v>0</v>
      </c>
      <c r="EA16" s="101">
        <v>0</v>
      </c>
      <c r="EB16" s="101">
        <v>0</v>
      </c>
      <c r="EC16" s="101">
        <v>0</v>
      </c>
      <c r="ED16" s="160">
        <v>0</v>
      </c>
      <c r="EE16" s="101">
        <v>0</v>
      </c>
      <c r="EF16" s="101">
        <v>0</v>
      </c>
      <c r="EG16" s="101">
        <v>0</v>
      </c>
      <c r="EH16" s="101">
        <v>0</v>
      </c>
      <c r="EI16" s="101">
        <v>0</v>
      </c>
      <c r="EJ16" s="101">
        <v>0</v>
      </c>
      <c r="EK16" s="101">
        <v>0</v>
      </c>
      <c r="EL16" s="101">
        <v>0</v>
      </c>
      <c r="EM16" s="101">
        <v>0</v>
      </c>
      <c r="EN16" s="101">
        <v>0</v>
      </c>
      <c r="EO16" s="101">
        <v>0</v>
      </c>
      <c r="EP16" s="101">
        <v>0</v>
      </c>
      <c r="EQ16" s="101">
        <v>0</v>
      </c>
      <c r="ER16" s="101">
        <v>0</v>
      </c>
      <c r="ES16" s="101">
        <v>0</v>
      </c>
      <c r="ET16" s="101">
        <v>0</v>
      </c>
      <c r="EU16" s="101">
        <v>0</v>
      </c>
      <c r="EV16" s="101">
        <v>0</v>
      </c>
      <c r="EW16" s="101">
        <v>0</v>
      </c>
      <c r="EX16" s="101">
        <v>0</v>
      </c>
      <c r="EY16" s="101">
        <v>0</v>
      </c>
      <c r="EZ16" s="101">
        <v>0</v>
      </c>
      <c r="FA16" s="101">
        <v>0</v>
      </c>
      <c r="FB16" s="101">
        <v>0</v>
      </c>
      <c r="FC16" s="101">
        <v>0</v>
      </c>
      <c r="FD16" s="101">
        <v>0</v>
      </c>
      <c r="FE16" s="101">
        <v>0</v>
      </c>
      <c r="FF16" s="101">
        <v>0</v>
      </c>
      <c r="FG16" s="101">
        <v>0</v>
      </c>
      <c r="FH16" s="73">
        <v>0</v>
      </c>
      <c r="FI16" s="13">
        <v>0</v>
      </c>
      <c r="FJ16" s="13">
        <v>0</v>
      </c>
      <c r="FK16" s="13">
        <v>0</v>
      </c>
      <c r="FL16" s="13">
        <v>0</v>
      </c>
      <c r="FM16" s="101">
        <v>0</v>
      </c>
      <c r="FN16" s="13">
        <v>0</v>
      </c>
      <c r="FO16" s="101">
        <v>0</v>
      </c>
      <c r="FP16" s="101">
        <v>0</v>
      </c>
      <c r="FQ16" s="101">
        <v>0</v>
      </c>
      <c r="FR16" s="101">
        <v>0</v>
      </c>
      <c r="FS16" s="101">
        <v>0</v>
      </c>
      <c r="FT16" s="101">
        <v>0</v>
      </c>
      <c r="FU16" s="101">
        <v>0</v>
      </c>
      <c r="FV16" s="101">
        <v>0</v>
      </c>
      <c r="FW16" s="101">
        <v>0</v>
      </c>
      <c r="FX16" s="101">
        <v>0</v>
      </c>
      <c r="FY16" s="101">
        <v>0</v>
      </c>
      <c r="FZ16" s="101">
        <v>0</v>
      </c>
      <c r="GA16" s="101">
        <v>0</v>
      </c>
      <c r="GB16" s="101">
        <v>0</v>
      </c>
      <c r="GC16" s="101">
        <v>0</v>
      </c>
      <c r="GD16" s="101">
        <v>0</v>
      </c>
      <c r="GE16" s="101">
        <v>0</v>
      </c>
      <c r="GF16" s="101">
        <v>0</v>
      </c>
      <c r="GG16" s="101">
        <v>0</v>
      </c>
      <c r="GH16" s="101">
        <v>0</v>
      </c>
      <c r="GI16" s="101">
        <v>0</v>
      </c>
      <c r="GJ16" s="101">
        <v>0</v>
      </c>
      <c r="GK16" s="101">
        <v>0</v>
      </c>
      <c r="GL16" s="101">
        <v>0</v>
      </c>
      <c r="GM16" s="160">
        <v>0</v>
      </c>
      <c r="GN16" s="101">
        <v>0</v>
      </c>
      <c r="GO16" s="13">
        <v>0</v>
      </c>
      <c r="GP16" s="424"/>
      <c r="GQ16" s="424"/>
      <c r="GR16" s="424"/>
      <c r="GS16" s="424"/>
      <c r="GT16" s="96"/>
      <c r="GU16" s="326">
        <f t="shared" si="1"/>
        <v>0</v>
      </c>
      <c r="GV16" s="56">
        <v>90</v>
      </c>
      <c r="GW16" s="63">
        <f ca="1">TODAY()-HB16</f>
        <v>282</v>
      </c>
      <c r="GX16" s="507" t="s">
        <v>75</v>
      </c>
      <c r="GY16" s="508"/>
      <c r="HA16" s="48" t="s">
        <v>36</v>
      </c>
      <c r="HB16" s="47">
        <v>45972</v>
      </c>
    </row>
    <row r="17" spans="1:210" x14ac:dyDescent="0.25">
      <c r="A17" s="9">
        <v>9</v>
      </c>
      <c r="B17" s="474"/>
      <c r="C17" s="46" t="s">
        <v>52</v>
      </c>
      <c r="D17" s="4" t="s">
        <v>19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0</v>
      </c>
      <c r="V17" s="101">
        <v>62</v>
      </c>
      <c r="W17" s="101">
        <v>0</v>
      </c>
      <c r="X17" s="101">
        <v>0</v>
      </c>
      <c r="Y17" s="101">
        <v>0</v>
      </c>
      <c r="Z17" s="101">
        <v>0</v>
      </c>
      <c r="AA17" s="101">
        <v>0</v>
      </c>
      <c r="AB17" s="101">
        <v>0</v>
      </c>
      <c r="AC17" s="101">
        <v>0</v>
      </c>
      <c r="AD17" s="101">
        <v>0</v>
      </c>
      <c r="AE17" s="101">
        <v>0</v>
      </c>
      <c r="AF17" s="101">
        <v>0</v>
      </c>
      <c r="AG17" s="101">
        <v>0</v>
      </c>
      <c r="AH17" s="101">
        <v>0</v>
      </c>
      <c r="AI17" s="101">
        <v>0</v>
      </c>
      <c r="AJ17" s="101">
        <v>0</v>
      </c>
      <c r="AK17" s="101">
        <v>0</v>
      </c>
      <c r="AL17" s="101">
        <v>0</v>
      </c>
      <c r="AM17" s="101">
        <v>0</v>
      </c>
      <c r="AN17" s="101">
        <v>0</v>
      </c>
      <c r="AO17" s="162"/>
      <c r="AP17" s="160">
        <v>0</v>
      </c>
      <c r="AQ17" s="101">
        <v>0</v>
      </c>
      <c r="AR17" s="101">
        <v>0</v>
      </c>
      <c r="AS17" s="101">
        <v>0</v>
      </c>
      <c r="AT17" s="101">
        <v>0</v>
      </c>
      <c r="AU17" s="101">
        <v>0</v>
      </c>
      <c r="AV17" s="101">
        <v>0</v>
      </c>
      <c r="AW17" s="101">
        <v>0</v>
      </c>
      <c r="AX17" s="101">
        <v>0</v>
      </c>
      <c r="AY17" s="101">
        <v>0</v>
      </c>
      <c r="AZ17" s="101">
        <v>0</v>
      </c>
      <c r="BA17" s="101">
        <v>0</v>
      </c>
      <c r="BB17" s="101">
        <v>0</v>
      </c>
      <c r="BC17" s="101">
        <v>0</v>
      </c>
      <c r="BD17" s="101">
        <v>0</v>
      </c>
      <c r="BE17" s="101">
        <v>0</v>
      </c>
      <c r="BF17" s="101">
        <v>0</v>
      </c>
      <c r="BG17" s="101">
        <v>0</v>
      </c>
      <c r="BH17" s="101">
        <v>0</v>
      </c>
      <c r="BI17" s="101">
        <v>0</v>
      </c>
      <c r="BJ17" s="101">
        <v>0</v>
      </c>
      <c r="BK17" s="101">
        <v>0</v>
      </c>
      <c r="BL17" s="101">
        <v>0</v>
      </c>
      <c r="BM17" s="101">
        <v>0</v>
      </c>
      <c r="BN17" s="101">
        <v>0</v>
      </c>
      <c r="BO17" s="101">
        <v>0</v>
      </c>
      <c r="BP17" s="101">
        <v>0</v>
      </c>
      <c r="BQ17" s="101">
        <v>0</v>
      </c>
      <c r="BR17" s="101">
        <v>0</v>
      </c>
      <c r="BS17" s="101">
        <v>0</v>
      </c>
      <c r="BT17" s="101">
        <v>0</v>
      </c>
      <c r="BU17" s="101">
        <v>0</v>
      </c>
      <c r="BV17" s="101">
        <v>0</v>
      </c>
      <c r="BW17" s="101">
        <v>0</v>
      </c>
      <c r="BX17" s="101">
        <v>0</v>
      </c>
      <c r="BY17" s="101">
        <v>0</v>
      </c>
      <c r="BZ17" s="101">
        <v>0</v>
      </c>
      <c r="CA17" s="101">
        <v>0</v>
      </c>
      <c r="CB17" s="101">
        <v>0</v>
      </c>
      <c r="CC17" s="101">
        <v>0</v>
      </c>
      <c r="CD17" s="101">
        <v>0</v>
      </c>
      <c r="CE17" s="101">
        <v>0</v>
      </c>
      <c r="CF17" s="101">
        <v>0</v>
      </c>
      <c r="CG17" s="101">
        <v>0</v>
      </c>
      <c r="CH17" s="101">
        <v>0</v>
      </c>
      <c r="CI17" s="101">
        <v>0</v>
      </c>
      <c r="CJ17" s="101">
        <v>0</v>
      </c>
      <c r="CK17" s="101">
        <v>0</v>
      </c>
      <c r="CL17" s="101">
        <v>0</v>
      </c>
      <c r="CM17" s="101">
        <v>0</v>
      </c>
      <c r="CN17" s="101">
        <v>0</v>
      </c>
      <c r="CO17" s="101">
        <v>0</v>
      </c>
      <c r="CP17" s="101">
        <v>0</v>
      </c>
      <c r="CQ17" s="101">
        <v>0</v>
      </c>
      <c r="CR17" s="101">
        <v>0</v>
      </c>
      <c r="CS17" s="101">
        <v>0</v>
      </c>
      <c r="CT17" s="101">
        <v>0</v>
      </c>
      <c r="CU17" s="101">
        <v>0</v>
      </c>
      <c r="CV17" s="101">
        <v>0</v>
      </c>
      <c r="CW17" s="101">
        <v>0</v>
      </c>
      <c r="CX17" s="101">
        <v>0</v>
      </c>
      <c r="CY17" s="101">
        <v>0</v>
      </c>
      <c r="CZ17" s="101">
        <v>0</v>
      </c>
      <c r="DA17" s="101">
        <v>0</v>
      </c>
      <c r="DB17" s="101">
        <v>0</v>
      </c>
      <c r="DC17" s="101">
        <v>0</v>
      </c>
      <c r="DD17" s="101">
        <v>0</v>
      </c>
      <c r="DE17" s="101">
        <v>0</v>
      </c>
      <c r="DF17" s="101">
        <v>0</v>
      </c>
      <c r="DG17" s="101">
        <v>0</v>
      </c>
      <c r="DH17" s="101">
        <v>0</v>
      </c>
      <c r="DI17" s="101">
        <v>0</v>
      </c>
      <c r="DJ17" s="101">
        <v>0</v>
      </c>
      <c r="DK17" s="101">
        <v>0</v>
      </c>
      <c r="DL17" s="101">
        <v>0</v>
      </c>
      <c r="DM17" s="101">
        <v>0</v>
      </c>
      <c r="DN17" s="101">
        <v>0</v>
      </c>
      <c r="DO17" s="101">
        <v>0</v>
      </c>
      <c r="DP17" s="101">
        <v>0</v>
      </c>
      <c r="DQ17" s="101">
        <v>0</v>
      </c>
      <c r="DR17" s="101">
        <v>0</v>
      </c>
      <c r="DS17" s="101">
        <v>0</v>
      </c>
      <c r="DT17" s="101">
        <v>0</v>
      </c>
      <c r="DU17" s="101">
        <v>0</v>
      </c>
      <c r="DV17" s="101">
        <v>0</v>
      </c>
      <c r="DW17" s="101">
        <v>0</v>
      </c>
      <c r="DX17" s="101">
        <v>0</v>
      </c>
      <c r="DY17" s="101">
        <v>0</v>
      </c>
      <c r="DZ17" s="101">
        <v>0</v>
      </c>
      <c r="EA17" s="101">
        <v>0</v>
      </c>
      <c r="EB17" s="101">
        <v>0</v>
      </c>
      <c r="EC17" s="101">
        <v>0</v>
      </c>
      <c r="ED17" s="160">
        <v>0</v>
      </c>
      <c r="EE17" s="101">
        <v>0</v>
      </c>
      <c r="EF17" s="101">
        <v>0</v>
      </c>
      <c r="EG17" s="101">
        <v>0</v>
      </c>
      <c r="EH17" s="101">
        <v>0</v>
      </c>
      <c r="EI17" s="101">
        <v>0</v>
      </c>
      <c r="EJ17" s="101">
        <v>0</v>
      </c>
      <c r="EK17" s="101">
        <v>0</v>
      </c>
      <c r="EL17" s="101">
        <v>0</v>
      </c>
      <c r="EM17" s="101">
        <v>0</v>
      </c>
      <c r="EN17" s="101">
        <v>0</v>
      </c>
      <c r="EO17" s="101">
        <v>0</v>
      </c>
      <c r="EP17" s="101">
        <v>0</v>
      </c>
      <c r="EQ17" s="101">
        <v>0</v>
      </c>
      <c r="ER17" s="101">
        <v>0</v>
      </c>
      <c r="ES17" s="101">
        <v>0</v>
      </c>
      <c r="ET17" s="101">
        <v>0</v>
      </c>
      <c r="EU17" s="101">
        <v>0</v>
      </c>
      <c r="EV17" s="101">
        <v>0</v>
      </c>
      <c r="EW17" s="101">
        <v>0</v>
      </c>
      <c r="EX17" s="101">
        <v>0</v>
      </c>
      <c r="EY17" s="101">
        <v>0</v>
      </c>
      <c r="EZ17" s="101">
        <v>0</v>
      </c>
      <c r="FA17" s="101">
        <v>0</v>
      </c>
      <c r="FB17" s="101">
        <v>0</v>
      </c>
      <c r="FC17" s="101">
        <v>0</v>
      </c>
      <c r="FD17" s="101">
        <v>0</v>
      </c>
      <c r="FE17" s="101">
        <v>0</v>
      </c>
      <c r="FF17" s="101">
        <v>0</v>
      </c>
      <c r="FG17" s="101">
        <v>0</v>
      </c>
      <c r="FH17" s="73">
        <v>0</v>
      </c>
      <c r="FI17" s="13">
        <v>0</v>
      </c>
      <c r="FJ17" s="13">
        <v>0</v>
      </c>
      <c r="FK17" s="13">
        <v>0</v>
      </c>
      <c r="FL17" s="13">
        <v>0</v>
      </c>
      <c r="FM17" s="101">
        <v>0</v>
      </c>
      <c r="FN17" s="13">
        <v>0</v>
      </c>
      <c r="FO17" s="101">
        <v>0</v>
      </c>
      <c r="FP17" s="101">
        <v>0</v>
      </c>
      <c r="FQ17" s="101">
        <v>0</v>
      </c>
      <c r="FR17" s="101">
        <v>0</v>
      </c>
      <c r="FS17" s="101">
        <v>0</v>
      </c>
      <c r="FT17" s="101">
        <v>0</v>
      </c>
      <c r="FU17" s="101">
        <v>0</v>
      </c>
      <c r="FV17" s="101">
        <v>0</v>
      </c>
      <c r="FW17" s="101">
        <v>0</v>
      </c>
      <c r="FX17" s="101">
        <v>0</v>
      </c>
      <c r="FY17" s="101">
        <v>0</v>
      </c>
      <c r="FZ17" s="101">
        <v>0</v>
      </c>
      <c r="GA17" s="101">
        <v>0</v>
      </c>
      <c r="GB17" s="101">
        <v>0</v>
      </c>
      <c r="GC17" s="101">
        <v>0</v>
      </c>
      <c r="GD17" s="101">
        <v>0</v>
      </c>
      <c r="GE17" s="101">
        <v>0</v>
      </c>
      <c r="GF17" s="101">
        <v>0</v>
      </c>
      <c r="GG17" s="101">
        <v>0</v>
      </c>
      <c r="GH17" s="101">
        <v>0</v>
      </c>
      <c r="GI17" s="101">
        <v>0</v>
      </c>
      <c r="GJ17" s="101">
        <v>0</v>
      </c>
      <c r="GK17" s="101">
        <v>0</v>
      </c>
      <c r="GL17" s="101">
        <v>0</v>
      </c>
      <c r="GM17" s="160">
        <v>0</v>
      </c>
      <c r="GN17" s="101">
        <v>0</v>
      </c>
      <c r="GO17" s="13">
        <v>0</v>
      </c>
      <c r="GP17" s="424"/>
      <c r="GQ17" s="424"/>
      <c r="GR17" s="424"/>
      <c r="GS17" s="424"/>
      <c r="GT17" s="96"/>
      <c r="GU17" s="326">
        <f t="shared" si="1"/>
        <v>62</v>
      </c>
      <c r="GV17" s="56">
        <v>90</v>
      </c>
      <c r="GW17" s="63">
        <f t="shared" ca="1" si="0"/>
        <v>282</v>
      </c>
      <c r="GX17" s="507"/>
      <c r="GY17" s="508"/>
      <c r="HA17" s="48" t="s">
        <v>36</v>
      </c>
      <c r="HB17" s="47">
        <v>45972</v>
      </c>
    </row>
    <row r="18" spans="1:210" x14ac:dyDescent="0.25">
      <c r="A18" s="2">
        <v>10</v>
      </c>
      <c r="B18" s="474"/>
      <c r="C18" s="46" t="s">
        <v>54</v>
      </c>
      <c r="D18" s="4" t="s">
        <v>19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  <c r="AA18" s="101">
        <v>0</v>
      </c>
      <c r="AB18" s="101">
        <v>0</v>
      </c>
      <c r="AC18" s="101">
        <v>0</v>
      </c>
      <c r="AD18" s="101">
        <v>0</v>
      </c>
      <c r="AE18" s="101">
        <v>0</v>
      </c>
      <c r="AF18" s="101">
        <v>0</v>
      </c>
      <c r="AG18" s="101">
        <v>0</v>
      </c>
      <c r="AH18" s="101">
        <v>0</v>
      </c>
      <c r="AI18" s="101">
        <v>0</v>
      </c>
      <c r="AJ18" s="101">
        <v>0</v>
      </c>
      <c r="AK18" s="101">
        <v>0</v>
      </c>
      <c r="AL18" s="101">
        <v>0</v>
      </c>
      <c r="AM18" s="101">
        <v>0</v>
      </c>
      <c r="AN18" s="101">
        <v>0</v>
      </c>
      <c r="AO18" s="162"/>
      <c r="AP18" s="160">
        <v>0</v>
      </c>
      <c r="AQ18" s="101">
        <v>0</v>
      </c>
      <c r="AR18" s="101">
        <v>0</v>
      </c>
      <c r="AS18" s="101">
        <v>33</v>
      </c>
      <c r="AT18" s="101">
        <v>0</v>
      </c>
      <c r="AU18" s="101">
        <v>0</v>
      </c>
      <c r="AV18" s="101">
        <v>0</v>
      </c>
      <c r="AW18" s="101">
        <v>0</v>
      </c>
      <c r="AX18" s="101">
        <v>0</v>
      </c>
      <c r="AY18" s="101">
        <v>0</v>
      </c>
      <c r="AZ18" s="101">
        <v>0</v>
      </c>
      <c r="BA18" s="101">
        <v>0</v>
      </c>
      <c r="BB18" s="101">
        <v>0</v>
      </c>
      <c r="BC18" s="101">
        <v>0</v>
      </c>
      <c r="BD18" s="101">
        <v>0</v>
      </c>
      <c r="BE18" s="101">
        <v>0</v>
      </c>
      <c r="BF18" s="101">
        <v>0</v>
      </c>
      <c r="BG18" s="101">
        <v>0</v>
      </c>
      <c r="BH18" s="101">
        <v>0</v>
      </c>
      <c r="BI18" s="101">
        <v>0</v>
      </c>
      <c r="BJ18" s="101">
        <v>0</v>
      </c>
      <c r="BK18" s="101">
        <v>0</v>
      </c>
      <c r="BL18" s="101">
        <v>0</v>
      </c>
      <c r="BM18" s="101">
        <v>0</v>
      </c>
      <c r="BN18" s="101">
        <v>0</v>
      </c>
      <c r="BO18" s="101">
        <v>0</v>
      </c>
      <c r="BP18" s="101">
        <v>0</v>
      </c>
      <c r="BQ18" s="101">
        <v>0</v>
      </c>
      <c r="BR18" s="101">
        <v>0</v>
      </c>
      <c r="BS18" s="101">
        <v>0</v>
      </c>
      <c r="BT18" s="101">
        <v>0</v>
      </c>
      <c r="BU18" s="101">
        <v>0</v>
      </c>
      <c r="BV18" s="101">
        <v>0</v>
      </c>
      <c r="BW18" s="101">
        <v>0</v>
      </c>
      <c r="BX18" s="101">
        <v>0</v>
      </c>
      <c r="BY18" s="101">
        <v>0</v>
      </c>
      <c r="BZ18" s="101">
        <v>0</v>
      </c>
      <c r="CA18" s="101">
        <v>0</v>
      </c>
      <c r="CB18" s="101">
        <v>0</v>
      </c>
      <c r="CC18" s="101">
        <v>0</v>
      </c>
      <c r="CD18" s="101">
        <v>0</v>
      </c>
      <c r="CE18" s="101">
        <v>0</v>
      </c>
      <c r="CF18" s="101">
        <v>0</v>
      </c>
      <c r="CG18" s="101">
        <v>0</v>
      </c>
      <c r="CH18" s="101">
        <v>0</v>
      </c>
      <c r="CI18" s="101">
        <v>0</v>
      </c>
      <c r="CJ18" s="101">
        <v>0</v>
      </c>
      <c r="CK18" s="101">
        <v>0</v>
      </c>
      <c r="CL18" s="101">
        <v>0</v>
      </c>
      <c r="CM18" s="101">
        <v>0</v>
      </c>
      <c r="CN18" s="101">
        <v>0</v>
      </c>
      <c r="CO18" s="101">
        <v>0</v>
      </c>
      <c r="CP18" s="101">
        <v>0</v>
      </c>
      <c r="CQ18" s="101">
        <v>0</v>
      </c>
      <c r="CR18" s="101">
        <v>0</v>
      </c>
      <c r="CS18" s="101">
        <v>0</v>
      </c>
      <c r="CT18" s="101">
        <v>0</v>
      </c>
      <c r="CU18" s="101">
        <v>0</v>
      </c>
      <c r="CV18" s="101">
        <v>0</v>
      </c>
      <c r="CW18" s="101">
        <v>0</v>
      </c>
      <c r="CX18" s="101">
        <v>0</v>
      </c>
      <c r="CY18" s="101">
        <v>0</v>
      </c>
      <c r="CZ18" s="101">
        <v>0</v>
      </c>
      <c r="DA18" s="101">
        <v>0</v>
      </c>
      <c r="DB18" s="101">
        <v>0</v>
      </c>
      <c r="DC18" s="101">
        <v>0</v>
      </c>
      <c r="DD18" s="101">
        <v>0</v>
      </c>
      <c r="DE18" s="101">
        <v>0</v>
      </c>
      <c r="DF18" s="101">
        <v>0</v>
      </c>
      <c r="DG18" s="101">
        <v>0</v>
      </c>
      <c r="DH18" s="101">
        <v>0</v>
      </c>
      <c r="DI18" s="101">
        <v>0</v>
      </c>
      <c r="DJ18" s="101">
        <v>0</v>
      </c>
      <c r="DK18" s="101">
        <v>0</v>
      </c>
      <c r="DL18" s="101">
        <v>0</v>
      </c>
      <c r="DM18" s="101">
        <v>0</v>
      </c>
      <c r="DN18" s="101">
        <v>0</v>
      </c>
      <c r="DO18" s="101">
        <v>0</v>
      </c>
      <c r="DP18" s="101">
        <v>0</v>
      </c>
      <c r="DQ18" s="101">
        <v>0</v>
      </c>
      <c r="DR18" s="101">
        <v>0</v>
      </c>
      <c r="DS18" s="101">
        <v>0</v>
      </c>
      <c r="DT18" s="101">
        <v>0</v>
      </c>
      <c r="DU18" s="101">
        <v>0</v>
      </c>
      <c r="DV18" s="101">
        <v>0</v>
      </c>
      <c r="DW18" s="101">
        <v>0</v>
      </c>
      <c r="DX18" s="101">
        <v>0</v>
      </c>
      <c r="DY18" s="101">
        <v>0</v>
      </c>
      <c r="DZ18" s="101">
        <v>0</v>
      </c>
      <c r="EA18" s="101">
        <v>0</v>
      </c>
      <c r="EB18" s="101">
        <v>0</v>
      </c>
      <c r="EC18" s="101">
        <v>0</v>
      </c>
      <c r="ED18" s="160">
        <v>0</v>
      </c>
      <c r="EE18" s="101">
        <v>0</v>
      </c>
      <c r="EF18" s="101">
        <v>0</v>
      </c>
      <c r="EG18" s="101">
        <v>0</v>
      </c>
      <c r="EH18" s="101">
        <v>0</v>
      </c>
      <c r="EI18" s="101">
        <v>0</v>
      </c>
      <c r="EJ18" s="101">
        <v>0</v>
      </c>
      <c r="EK18" s="101">
        <v>0</v>
      </c>
      <c r="EL18" s="101">
        <v>0</v>
      </c>
      <c r="EM18" s="101">
        <v>0</v>
      </c>
      <c r="EN18" s="101">
        <v>0</v>
      </c>
      <c r="EO18" s="101">
        <v>0</v>
      </c>
      <c r="EP18" s="101">
        <v>0</v>
      </c>
      <c r="EQ18" s="101">
        <v>0</v>
      </c>
      <c r="ER18" s="101">
        <v>0</v>
      </c>
      <c r="ES18" s="101">
        <v>0</v>
      </c>
      <c r="ET18" s="101">
        <v>0</v>
      </c>
      <c r="EU18" s="101">
        <v>0</v>
      </c>
      <c r="EV18" s="101">
        <v>0</v>
      </c>
      <c r="EW18" s="101">
        <v>0</v>
      </c>
      <c r="EX18" s="101">
        <v>0</v>
      </c>
      <c r="EY18" s="101">
        <v>0</v>
      </c>
      <c r="EZ18" s="101">
        <v>0</v>
      </c>
      <c r="FA18" s="101">
        <v>0</v>
      </c>
      <c r="FB18" s="101">
        <v>0</v>
      </c>
      <c r="FC18" s="101">
        <v>0</v>
      </c>
      <c r="FD18" s="101">
        <v>0</v>
      </c>
      <c r="FE18" s="101">
        <v>0</v>
      </c>
      <c r="FF18" s="101">
        <v>0</v>
      </c>
      <c r="FG18" s="101">
        <v>0</v>
      </c>
      <c r="FH18" s="73">
        <v>0</v>
      </c>
      <c r="FI18" s="13">
        <v>0</v>
      </c>
      <c r="FJ18" s="13">
        <v>0</v>
      </c>
      <c r="FK18" s="13">
        <v>0</v>
      </c>
      <c r="FL18" s="13">
        <v>0</v>
      </c>
      <c r="FM18" s="101">
        <v>0</v>
      </c>
      <c r="FN18" s="13">
        <v>0</v>
      </c>
      <c r="FO18" s="101">
        <v>0</v>
      </c>
      <c r="FP18" s="101">
        <v>0</v>
      </c>
      <c r="FQ18" s="101">
        <v>0</v>
      </c>
      <c r="FR18" s="101">
        <v>0</v>
      </c>
      <c r="FS18" s="101">
        <v>0</v>
      </c>
      <c r="FT18" s="101">
        <v>0</v>
      </c>
      <c r="FU18" s="101">
        <v>0</v>
      </c>
      <c r="FV18" s="101">
        <v>0</v>
      </c>
      <c r="FW18" s="101">
        <v>0</v>
      </c>
      <c r="FX18" s="101">
        <v>0</v>
      </c>
      <c r="FY18" s="101">
        <v>0</v>
      </c>
      <c r="FZ18" s="101">
        <v>0</v>
      </c>
      <c r="GA18" s="101">
        <v>0</v>
      </c>
      <c r="GB18" s="101">
        <v>0</v>
      </c>
      <c r="GC18" s="101">
        <v>0</v>
      </c>
      <c r="GD18" s="101">
        <v>0</v>
      </c>
      <c r="GE18" s="101">
        <v>0</v>
      </c>
      <c r="GF18" s="101">
        <v>0</v>
      </c>
      <c r="GG18" s="101">
        <v>0</v>
      </c>
      <c r="GH18" s="101">
        <v>0</v>
      </c>
      <c r="GI18" s="101">
        <v>0</v>
      </c>
      <c r="GJ18" s="101">
        <v>0</v>
      </c>
      <c r="GK18" s="101">
        <v>0</v>
      </c>
      <c r="GL18" s="101">
        <v>0</v>
      </c>
      <c r="GM18" s="160">
        <v>0</v>
      </c>
      <c r="GN18" s="101">
        <v>0</v>
      </c>
      <c r="GO18" s="13">
        <v>0</v>
      </c>
      <c r="GP18" s="424"/>
      <c r="GQ18" s="424"/>
      <c r="GR18" s="424"/>
      <c r="GS18" s="424"/>
      <c r="GT18" s="96"/>
      <c r="GU18" s="326">
        <f t="shared" si="1"/>
        <v>33</v>
      </c>
      <c r="GV18" s="56">
        <v>90</v>
      </c>
      <c r="GW18" s="63">
        <f t="shared" ca="1" si="0"/>
        <v>274</v>
      </c>
      <c r="HA18" s="48" t="s">
        <v>53</v>
      </c>
      <c r="HB18" s="47">
        <v>45980</v>
      </c>
    </row>
    <row r="19" spans="1:210" x14ac:dyDescent="0.25">
      <c r="A19" s="9">
        <v>11</v>
      </c>
      <c r="B19" s="474"/>
      <c r="C19" s="44" t="s">
        <v>55</v>
      </c>
      <c r="D19" s="4" t="s">
        <v>19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  <c r="T19" s="101">
        <v>0</v>
      </c>
      <c r="U19" s="101">
        <v>0</v>
      </c>
      <c r="V19" s="101">
        <v>0</v>
      </c>
      <c r="W19" s="101">
        <v>0</v>
      </c>
      <c r="X19" s="101">
        <v>0</v>
      </c>
      <c r="Y19" s="101">
        <v>0</v>
      </c>
      <c r="Z19" s="101">
        <v>0</v>
      </c>
      <c r="AA19" s="101">
        <v>0</v>
      </c>
      <c r="AB19" s="101">
        <v>0</v>
      </c>
      <c r="AC19" s="101">
        <v>0</v>
      </c>
      <c r="AD19" s="101">
        <v>0</v>
      </c>
      <c r="AE19" s="101">
        <v>0</v>
      </c>
      <c r="AF19" s="101">
        <v>0</v>
      </c>
      <c r="AG19" s="101">
        <v>0</v>
      </c>
      <c r="AH19" s="101">
        <v>0</v>
      </c>
      <c r="AI19" s="101">
        <v>0</v>
      </c>
      <c r="AJ19" s="101">
        <v>0</v>
      </c>
      <c r="AK19" s="101">
        <v>0</v>
      </c>
      <c r="AL19" s="101">
        <v>0</v>
      </c>
      <c r="AM19" s="101">
        <v>0</v>
      </c>
      <c r="AN19" s="101">
        <v>0</v>
      </c>
      <c r="AO19" s="162"/>
      <c r="AP19" s="160">
        <v>0</v>
      </c>
      <c r="AQ19" s="101">
        <v>0</v>
      </c>
      <c r="AR19" s="101">
        <v>0</v>
      </c>
      <c r="AS19" s="101">
        <v>0</v>
      </c>
      <c r="AT19" s="101">
        <v>0</v>
      </c>
      <c r="AU19" s="101">
        <v>0</v>
      </c>
      <c r="AV19" s="101">
        <v>0</v>
      </c>
      <c r="AW19" s="101">
        <v>0</v>
      </c>
      <c r="AX19" s="101">
        <v>0</v>
      </c>
      <c r="AY19" s="101">
        <v>0</v>
      </c>
      <c r="AZ19" s="101">
        <v>0</v>
      </c>
      <c r="BA19" s="101">
        <v>0</v>
      </c>
      <c r="BB19" s="101">
        <v>0</v>
      </c>
      <c r="BC19" s="101">
        <v>0</v>
      </c>
      <c r="BD19" s="101">
        <v>0</v>
      </c>
      <c r="BE19" s="101">
        <v>0</v>
      </c>
      <c r="BF19" s="101">
        <v>0</v>
      </c>
      <c r="BG19" s="101">
        <v>0</v>
      </c>
      <c r="BH19" s="101">
        <v>0</v>
      </c>
      <c r="BI19" s="101">
        <v>0</v>
      </c>
      <c r="BJ19" s="101">
        <v>0</v>
      </c>
      <c r="BK19" s="101">
        <v>0</v>
      </c>
      <c r="BL19" s="101">
        <v>0</v>
      </c>
      <c r="BM19" s="101">
        <v>0</v>
      </c>
      <c r="BN19" s="101">
        <v>0</v>
      </c>
      <c r="BO19" s="101">
        <v>0</v>
      </c>
      <c r="BP19" s="101">
        <v>0</v>
      </c>
      <c r="BQ19" s="101">
        <v>0</v>
      </c>
      <c r="BR19" s="101">
        <v>0</v>
      </c>
      <c r="BS19" s="101">
        <v>0</v>
      </c>
      <c r="BT19" s="101">
        <v>0</v>
      </c>
      <c r="BU19" s="101">
        <v>0</v>
      </c>
      <c r="BV19" s="101">
        <v>0</v>
      </c>
      <c r="BW19" s="101">
        <v>0</v>
      </c>
      <c r="BX19" s="101">
        <v>0</v>
      </c>
      <c r="BY19" s="101">
        <v>0</v>
      </c>
      <c r="BZ19" s="101">
        <v>0</v>
      </c>
      <c r="CA19" s="101">
        <v>0</v>
      </c>
      <c r="CB19" s="101">
        <v>0</v>
      </c>
      <c r="CC19" s="101">
        <v>0</v>
      </c>
      <c r="CD19" s="101">
        <v>0</v>
      </c>
      <c r="CE19" s="101">
        <v>0</v>
      </c>
      <c r="CF19" s="101">
        <v>0</v>
      </c>
      <c r="CG19" s="101">
        <v>0</v>
      </c>
      <c r="CH19" s="101">
        <v>0</v>
      </c>
      <c r="CI19" s="101">
        <v>0</v>
      </c>
      <c r="CJ19" s="101">
        <v>0</v>
      </c>
      <c r="CK19" s="101">
        <v>0</v>
      </c>
      <c r="CL19" s="101">
        <v>0</v>
      </c>
      <c r="CM19" s="101">
        <v>0</v>
      </c>
      <c r="CN19" s="101">
        <v>0</v>
      </c>
      <c r="CO19" s="101">
        <v>0</v>
      </c>
      <c r="CP19" s="101">
        <v>0</v>
      </c>
      <c r="CQ19" s="101">
        <v>0</v>
      </c>
      <c r="CR19" s="101">
        <v>0</v>
      </c>
      <c r="CS19" s="101">
        <v>0</v>
      </c>
      <c r="CT19" s="101">
        <v>0</v>
      </c>
      <c r="CU19" s="101">
        <v>0</v>
      </c>
      <c r="CV19" s="101">
        <v>0</v>
      </c>
      <c r="CW19" s="101">
        <v>0</v>
      </c>
      <c r="CX19" s="101">
        <v>0</v>
      </c>
      <c r="CY19" s="101">
        <v>0</v>
      </c>
      <c r="CZ19" s="101">
        <v>0</v>
      </c>
      <c r="DA19" s="101">
        <v>0</v>
      </c>
      <c r="DB19" s="101">
        <v>0</v>
      </c>
      <c r="DC19" s="101">
        <v>0</v>
      </c>
      <c r="DD19" s="101">
        <v>0</v>
      </c>
      <c r="DE19" s="101">
        <v>0</v>
      </c>
      <c r="DF19" s="101">
        <v>0</v>
      </c>
      <c r="DG19" s="101">
        <v>0</v>
      </c>
      <c r="DH19" s="101">
        <v>0</v>
      </c>
      <c r="DI19" s="101">
        <v>0</v>
      </c>
      <c r="DJ19" s="101">
        <v>0</v>
      </c>
      <c r="DK19" s="101">
        <v>0</v>
      </c>
      <c r="DL19" s="101">
        <v>0</v>
      </c>
      <c r="DM19" s="101">
        <v>0</v>
      </c>
      <c r="DN19" s="101">
        <v>0</v>
      </c>
      <c r="DO19" s="101">
        <v>0</v>
      </c>
      <c r="DP19" s="101">
        <v>0</v>
      </c>
      <c r="DQ19" s="101">
        <v>0</v>
      </c>
      <c r="DR19" s="101">
        <v>0</v>
      </c>
      <c r="DS19" s="101">
        <v>0</v>
      </c>
      <c r="DT19" s="101">
        <v>0</v>
      </c>
      <c r="DU19" s="101">
        <v>0</v>
      </c>
      <c r="DV19" s="101">
        <v>0</v>
      </c>
      <c r="DW19" s="101">
        <v>0</v>
      </c>
      <c r="DX19" s="101">
        <v>0</v>
      </c>
      <c r="DY19" s="101">
        <v>0</v>
      </c>
      <c r="DZ19" s="101">
        <v>0</v>
      </c>
      <c r="EA19" s="101">
        <v>0</v>
      </c>
      <c r="EB19" s="101">
        <v>0</v>
      </c>
      <c r="EC19" s="101">
        <v>0</v>
      </c>
      <c r="ED19" s="160">
        <v>0</v>
      </c>
      <c r="EE19" s="101">
        <v>0</v>
      </c>
      <c r="EF19" s="101">
        <v>0</v>
      </c>
      <c r="EG19" s="101">
        <v>0</v>
      </c>
      <c r="EH19" s="101">
        <v>0</v>
      </c>
      <c r="EI19" s="101">
        <v>0</v>
      </c>
      <c r="EJ19" s="101">
        <v>0</v>
      </c>
      <c r="EK19" s="101">
        <v>0</v>
      </c>
      <c r="EL19" s="101">
        <v>0</v>
      </c>
      <c r="EM19" s="101">
        <v>0</v>
      </c>
      <c r="EN19" s="101">
        <v>0</v>
      </c>
      <c r="EO19" s="101">
        <v>0</v>
      </c>
      <c r="EP19" s="101">
        <v>0</v>
      </c>
      <c r="EQ19" s="101">
        <v>0</v>
      </c>
      <c r="ER19" s="101">
        <v>0</v>
      </c>
      <c r="ES19" s="101">
        <v>0</v>
      </c>
      <c r="ET19" s="101">
        <v>0</v>
      </c>
      <c r="EU19" s="101">
        <v>0</v>
      </c>
      <c r="EV19" s="101">
        <v>0</v>
      </c>
      <c r="EW19" s="101">
        <v>0</v>
      </c>
      <c r="EX19" s="101">
        <v>0</v>
      </c>
      <c r="EY19" s="101">
        <v>0</v>
      </c>
      <c r="EZ19" s="101">
        <v>0</v>
      </c>
      <c r="FA19" s="101">
        <v>0</v>
      </c>
      <c r="FB19" s="101">
        <v>0</v>
      </c>
      <c r="FC19" s="101">
        <v>0</v>
      </c>
      <c r="FD19" s="101">
        <v>0</v>
      </c>
      <c r="FE19" s="101">
        <v>0</v>
      </c>
      <c r="FF19" s="101">
        <v>0</v>
      </c>
      <c r="FG19" s="101">
        <v>0</v>
      </c>
      <c r="FH19" s="73">
        <v>0</v>
      </c>
      <c r="FI19" s="13">
        <v>0</v>
      </c>
      <c r="FJ19" s="13">
        <v>0</v>
      </c>
      <c r="FK19" s="13">
        <v>0</v>
      </c>
      <c r="FL19" s="13">
        <v>0</v>
      </c>
      <c r="FM19" s="101">
        <v>0</v>
      </c>
      <c r="FN19" s="13">
        <v>0</v>
      </c>
      <c r="FO19" s="101">
        <v>0</v>
      </c>
      <c r="FP19" s="101">
        <v>0</v>
      </c>
      <c r="FQ19" s="101">
        <v>0</v>
      </c>
      <c r="FR19" s="101">
        <v>0</v>
      </c>
      <c r="FS19" s="101">
        <v>0</v>
      </c>
      <c r="FT19" s="101">
        <v>0</v>
      </c>
      <c r="FU19" s="101">
        <v>0</v>
      </c>
      <c r="FV19" s="101">
        <v>0</v>
      </c>
      <c r="FW19" s="101">
        <v>0</v>
      </c>
      <c r="FX19" s="101">
        <v>0</v>
      </c>
      <c r="FY19" s="101">
        <v>0</v>
      </c>
      <c r="FZ19" s="101">
        <v>0</v>
      </c>
      <c r="GA19" s="101">
        <v>0</v>
      </c>
      <c r="GB19" s="101">
        <v>0</v>
      </c>
      <c r="GC19" s="101">
        <v>0</v>
      </c>
      <c r="GD19" s="101">
        <v>0</v>
      </c>
      <c r="GE19" s="101">
        <v>0</v>
      </c>
      <c r="GF19" s="101">
        <v>0</v>
      </c>
      <c r="GG19" s="101">
        <v>0</v>
      </c>
      <c r="GH19" s="101">
        <v>0</v>
      </c>
      <c r="GI19" s="101">
        <v>0</v>
      </c>
      <c r="GJ19" s="101">
        <v>0</v>
      </c>
      <c r="GK19" s="101">
        <v>0</v>
      </c>
      <c r="GL19" s="101">
        <v>0</v>
      </c>
      <c r="GM19" s="160">
        <v>0</v>
      </c>
      <c r="GN19" s="101">
        <v>0</v>
      </c>
      <c r="GO19" s="13">
        <v>0</v>
      </c>
      <c r="GP19" s="424"/>
      <c r="GQ19" s="424"/>
      <c r="GR19" s="424"/>
      <c r="GS19" s="424"/>
      <c r="GT19" s="96"/>
      <c r="GU19" s="326">
        <f t="shared" si="1"/>
        <v>0</v>
      </c>
      <c r="GV19" s="57">
        <v>90</v>
      </c>
      <c r="GW19" s="60">
        <f t="shared" ca="1" si="0"/>
        <v>274</v>
      </c>
      <c r="HA19" s="48" t="s">
        <v>53</v>
      </c>
      <c r="HB19" s="47">
        <v>45980</v>
      </c>
    </row>
    <row r="20" spans="1:210" x14ac:dyDescent="0.25">
      <c r="A20" s="2">
        <v>12</v>
      </c>
      <c r="B20" s="474"/>
      <c r="C20" s="10" t="s">
        <v>57</v>
      </c>
      <c r="D20" s="4" t="s">
        <v>19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  <c r="W20" s="101">
        <v>0</v>
      </c>
      <c r="X20" s="101">
        <v>0</v>
      </c>
      <c r="Y20" s="101">
        <v>0</v>
      </c>
      <c r="Z20" s="101">
        <v>0</v>
      </c>
      <c r="AA20" s="101">
        <v>0</v>
      </c>
      <c r="AB20" s="101">
        <v>0</v>
      </c>
      <c r="AC20" s="101">
        <v>0</v>
      </c>
      <c r="AD20" s="101">
        <v>0</v>
      </c>
      <c r="AE20" s="101">
        <v>0</v>
      </c>
      <c r="AF20" s="101">
        <v>0</v>
      </c>
      <c r="AG20" s="101">
        <v>0</v>
      </c>
      <c r="AH20" s="101">
        <v>0</v>
      </c>
      <c r="AI20" s="101">
        <v>0</v>
      </c>
      <c r="AJ20" s="101">
        <v>0</v>
      </c>
      <c r="AK20" s="101">
        <v>0</v>
      </c>
      <c r="AL20" s="101">
        <v>0</v>
      </c>
      <c r="AM20" s="101">
        <v>0</v>
      </c>
      <c r="AN20" s="101">
        <v>0</v>
      </c>
      <c r="AO20" s="162"/>
      <c r="AP20" s="160">
        <v>0</v>
      </c>
      <c r="AQ20" s="101">
        <v>0</v>
      </c>
      <c r="AR20" s="101">
        <v>0</v>
      </c>
      <c r="AS20" s="101">
        <v>0</v>
      </c>
      <c r="AT20" s="101">
        <v>0</v>
      </c>
      <c r="AU20" s="101">
        <v>0</v>
      </c>
      <c r="AV20" s="101">
        <v>0</v>
      </c>
      <c r="AW20" s="101">
        <v>0</v>
      </c>
      <c r="AX20" s="101">
        <v>0</v>
      </c>
      <c r="AY20" s="101">
        <v>0</v>
      </c>
      <c r="AZ20" s="101">
        <v>0</v>
      </c>
      <c r="BA20" s="101">
        <v>0</v>
      </c>
      <c r="BB20" s="101">
        <v>0</v>
      </c>
      <c r="BC20" s="101">
        <v>0</v>
      </c>
      <c r="BD20" s="101">
        <v>0</v>
      </c>
      <c r="BE20" s="101">
        <v>0</v>
      </c>
      <c r="BF20" s="101">
        <v>0</v>
      </c>
      <c r="BG20" s="101">
        <v>0</v>
      </c>
      <c r="BH20" s="101">
        <v>0</v>
      </c>
      <c r="BI20" s="101">
        <v>0</v>
      </c>
      <c r="BJ20" s="101">
        <v>0</v>
      </c>
      <c r="BK20" s="101">
        <v>0</v>
      </c>
      <c r="BL20" s="101">
        <v>0</v>
      </c>
      <c r="BM20" s="101">
        <v>0</v>
      </c>
      <c r="BN20" s="101">
        <v>0</v>
      </c>
      <c r="BO20" s="101">
        <v>0</v>
      </c>
      <c r="BP20" s="101">
        <v>0</v>
      </c>
      <c r="BQ20" s="101">
        <v>0</v>
      </c>
      <c r="BR20" s="101">
        <v>0</v>
      </c>
      <c r="BS20" s="101">
        <v>0</v>
      </c>
      <c r="BT20" s="101">
        <v>0</v>
      </c>
      <c r="BU20" s="101">
        <v>0</v>
      </c>
      <c r="BV20" s="101">
        <v>0</v>
      </c>
      <c r="BW20" s="101">
        <v>0</v>
      </c>
      <c r="BX20" s="101">
        <v>0</v>
      </c>
      <c r="BY20" s="101">
        <v>0</v>
      </c>
      <c r="BZ20" s="101">
        <v>0</v>
      </c>
      <c r="CA20" s="101">
        <v>0</v>
      </c>
      <c r="CB20" s="101">
        <v>0</v>
      </c>
      <c r="CC20" s="101">
        <v>0</v>
      </c>
      <c r="CD20" s="101">
        <v>0</v>
      </c>
      <c r="CE20" s="101">
        <v>0</v>
      </c>
      <c r="CF20" s="101">
        <v>0</v>
      </c>
      <c r="CG20" s="101">
        <v>0</v>
      </c>
      <c r="CH20" s="101">
        <v>0</v>
      </c>
      <c r="CI20" s="101">
        <v>0</v>
      </c>
      <c r="CJ20" s="101">
        <v>0</v>
      </c>
      <c r="CK20" s="101">
        <v>0</v>
      </c>
      <c r="CL20" s="101">
        <v>0</v>
      </c>
      <c r="CM20" s="101">
        <v>0</v>
      </c>
      <c r="CN20" s="101">
        <v>0</v>
      </c>
      <c r="CO20" s="101">
        <v>0</v>
      </c>
      <c r="CP20" s="101">
        <v>0</v>
      </c>
      <c r="CQ20" s="101">
        <v>0</v>
      </c>
      <c r="CR20" s="101">
        <v>0</v>
      </c>
      <c r="CS20" s="101">
        <v>0</v>
      </c>
      <c r="CT20" s="101">
        <v>0</v>
      </c>
      <c r="CU20" s="101">
        <v>0</v>
      </c>
      <c r="CV20" s="101">
        <v>0</v>
      </c>
      <c r="CW20" s="101">
        <v>0</v>
      </c>
      <c r="CX20" s="101">
        <v>0</v>
      </c>
      <c r="CY20" s="101">
        <v>0</v>
      </c>
      <c r="CZ20" s="101">
        <v>0</v>
      </c>
      <c r="DA20" s="101">
        <v>0</v>
      </c>
      <c r="DB20" s="101">
        <v>0</v>
      </c>
      <c r="DC20" s="101">
        <v>0</v>
      </c>
      <c r="DD20" s="101">
        <v>0</v>
      </c>
      <c r="DE20" s="101">
        <v>0</v>
      </c>
      <c r="DF20" s="101">
        <v>0</v>
      </c>
      <c r="DG20" s="101">
        <v>0</v>
      </c>
      <c r="DH20" s="101">
        <v>0</v>
      </c>
      <c r="DI20" s="101">
        <v>0</v>
      </c>
      <c r="DJ20" s="101">
        <v>0</v>
      </c>
      <c r="DK20" s="101">
        <v>0</v>
      </c>
      <c r="DL20" s="101">
        <v>0</v>
      </c>
      <c r="DM20" s="101">
        <v>0</v>
      </c>
      <c r="DN20" s="101">
        <v>0</v>
      </c>
      <c r="DO20" s="101">
        <v>0</v>
      </c>
      <c r="DP20" s="101">
        <v>0</v>
      </c>
      <c r="DQ20" s="101">
        <v>0</v>
      </c>
      <c r="DR20" s="101">
        <v>0</v>
      </c>
      <c r="DS20" s="101">
        <v>0</v>
      </c>
      <c r="DT20" s="101">
        <v>0</v>
      </c>
      <c r="DU20" s="101">
        <v>0</v>
      </c>
      <c r="DV20" s="101">
        <v>0</v>
      </c>
      <c r="DW20" s="101">
        <v>0</v>
      </c>
      <c r="DX20" s="101">
        <v>0</v>
      </c>
      <c r="DY20" s="101">
        <v>0</v>
      </c>
      <c r="DZ20" s="101">
        <v>0</v>
      </c>
      <c r="EA20" s="101">
        <v>0</v>
      </c>
      <c r="EB20" s="101">
        <v>0</v>
      </c>
      <c r="EC20" s="101">
        <v>0</v>
      </c>
      <c r="ED20" s="160">
        <v>0</v>
      </c>
      <c r="EE20" s="101">
        <v>0</v>
      </c>
      <c r="EF20" s="101">
        <v>0</v>
      </c>
      <c r="EG20" s="101">
        <v>0</v>
      </c>
      <c r="EH20" s="101">
        <v>0</v>
      </c>
      <c r="EI20" s="101">
        <v>0</v>
      </c>
      <c r="EJ20" s="101">
        <v>0</v>
      </c>
      <c r="EK20" s="101">
        <v>0</v>
      </c>
      <c r="EL20" s="101">
        <v>0</v>
      </c>
      <c r="EM20" s="101">
        <v>0</v>
      </c>
      <c r="EN20" s="101">
        <v>0</v>
      </c>
      <c r="EO20" s="101">
        <v>0</v>
      </c>
      <c r="EP20" s="101">
        <v>0</v>
      </c>
      <c r="EQ20" s="101">
        <v>0</v>
      </c>
      <c r="ER20" s="101">
        <v>0</v>
      </c>
      <c r="ES20" s="101">
        <v>0</v>
      </c>
      <c r="ET20" s="101">
        <v>0</v>
      </c>
      <c r="EU20" s="101">
        <v>0</v>
      </c>
      <c r="EV20" s="101">
        <v>0</v>
      </c>
      <c r="EW20" s="101">
        <v>0</v>
      </c>
      <c r="EX20" s="101">
        <v>0</v>
      </c>
      <c r="EY20" s="101">
        <v>0</v>
      </c>
      <c r="EZ20" s="101">
        <v>0</v>
      </c>
      <c r="FA20" s="101">
        <v>0</v>
      </c>
      <c r="FB20" s="101">
        <v>0</v>
      </c>
      <c r="FC20" s="101">
        <v>0</v>
      </c>
      <c r="FD20" s="101">
        <v>0</v>
      </c>
      <c r="FE20" s="101">
        <v>0</v>
      </c>
      <c r="FF20" s="101">
        <v>0</v>
      </c>
      <c r="FG20" s="101">
        <v>0</v>
      </c>
      <c r="FH20" s="73">
        <v>0</v>
      </c>
      <c r="FI20" s="13">
        <v>0</v>
      </c>
      <c r="FJ20" s="13">
        <v>0</v>
      </c>
      <c r="FK20" s="13">
        <v>0</v>
      </c>
      <c r="FL20" s="13">
        <v>0</v>
      </c>
      <c r="FM20" s="101">
        <v>0</v>
      </c>
      <c r="FN20" s="13">
        <v>0</v>
      </c>
      <c r="FO20" s="101">
        <v>0</v>
      </c>
      <c r="FP20" s="101">
        <v>0</v>
      </c>
      <c r="FQ20" s="101">
        <v>0</v>
      </c>
      <c r="FR20" s="101">
        <v>0</v>
      </c>
      <c r="FS20" s="101">
        <v>0</v>
      </c>
      <c r="FT20" s="101">
        <v>0</v>
      </c>
      <c r="FU20" s="101">
        <v>0</v>
      </c>
      <c r="FV20" s="101">
        <v>0</v>
      </c>
      <c r="FW20" s="101">
        <v>0</v>
      </c>
      <c r="FX20" s="101">
        <v>0</v>
      </c>
      <c r="FY20" s="101">
        <v>0</v>
      </c>
      <c r="FZ20" s="101">
        <v>0</v>
      </c>
      <c r="GA20" s="101">
        <v>0</v>
      </c>
      <c r="GB20" s="101">
        <v>0</v>
      </c>
      <c r="GC20" s="101">
        <v>0</v>
      </c>
      <c r="GD20" s="101">
        <v>0</v>
      </c>
      <c r="GE20" s="101">
        <v>0</v>
      </c>
      <c r="GF20" s="101">
        <v>0</v>
      </c>
      <c r="GG20" s="101">
        <v>0</v>
      </c>
      <c r="GH20" s="101">
        <v>0</v>
      </c>
      <c r="GI20" s="101">
        <v>0</v>
      </c>
      <c r="GJ20" s="101">
        <v>0</v>
      </c>
      <c r="GK20" s="101">
        <v>0</v>
      </c>
      <c r="GL20" s="101">
        <v>0</v>
      </c>
      <c r="GM20" s="160">
        <v>0</v>
      </c>
      <c r="GN20" s="101">
        <v>0</v>
      </c>
      <c r="GO20" s="13">
        <v>0</v>
      </c>
      <c r="GP20" s="424"/>
      <c r="GQ20" s="424"/>
      <c r="GR20" s="424"/>
      <c r="GS20" s="424"/>
      <c r="GT20" s="96"/>
      <c r="GU20" s="326">
        <f t="shared" si="1"/>
        <v>0</v>
      </c>
      <c r="GV20" s="55">
        <v>90</v>
      </c>
      <c r="GW20" s="52">
        <f t="shared" ca="1" si="0"/>
        <v>245</v>
      </c>
      <c r="HA20" s="48" t="s">
        <v>56</v>
      </c>
      <c r="HB20" s="47">
        <v>46009</v>
      </c>
    </row>
    <row r="21" spans="1:210" x14ac:dyDescent="0.25">
      <c r="A21" s="9">
        <v>13</v>
      </c>
      <c r="B21" s="474"/>
      <c r="C21" s="44" t="s">
        <v>58</v>
      </c>
      <c r="D21" s="4" t="s">
        <v>19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0</v>
      </c>
      <c r="Y21" s="101">
        <v>0</v>
      </c>
      <c r="Z21" s="101">
        <v>0</v>
      </c>
      <c r="AA21" s="101">
        <v>0</v>
      </c>
      <c r="AB21" s="101">
        <v>0</v>
      </c>
      <c r="AC21" s="101">
        <v>0</v>
      </c>
      <c r="AD21" s="101">
        <v>0</v>
      </c>
      <c r="AE21" s="101">
        <v>0</v>
      </c>
      <c r="AF21" s="101">
        <v>0</v>
      </c>
      <c r="AG21" s="101">
        <v>0</v>
      </c>
      <c r="AH21" s="101">
        <v>0</v>
      </c>
      <c r="AI21" s="101">
        <v>0</v>
      </c>
      <c r="AJ21" s="101">
        <v>0</v>
      </c>
      <c r="AK21" s="101">
        <v>0</v>
      </c>
      <c r="AL21" s="101">
        <v>0</v>
      </c>
      <c r="AM21" s="101">
        <v>0</v>
      </c>
      <c r="AN21" s="101">
        <v>0</v>
      </c>
      <c r="AO21" s="162"/>
      <c r="AP21" s="160">
        <v>0</v>
      </c>
      <c r="AQ21" s="101">
        <v>0</v>
      </c>
      <c r="AR21" s="101">
        <v>0</v>
      </c>
      <c r="AS21" s="101">
        <v>0</v>
      </c>
      <c r="AT21" s="101">
        <v>0</v>
      </c>
      <c r="AU21" s="101">
        <v>0</v>
      </c>
      <c r="AV21" s="101">
        <v>0</v>
      </c>
      <c r="AW21" s="101">
        <v>0</v>
      </c>
      <c r="AX21" s="101">
        <v>0</v>
      </c>
      <c r="AY21" s="101">
        <v>0</v>
      </c>
      <c r="AZ21" s="101">
        <v>0</v>
      </c>
      <c r="BA21" s="101">
        <v>0</v>
      </c>
      <c r="BB21" s="101">
        <v>0</v>
      </c>
      <c r="BC21" s="101">
        <v>0</v>
      </c>
      <c r="BD21" s="101">
        <v>0</v>
      </c>
      <c r="BE21" s="101">
        <v>0</v>
      </c>
      <c r="BF21" s="101">
        <v>0</v>
      </c>
      <c r="BG21" s="101">
        <v>0</v>
      </c>
      <c r="BH21" s="101">
        <v>0</v>
      </c>
      <c r="BI21" s="101">
        <v>0</v>
      </c>
      <c r="BJ21" s="101">
        <v>0</v>
      </c>
      <c r="BK21" s="101">
        <v>0</v>
      </c>
      <c r="BL21" s="101">
        <v>0</v>
      </c>
      <c r="BM21" s="101">
        <v>0</v>
      </c>
      <c r="BN21" s="101">
        <v>0</v>
      </c>
      <c r="BO21" s="101">
        <v>0</v>
      </c>
      <c r="BP21" s="101">
        <v>0</v>
      </c>
      <c r="BQ21" s="101">
        <v>0</v>
      </c>
      <c r="BR21" s="101">
        <v>0</v>
      </c>
      <c r="BS21" s="101">
        <v>0</v>
      </c>
      <c r="BT21" s="101">
        <v>0</v>
      </c>
      <c r="BU21" s="101">
        <v>0</v>
      </c>
      <c r="BV21" s="101">
        <v>0</v>
      </c>
      <c r="BW21" s="101">
        <v>0</v>
      </c>
      <c r="BX21" s="101">
        <v>0</v>
      </c>
      <c r="BY21" s="101">
        <v>0</v>
      </c>
      <c r="BZ21" s="101">
        <v>0</v>
      </c>
      <c r="CA21" s="101">
        <v>0</v>
      </c>
      <c r="CB21" s="101">
        <v>0</v>
      </c>
      <c r="CC21" s="101">
        <v>0</v>
      </c>
      <c r="CD21" s="101">
        <v>0</v>
      </c>
      <c r="CE21" s="101">
        <v>0</v>
      </c>
      <c r="CF21" s="101">
        <v>0</v>
      </c>
      <c r="CG21" s="101">
        <v>0</v>
      </c>
      <c r="CH21" s="101">
        <v>0</v>
      </c>
      <c r="CI21" s="101">
        <v>0</v>
      </c>
      <c r="CJ21" s="101">
        <v>0</v>
      </c>
      <c r="CK21" s="101">
        <v>0</v>
      </c>
      <c r="CL21" s="101">
        <v>0</v>
      </c>
      <c r="CM21" s="101">
        <v>0</v>
      </c>
      <c r="CN21" s="101">
        <v>0</v>
      </c>
      <c r="CO21" s="101">
        <v>0</v>
      </c>
      <c r="CP21" s="101">
        <v>0</v>
      </c>
      <c r="CQ21" s="101">
        <v>0</v>
      </c>
      <c r="CR21" s="101">
        <v>0</v>
      </c>
      <c r="CS21" s="101">
        <v>0</v>
      </c>
      <c r="CT21" s="101">
        <v>0</v>
      </c>
      <c r="CU21" s="101">
        <v>0</v>
      </c>
      <c r="CV21" s="101">
        <v>0</v>
      </c>
      <c r="CW21" s="101">
        <v>0</v>
      </c>
      <c r="CX21" s="101">
        <v>0</v>
      </c>
      <c r="CY21" s="101">
        <v>0</v>
      </c>
      <c r="CZ21" s="101">
        <v>0</v>
      </c>
      <c r="DA21" s="101">
        <v>0</v>
      </c>
      <c r="DB21" s="101">
        <v>0</v>
      </c>
      <c r="DC21" s="101">
        <v>0</v>
      </c>
      <c r="DD21" s="101">
        <v>0</v>
      </c>
      <c r="DE21" s="101">
        <v>0</v>
      </c>
      <c r="DF21" s="101">
        <v>0</v>
      </c>
      <c r="DG21" s="101">
        <v>0</v>
      </c>
      <c r="DH21" s="101">
        <v>0</v>
      </c>
      <c r="DI21" s="101">
        <v>0</v>
      </c>
      <c r="DJ21" s="101">
        <v>0</v>
      </c>
      <c r="DK21" s="101">
        <v>0</v>
      </c>
      <c r="DL21" s="101">
        <v>0</v>
      </c>
      <c r="DM21" s="101">
        <v>0</v>
      </c>
      <c r="DN21" s="101">
        <v>0</v>
      </c>
      <c r="DO21" s="101">
        <v>0</v>
      </c>
      <c r="DP21" s="101">
        <v>0</v>
      </c>
      <c r="DQ21" s="101">
        <v>0</v>
      </c>
      <c r="DR21" s="101">
        <v>0</v>
      </c>
      <c r="DS21" s="101">
        <v>0</v>
      </c>
      <c r="DT21" s="101">
        <v>0</v>
      </c>
      <c r="DU21" s="101">
        <v>0</v>
      </c>
      <c r="DV21" s="101">
        <v>0</v>
      </c>
      <c r="DW21" s="101">
        <v>0</v>
      </c>
      <c r="DX21" s="101">
        <v>0</v>
      </c>
      <c r="DY21" s="101">
        <v>0</v>
      </c>
      <c r="DZ21" s="101">
        <v>0</v>
      </c>
      <c r="EA21" s="101">
        <v>0</v>
      </c>
      <c r="EB21" s="101">
        <v>0</v>
      </c>
      <c r="EC21" s="101">
        <v>0</v>
      </c>
      <c r="ED21" s="160">
        <v>0</v>
      </c>
      <c r="EE21" s="101">
        <v>0</v>
      </c>
      <c r="EF21" s="101">
        <v>0</v>
      </c>
      <c r="EG21" s="101">
        <v>0</v>
      </c>
      <c r="EH21" s="101">
        <v>0</v>
      </c>
      <c r="EI21" s="101">
        <v>0</v>
      </c>
      <c r="EJ21" s="101">
        <v>0</v>
      </c>
      <c r="EK21" s="101">
        <v>0</v>
      </c>
      <c r="EL21" s="101">
        <v>0</v>
      </c>
      <c r="EM21" s="101">
        <v>0</v>
      </c>
      <c r="EN21" s="101">
        <v>0</v>
      </c>
      <c r="EO21" s="101">
        <v>0</v>
      </c>
      <c r="EP21" s="101">
        <v>0</v>
      </c>
      <c r="EQ21" s="101">
        <v>0</v>
      </c>
      <c r="ER21" s="101">
        <v>0</v>
      </c>
      <c r="ES21" s="101">
        <v>0</v>
      </c>
      <c r="ET21" s="101">
        <v>0</v>
      </c>
      <c r="EU21" s="101">
        <v>0</v>
      </c>
      <c r="EV21" s="101">
        <v>0</v>
      </c>
      <c r="EW21" s="101">
        <v>0</v>
      </c>
      <c r="EX21" s="101">
        <v>0</v>
      </c>
      <c r="EY21" s="101">
        <v>0</v>
      </c>
      <c r="EZ21" s="101">
        <v>0</v>
      </c>
      <c r="FA21" s="101">
        <v>0</v>
      </c>
      <c r="FB21" s="101">
        <v>0</v>
      </c>
      <c r="FC21" s="101">
        <v>0</v>
      </c>
      <c r="FD21" s="101">
        <v>0</v>
      </c>
      <c r="FE21" s="101">
        <v>0</v>
      </c>
      <c r="FF21" s="101">
        <v>0</v>
      </c>
      <c r="FG21" s="101">
        <v>0</v>
      </c>
      <c r="FH21" s="73">
        <v>0</v>
      </c>
      <c r="FI21" s="13">
        <v>0</v>
      </c>
      <c r="FJ21" s="13">
        <v>0</v>
      </c>
      <c r="FK21" s="13">
        <v>0</v>
      </c>
      <c r="FL21" s="13">
        <v>0</v>
      </c>
      <c r="FM21" s="101">
        <v>0</v>
      </c>
      <c r="FN21" s="13">
        <v>0</v>
      </c>
      <c r="FO21" s="101">
        <v>0</v>
      </c>
      <c r="FP21" s="101">
        <v>0</v>
      </c>
      <c r="FQ21" s="101">
        <v>0</v>
      </c>
      <c r="FR21" s="101">
        <v>0</v>
      </c>
      <c r="FS21" s="101">
        <v>0</v>
      </c>
      <c r="FT21" s="101">
        <v>0</v>
      </c>
      <c r="FU21" s="101">
        <v>0</v>
      </c>
      <c r="FV21" s="101">
        <v>0</v>
      </c>
      <c r="FW21" s="101">
        <v>0</v>
      </c>
      <c r="FX21" s="101">
        <v>0</v>
      </c>
      <c r="FY21" s="101">
        <v>0</v>
      </c>
      <c r="FZ21" s="101">
        <v>0</v>
      </c>
      <c r="GA21" s="101">
        <v>0</v>
      </c>
      <c r="GB21" s="101">
        <v>0</v>
      </c>
      <c r="GC21" s="101">
        <v>0</v>
      </c>
      <c r="GD21" s="101">
        <v>0</v>
      </c>
      <c r="GE21" s="101">
        <v>0</v>
      </c>
      <c r="GF21" s="101">
        <v>0</v>
      </c>
      <c r="GG21" s="101">
        <v>0</v>
      </c>
      <c r="GH21" s="101">
        <v>0</v>
      </c>
      <c r="GI21" s="101">
        <v>0</v>
      </c>
      <c r="GJ21" s="101">
        <v>0</v>
      </c>
      <c r="GK21" s="101">
        <v>0</v>
      </c>
      <c r="GL21" s="101">
        <v>0</v>
      </c>
      <c r="GM21" s="160">
        <v>0</v>
      </c>
      <c r="GN21" s="101">
        <v>0</v>
      </c>
      <c r="GO21" s="13">
        <v>0</v>
      </c>
      <c r="GP21" s="424"/>
      <c r="GQ21" s="424"/>
      <c r="GR21" s="424"/>
      <c r="GS21" s="424"/>
      <c r="GT21" s="96"/>
      <c r="GU21" s="326">
        <f t="shared" si="1"/>
        <v>0</v>
      </c>
      <c r="GV21" s="57">
        <v>90</v>
      </c>
      <c r="GW21" s="60">
        <f t="shared" ca="1" si="0"/>
        <v>265</v>
      </c>
      <c r="HA21" s="48" t="s">
        <v>38</v>
      </c>
      <c r="HB21" s="47">
        <v>45989</v>
      </c>
    </row>
    <row r="22" spans="1:210" x14ac:dyDescent="0.25">
      <c r="A22" s="2">
        <v>14</v>
      </c>
      <c r="B22" s="474"/>
      <c r="C22" s="46" t="s">
        <v>60</v>
      </c>
      <c r="D22" s="4" t="s">
        <v>19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0</v>
      </c>
      <c r="X22" s="101">
        <v>0</v>
      </c>
      <c r="Y22" s="101">
        <v>0</v>
      </c>
      <c r="Z22" s="101">
        <v>0</v>
      </c>
      <c r="AA22" s="101">
        <v>0</v>
      </c>
      <c r="AB22" s="101">
        <v>0</v>
      </c>
      <c r="AC22" s="101">
        <v>0</v>
      </c>
      <c r="AD22" s="101">
        <v>0</v>
      </c>
      <c r="AE22" s="101">
        <v>0</v>
      </c>
      <c r="AF22" s="101">
        <v>0</v>
      </c>
      <c r="AG22" s="101">
        <v>0</v>
      </c>
      <c r="AH22" s="101">
        <v>0</v>
      </c>
      <c r="AI22" s="101">
        <v>0</v>
      </c>
      <c r="AJ22" s="101">
        <v>0</v>
      </c>
      <c r="AK22" s="101">
        <v>0</v>
      </c>
      <c r="AL22" s="101">
        <v>0</v>
      </c>
      <c r="AM22" s="101">
        <v>0</v>
      </c>
      <c r="AN22" s="101">
        <v>0</v>
      </c>
      <c r="AO22" s="162"/>
      <c r="AP22" s="160">
        <v>0</v>
      </c>
      <c r="AQ22" s="101">
        <v>0</v>
      </c>
      <c r="AR22" s="101">
        <v>0</v>
      </c>
      <c r="AS22" s="101">
        <v>0</v>
      </c>
      <c r="AT22" s="101">
        <v>0</v>
      </c>
      <c r="AU22" s="101">
        <v>0</v>
      </c>
      <c r="AV22" s="101">
        <v>0</v>
      </c>
      <c r="AW22" s="101">
        <v>6</v>
      </c>
      <c r="AX22" s="101">
        <v>0</v>
      </c>
      <c r="AY22" s="101">
        <v>0</v>
      </c>
      <c r="AZ22" s="101">
        <v>0</v>
      </c>
      <c r="BA22" s="101">
        <v>0</v>
      </c>
      <c r="BB22" s="101">
        <v>0</v>
      </c>
      <c r="BC22" s="101">
        <v>0</v>
      </c>
      <c r="BD22" s="101">
        <v>0</v>
      </c>
      <c r="BE22" s="101">
        <v>0</v>
      </c>
      <c r="BF22" s="101">
        <v>0</v>
      </c>
      <c r="BG22" s="101">
        <v>0</v>
      </c>
      <c r="BH22" s="101">
        <v>0</v>
      </c>
      <c r="BI22" s="101">
        <v>0</v>
      </c>
      <c r="BJ22" s="101">
        <v>0</v>
      </c>
      <c r="BK22" s="101">
        <v>0</v>
      </c>
      <c r="BL22" s="101">
        <v>0</v>
      </c>
      <c r="BM22" s="101">
        <v>0</v>
      </c>
      <c r="BN22" s="101">
        <v>0</v>
      </c>
      <c r="BO22" s="101">
        <v>0</v>
      </c>
      <c r="BP22" s="101">
        <v>0</v>
      </c>
      <c r="BQ22" s="101">
        <v>0</v>
      </c>
      <c r="BR22" s="101">
        <v>0</v>
      </c>
      <c r="BS22" s="101">
        <v>0</v>
      </c>
      <c r="BT22" s="101">
        <v>0</v>
      </c>
      <c r="BU22" s="101">
        <v>0</v>
      </c>
      <c r="BV22" s="101">
        <v>0</v>
      </c>
      <c r="BW22" s="101">
        <v>0</v>
      </c>
      <c r="BX22" s="101">
        <v>0</v>
      </c>
      <c r="BY22" s="101">
        <v>0</v>
      </c>
      <c r="BZ22" s="101">
        <v>0</v>
      </c>
      <c r="CA22" s="101">
        <v>0</v>
      </c>
      <c r="CB22" s="101">
        <v>0</v>
      </c>
      <c r="CC22" s="101">
        <v>0</v>
      </c>
      <c r="CD22" s="101">
        <v>0</v>
      </c>
      <c r="CE22" s="101">
        <v>0</v>
      </c>
      <c r="CF22" s="101">
        <v>0</v>
      </c>
      <c r="CG22" s="101">
        <v>0</v>
      </c>
      <c r="CH22" s="101">
        <v>0</v>
      </c>
      <c r="CI22" s="101">
        <v>0</v>
      </c>
      <c r="CJ22" s="101">
        <v>0</v>
      </c>
      <c r="CK22" s="101">
        <v>0</v>
      </c>
      <c r="CL22" s="101">
        <v>0</v>
      </c>
      <c r="CM22" s="101">
        <v>0</v>
      </c>
      <c r="CN22" s="101">
        <v>0</v>
      </c>
      <c r="CO22" s="101">
        <v>0</v>
      </c>
      <c r="CP22" s="101">
        <v>0</v>
      </c>
      <c r="CQ22" s="101">
        <v>0</v>
      </c>
      <c r="CR22" s="101">
        <v>0</v>
      </c>
      <c r="CS22" s="101">
        <v>0</v>
      </c>
      <c r="CT22" s="101">
        <v>0</v>
      </c>
      <c r="CU22" s="101">
        <v>0</v>
      </c>
      <c r="CV22" s="101">
        <v>0</v>
      </c>
      <c r="CW22" s="101">
        <v>0</v>
      </c>
      <c r="CX22" s="101">
        <v>0</v>
      </c>
      <c r="CY22" s="101">
        <v>0</v>
      </c>
      <c r="CZ22" s="101">
        <v>0</v>
      </c>
      <c r="DA22" s="101">
        <v>0</v>
      </c>
      <c r="DB22" s="101">
        <v>0</v>
      </c>
      <c r="DC22" s="101">
        <v>0</v>
      </c>
      <c r="DD22" s="101">
        <v>0</v>
      </c>
      <c r="DE22" s="101">
        <v>0</v>
      </c>
      <c r="DF22" s="101">
        <v>0</v>
      </c>
      <c r="DG22" s="101">
        <v>0</v>
      </c>
      <c r="DH22" s="101">
        <v>0</v>
      </c>
      <c r="DI22" s="101">
        <v>0</v>
      </c>
      <c r="DJ22" s="101">
        <v>0</v>
      </c>
      <c r="DK22" s="101">
        <v>0</v>
      </c>
      <c r="DL22" s="101">
        <v>0</v>
      </c>
      <c r="DM22" s="101">
        <v>0</v>
      </c>
      <c r="DN22" s="101">
        <v>0</v>
      </c>
      <c r="DO22" s="101">
        <v>0</v>
      </c>
      <c r="DP22" s="101">
        <v>0</v>
      </c>
      <c r="DQ22" s="101">
        <v>0</v>
      </c>
      <c r="DR22" s="101">
        <v>0</v>
      </c>
      <c r="DS22" s="101">
        <v>0</v>
      </c>
      <c r="DT22" s="101">
        <v>0</v>
      </c>
      <c r="DU22" s="101">
        <v>0</v>
      </c>
      <c r="DV22" s="101">
        <v>0</v>
      </c>
      <c r="DW22" s="101">
        <v>0</v>
      </c>
      <c r="DX22" s="101">
        <v>0</v>
      </c>
      <c r="DY22" s="101">
        <v>0</v>
      </c>
      <c r="DZ22" s="101">
        <v>0</v>
      </c>
      <c r="EA22" s="101">
        <v>0</v>
      </c>
      <c r="EB22" s="101">
        <v>0</v>
      </c>
      <c r="EC22" s="101">
        <v>0</v>
      </c>
      <c r="ED22" s="160">
        <v>0</v>
      </c>
      <c r="EE22" s="101">
        <v>0</v>
      </c>
      <c r="EF22" s="101">
        <v>0</v>
      </c>
      <c r="EG22" s="101">
        <v>0</v>
      </c>
      <c r="EH22" s="101">
        <v>0</v>
      </c>
      <c r="EI22" s="101">
        <v>0</v>
      </c>
      <c r="EJ22" s="101">
        <v>0</v>
      </c>
      <c r="EK22" s="101">
        <v>0</v>
      </c>
      <c r="EL22" s="101">
        <v>0</v>
      </c>
      <c r="EM22" s="101">
        <v>0</v>
      </c>
      <c r="EN22" s="101">
        <v>0</v>
      </c>
      <c r="EO22" s="101">
        <v>0</v>
      </c>
      <c r="EP22" s="101">
        <v>0</v>
      </c>
      <c r="EQ22" s="101">
        <v>0</v>
      </c>
      <c r="ER22" s="101">
        <v>0</v>
      </c>
      <c r="ES22" s="101">
        <v>0</v>
      </c>
      <c r="ET22" s="101">
        <v>0</v>
      </c>
      <c r="EU22" s="101">
        <v>0</v>
      </c>
      <c r="EV22" s="101">
        <v>0</v>
      </c>
      <c r="EW22" s="101">
        <v>0</v>
      </c>
      <c r="EX22" s="101">
        <v>0</v>
      </c>
      <c r="EY22" s="101">
        <v>0</v>
      </c>
      <c r="EZ22" s="101">
        <v>0</v>
      </c>
      <c r="FA22" s="101">
        <v>0</v>
      </c>
      <c r="FB22" s="101">
        <v>0</v>
      </c>
      <c r="FC22" s="101">
        <v>0</v>
      </c>
      <c r="FD22" s="101">
        <v>0</v>
      </c>
      <c r="FE22" s="101">
        <v>0</v>
      </c>
      <c r="FF22" s="101">
        <v>0</v>
      </c>
      <c r="FG22" s="101">
        <v>0</v>
      </c>
      <c r="FH22" s="73">
        <v>0</v>
      </c>
      <c r="FI22" s="13">
        <v>0</v>
      </c>
      <c r="FJ22" s="13">
        <v>0</v>
      </c>
      <c r="FK22" s="13">
        <v>0</v>
      </c>
      <c r="FL22" s="13">
        <v>0</v>
      </c>
      <c r="FM22" s="101">
        <v>0</v>
      </c>
      <c r="FN22" s="13">
        <v>0</v>
      </c>
      <c r="FO22" s="101">
        <v>0</v>
      </c>
      <c r="FP22" s="101">
        <v>0</v>
      </c>
      <c r="FQ22" s="101">
        <v>0</v>
      </c>
      <c r="FR22" s="101">
        <v>0</v>
      </c>
      <c r="FS22" s="101">
        <v>0</v>
      </c>
      <c r="FT22" s="101">
        <v>0</v>
      </c>
      <c r="FU22" s="101">
        <v>0</v>
      </c>
      <c r="FV22" s="101">
        <v>0</v>
      </c>
      <c r="FW22" s="101">
        <v>0</v>
      </c>
      <c r="FX22" s="101">
        <v>0</v>
      </c>
      <c r="FY22" s="101">
        <v>0</v>
      </c>
      <c r="FZ22" s="101">
        <v>0</v>
      </c>
      <c r="GA22" s="101">
        <v>0</v>
      </c>
      <c r="GB22" s="101">
        <v>0</v>
      </c>
      <c r="GC22" s="101">
        <v>0</v>
      </c>
      <c r="GD22" s="101">
        <v>0</v>
      </c>
      <c r="GE22" s="101">
        <v>0</v>
      </c>
      <c r="GF22" s="101">
        <v>0</v>
      </c>
      <c r="GG22" s="101">
        <v>0</v>
      </c>
      <c r="GH22" s="101">
        <v>0</v>
      </c>
      <c r="GI22" s="101">
        <v>0</v>
      </c>
      <c r="GJ22" s="101">
        <v>0</v>
      </c>
      <c r="GK22" s="101">
        <v>0</v>
      </c>
      <c r="GL22" s="101">
        <v>0</v>
      </c>
      <c r="GM22" s="160">
        <v>0</v>
      </c>
      <c r="GN22" s="101">
        <v>0</v>
      </c>
      <c r="GO22" s="13">
        <v>0</v>
      </c>
      <c r="GP22" s="424"/>
      <c r="GQ22" s="424"/>
      <c r="GR22" s="424"/>
      <c r="GS22" s="424"/>
      <c r="GT22" s="96"/>
      <c r="GU22" s="326">
        <f t="shared" si="1"/>
        <v>6</v>
      </c>
      <c r="GV22" s="56">
        <v>90</v>
      </c>
      <c r="GW22" s="63">
        <f t="shared" ca="1" si="0"/>
        <v>306</v>
      </c>
      <c r="HA22" s="48" t="s">
        <v>59</v>
      </c>
      <c r="HB22" s="47">
        <v>45948</v>
      </c>
    </row>
    <row r="23" spans="1:210" x14ac:dyDescent="0.25">
      <c r="A23" s="9">
        <v>15</v>
      </c>
      <c r="B23" s="474"/>
      <c r="C23" s="46" t="s">
        <v>61</v>
      </c>
      <c r="D23" s="4" t="s">
        <v>19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  <c r="T23" s="101">
        <v>0</v>
      </c>
      <c r="U23" s="101">
        <v>0</v>
      </c>
      <c r="V23" s="101">
        <v>0</v>
      </c>
      <c r="W23" s="101">
        <v>0</v>
      </c>
      <c r="X23" s="101">
        <v>0</v>
      </c>
      <c r="Y23" s="101">
        <v>0</v>
      </c>
      <c r="Z23" s="101">
        <v>0</v>
      </c>
      <c r="AA23" s="101">
        <v>0</v>
      </c>
      <c r="AB23" s="101">
        <v>0</v>
      </c>
      <c r="AC23" s="101">
        <v>0</v>
      </c>
      <c r="AD23" s="101">
        <v>0</v>
      </c>
      <c r="AE23" s="101">
        <v>0</v>
      </c>
      <c r="AF23" s="101">
        <v>0</v>
      </c>
      <c r="AG23" s="101">
        <v>0</v>
      </c>
      <c r="AH23" s="101">
        <v>0</v>
      </c>
      <c r="AI23" s="101">
        <v>0</v>
      </c>
      <c r="AJ23" s="101">
        <v>0</v>
      </c>
      <c r="AK23" s="101">
        <v>0</v>
      </c>
      <c r="AL23" s="101">
        <v>0</v>
      </c>
      <c r="AM23" s="101">
        <v>0</v>
      </c>
      <c r="AN23" s="101">
        <v>0</v>
      </c>
      <c r="AO23" s="162"/>
      <c r="AP23" s="160">
        <v>0</v>
      </c>
      <c r="AQ23" s="101">
        <v>0</v>
      </c>
      <c r="AR23" s="101">
        <v>0</v>
      </c>
      <c r="AS23" s="101">
        <v>0</v>
      </c>
      <c r="AT23" s="101">
        <v>23</v>
      </c>
      <c r="AU23" s="101">
        <v>0</v>
      </c>
      <c r="AV23" s="101">
        <v>0</v>
      </c>
      <c r="AW23" s="101">
        <v>0</v>
      </c>
      <c r="AX23" s="101">
        <v>0</v>
      </c>
      <c r="AY23" s="101">
        <v>0</v>
      </c>
      <c r="AZ23" s="101">
        <v>0</v>
      </c>
      <c r="BA23" s="101">
        <v>0</v>
      </c>
      <c r="BB23" s="101">
        <v>0</v>
      </c>
      <c r="BC23" s="101">
        <v>0</v>
      </c>
      <c r="BD23" s="101">
        <v>0</v>
      </c>
      <c r="BE23" s="101">
        <v>0</v>
      </c>
      <c r="BF23" s="101">
        <v>0</v>
      </c>
      <c r="BG23" s="101">
        <v>0</v>
      </c>
      <c r="BH23" s="101">
        <v>0</v>
      </c>
      <c r="BI23" s="101">
        <v>0</v>
      </c>
      <c r="BJ23" s="101">
        <v>0</v>
      </c>
      <c r="BK23" s="101">
        <v>0</v>
      </c>
      <c r="BL23" s="101">
        <v>0</v>
      </c>
      <c r="BM23" s="101">
        <v>0</v>
      </c>
      <c r="BN23" s="101">
        <v>0</v>
      </c>
      <c r="BO23" s="101">
        <v>0</v>
      </c>
      <c r="BP23" s="101">
        <v>0</v>
      </c>
      <c r="BQ23" s="101">
        <v>0</v>
      </c>
      <c r="BR23" s="101">
        <v>0</v>
      </c>
      <c r="BS23" s="101">
        <v>0</v>
      </c>
      <c r="BT23" s="101">
        <v>0</v>
      </c>
      <c r="BU23" s="101">
        <v>0</v>
      </c>
      <c r="BV23" s="101">
        <v>0</v>
      </c>
      <c r="BW23" s="101">
        <v>0</v>
      </c>
      <c r="BX23" s="101">
        <v>0</v>
      </c>
      <c r="BY23" s="101">
        <v>0</v>
      </c>
      <c r="BZ23" s="101">
        <v>0</v>
      </c>
      <c r="CA23" s="101">
        <v>0</v>
      </c>
      <c r="CB23" s="101">
        <v>0</v>
      </c>
      <c r="CC23" s="101">
        <v>0</v>
      </c>
      <c r="CD23" s="101">
        <v>0</v>
      </c>
      <c r="CE23" s="101">
        <v>0</v>
      </c>
      <c r="CF23" s="101">
        <v>0</v>
      </c>
      <c r="CG23" s="101">
        <v>0</v>
      </c>
      <c r="CH23" s="101">
        <v>0</v>
      </c>
      <c r="CI23" s="101">
        <v>0</v>
      </c>
      <c r="CJ23" s="101">
        <v>0</v>
      </c>
      <c r="CK23" s="101">
        <v>0</v>
      </c>
      <c r="CL23" s="101">
        <v>0</v>
      </c>
      <c r="CM23" s="101">
        <v>0</v>
      </c>
      <c r="CN23" s="101">
        <v>0</v>
      </c>
      <c r="CO23" s="101">
        <v>0</v>
      </c>
      <c r="CP23" s="101">
        <v>0</v>
      </c>
      <c r="CQ23" s="101">
        <v>0</v>
      </c>
      <c r="CR23" s="101">
        <v>0</v>
      </c>
      <c r="CS23" s="101">
        <v>0</v>
      </c>
      <c r="CT23" s="101">
        <v>0</v>
      </c>
      <c r="CU23" s="101">
        <v>0</v>
      </c>
      <c r="CV23" s="101">
        <v>0</v>
      </c>
      <c r="CW23" s="101">
        <v>0</v>
      </c>
      <c r="CX23" s="101">
        <v>0</v>
      </c>
      <c r="CY23" s="101">
        <v>0</v>
      </c>
      <c r="CZ23" s="101">
        <v>0</v>
      </c>
      <c r="DA23" s="101">
        <v>0</v>
      </c>
      <c r="DB23" s="101">
        <v>0</v>
      </c>
      <c r="DC23" s="101">
        <v>0</v>
      </c>
      <c r="DD23" s="101">
        <v>0</v>
      </c>
      <c r="DE23" s="101">
        <v>0</v>
      </c>
      <c r="DF23" s="101">
        <v>0</v>
      </c>
      <c r="DG23" s="101">
        <v>0</v>
      </c>
      <c r="DH23" s="101">
        <v>0</v>
      </c>
      <c r="DI23" s="101">
        <v>0</v>
      </c>
      <c r="DJ23" s="101">
        <v>0</v>
      </c>
      <c r="DK23" s="101">
        <v>0</v>
      </c>
      <c r="DL23" s="101">
        <v>0</v>
      </c>
      <c r="DM23" s="101">
        <v>0</v>
      </c>
      <c r="DN23" s="101">
        <v>0</v>
      </c>
      <c r="DO23" s="101">
        <v>0</v>
      </c>
      <c r="DP23" s="101">
        <v>0</v>
      </c>
      <c r="DQ23" s="101">
        <v>0</v>
      </c>
      <c r="DR23" s="101">
        <v>0</v>
      </c>
      <c r="DS23" s="101">
        <v>0</v>
      </c>
      <c r="DT23" s="101">
        <v>0</v>
      </c>
      <c r="DU23" s="101">
        <v>0</v>
      </c>
      <c r="DV23" s="101">
        <v>0</v>
      </c>
      <c r="DW23" s="101">
        <v>0</v>
      </c>
      <c r="DX23" s="101">
        <v>0</v>
      </c>
      <c r="DY23" s="101">
        <v>0</v>
      </c>
      <c r="DZ23" s="101">
        <v>0</v>
      </c>
      <c r="EA23" s="101">
        <v>0</v>
      </c>
      <c r="EB23" s="101">
        <v>0</v>
      </c>
      <c r="EC23" s="101">
        <v>0</v>
      </c>
      <c r="ED23" s="160">
        <v>0</v>
      </c>
      <c r="EE23" s="101">
        <v>0</v>
      </c>
      <c r="EF23" s="101">
        <v>0</v>
      </c>
      <c r="EG23" s="101">
        <v>0</v>
      </c>
      <c r="EH23" s="101">
        <v>0</v>
      </c>
      <c r="EI23" s="101">
        <v>0</v>
      </c>
      <c r="EJ23" s="101">
        <v>0</v>
      </c>
      <c r="EK23" s="101">
        <v>0</v>
      </c>
      <c r="EL23" s="101">
        <v>0</v>
      </c>
      <c r="EM23" s="101">
        <v>0</v>
      </c>
      <c r="EN23" s="101">
        <v>0</v>
      </c>
      <c r="EO23" s="101">
        <v>0</v>
      </c>
      <c r="EP23" s="101">
        <v>0</v>
      </c>
      <c r="EQ23" s="101">
        <v>0</v>
      </c>
      <c r="ER23" s="101">
        <v>0</v>
      </c>
      <c r="ES23" s="101">
        <v>0</v>
      </c>
      <c r="ET23" s="101">
        <v>0</v>
      </c>
      <c r="EU23" s="101">
        <v>0</v>
      </c>
      <c r="EV23" s="101">
        <v>0</v>
      </c>
      <c r="EW23" s="101">
        <v>0</v>
      </c>
      <c r="EX23" s="101">
        <v>0</v>
      </c>
      <c r="EY23" s="101">
        <v>0</v>
      </c>
      <c r="EZ23" s="101">
        <v>0</v>
      </c>
      <c r="FA23" s="101">
        <v>0</v>
      </c>
      <c r="FB23" s="101">
        <v>0</v>
      </c>
      <c r="FC23" s="101">
        <v>0</v>
      </c>
      <c r="FD23" s="101">
        <v>0</v>
      </c>
      <c r="FE23" s="101">
        <v>0</v>
      </c>
      <c r="FF23" s="101">
        <v>0</v>
      </c>
      <c r="FG23" s="101">
        <v>0</v>
      </c>
      <c r="FH23" s="73">
        <v>0</v>
      </c>
      <c r="FI23" s="13">
        <v>0</v>
      </c>
      <c r="FJ23" s="13">
        <v>0</v>
      </c>
      <c r="FK23" s="13">
        <v>0</v>
      </c>
      <c r="FL23" s="13">
        <v>0</v>
      </c>
      <c r="FM23" s="101">
        <v>0</v>
      </c>
      <c r="FN23" s="13">
        <v>0</v>
      </c>
      <c r="FO23" s="101">
        <v>0</v>
      </c>
      <c r="FP23" s="101">
        <v>0</v>
      </c>
      <c r="FQ23" s="101">
        <v>0</v>
      </c>
      <c r="FR23" s="101">
        <v>0</v>
      </c>
      <c r="FS23" s="101">
        <v>0</v>
      </c>
      <c r="FT23" s="101">
        <v>0</v>
      </c>
      <c r="FU23" s="101">
        <v>0</v>
      </c>
      <c r="FV23" s="101">
        <v>0</v>
      </c>
      <c r="FW23" s="101">
        <v>0</v>
      </c>
      <c r="FX23" s="101">
        <v>0</v>
      </c>
      <c r="FY23" s="101">
        <v>0</v>
      </c>
      <c r="FZ23" s="101">
        <v>0</v>
      </c>
      <c r="GA23" s="101">
        <v>0</v>
      </c>
      <c r="GB23" s="101">
        <v>0</v>
      </c>
      <c r="GC23" s="101">
        <v>0</v>
      </c>
      <c r="GD23" s="101">
        <v>0</v>
      </c>
      <c r="GE23" s="101">
        <v>0</v>
      </c>
      <c r="GF23" s="101">
        <v>0</v>
      </c>
      <c r="GG23" s="101">
        <v>0</v>
      </c>
      <c r="GH23" s="101">
        <v>0</v>
      </c>
      <c r="GI23" s="101">
        <v>0</v>
      </c>
      <c r="GJ23" s="101">
        <v>0</v>
      </c>
      <c r="GK23" s="101">
        <v>0</v>
      </c>
      <c r="GL23" s="101">
        <v>0</v>
      </c>
      <c r="GM23" s="160">
        <v>0</v>
      </c>
      <c r="GN23" s="101">
        <v>0</v>
      </c>
      <c r="GO23" s="13">
        <v>0</v>
      </c>
      <c r="GP23" s="424"/>
      <c r="GQ23" s="424"/>
      <c r="GR23" s="424"/>
      <c r="GS23" s="424"/>
      <c r="GT23" s="96"/>
      <c r="GU23" s="326">
        <f t="shared" si="1"/>
        <v>23</v>
      </c>
      <c r="GV23" s="56">
        <v>60</v>
      </c>
      <c r="GW23" s="63">
        <f t="shared" ca="1" si="0"/>
        <v>265</v>
      </c>
      <c r="HA23" s="48" t="s">
        <v>38</v>
      </c>
      <c r="HB23" s="47">
        <v>45989</v>
      </c>
    </row>
    <row r="24" spans="1:210" x14ac:dyDescent="0.25">
      <c r="A24" s="2">
        <v>16</v>
      </c>
      <c r="B24" s="474"/>
      <c r="C24" s="10" t="s">
        <v>62</v>
      </c>
      <c r="D24" s="4" t="s">
        <v>19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  <c r="T24" s="101">
        <v>0</v>
      </c>
      <c r="U24" s="101">
        <v>0</v>
      </c>
      <c r="V24" s="101">
        <v>0</v>
      </c>
      <c r="W24" s="101">
        <v>0</v>
      </c>
      <c r="X24" s="101">
        <v>0</v>
      </c>
      <c r="Y24" s="101">
        <v>0</v>
      </c>
      <c r="Z24" s="101">
        <v>0</v>
      </c>
      <c r="AA24" s="101">
        <v>0</v>
      </c>
      <c r="AB24" s="101">
        <v>0</v>
      </c>
      <c r="AC24" s="101">
        <v>0</v>
      </c>
      <c r="AD24" s="101">
        <v>0</v>
      </c>
      <c r="AE24" s="101">
        <v>0</v>
      </c>
      <c r="AF24" s="101">
        <v>0</v>
      </c>
      <c r="AG24" s="101">
        <v>0</v>
      </c>
      <c r="AH24" s="101">
        <v>0</v>
      </c>
      <c r="AI24" s="101">
        <v>0</v>
      </c>
      <c r="AJ24" s="101">
        <v>0</v>
      </c>
      <c r="AK24" s="101">
        <v>0</v>
      </c>
      <c r="AL24" s="101">
        <v>0</v>
      </c>
      <c r="AM24" s="101">
        <v>0</v>
      </c>
      <c r="AN24" s="101">
        <v>0</v>
      </c>
      <c r="AO24" s="162"/>
      <c r="AP24" s="160">
        <v>0</v>
      </c>
      <c r="AQ24" s="101">
        <v>0</v>
      </c>
      <c r="AR24" s="101">
        <v>0</v>
      </c>
      <c r="AS24" s="101">
        <v>0</v>
      </c>
      <c r="AT24" s="101">
        <v>0</v>
      </c>
      <c r="AU24" s="101">
        <v>0</v>
      </c>
      <c r="AV24" s="101">
        <v>0</v>
      </c>
      <c r="AW24" s="101">
        <v>0</v>
      </c>
      <c r="AX24" s="101">
        <v>0</v>
      </c>
      <c r="AY24" s="101">
        <v>0</v>
      </c>
      <c r="AZ24" s="101">
        <v>0</v>
      </c>
      <c r="BA24" s="101">
        <v>0</v>
      </c>
      <c r="BB24" s="101">
        <v>0</v>
      </c>
      <c r="BC24" s="101">
        <v>0</v>
      </c>
      <c r="BD24" s="101">
        <v>0</v>
      </c>
      <c r="BE24" s="101">
        <v>0</v>
      </c>
      <c r="BF24" s="101">
        <v>0</v>
      </c>
      <c r="BG24" s="101">
        <v>0</v>
      </c>
      <c r="BH24" s="101">
        <v>0</v>
      </c>
      <c r="BI24" s="101">
        <v>0</v>
      </c>
      <c r="BJ24" s="101">
        <v>0</v>
      </c>
      <c r="BK24" s="101">
        <v>0</v>
      </c>
      <c r="BL24" s="101">
        <v>0</v>
      </c>
      <c r="BM24" s="101">
        <v>0</v>
      </c>
      <c r="BN24" s="101">
        <v>0</v>
      </c>
      <c r="BO24" s="101">
        <v>0</v>
      </c>
      <c r="BP24" s="101">
        <v>0</v>
      </c>
      <c r="BQ24" s="101">
        <v>0</v>
      </c>
      <c r="BR24" s="101">
        <v>0</v>
      </c>
      <c r="BS24" s="101">
        <v>0</v>
      </c>
      <c r="BT24" s="101">
        <v>0</v>
      </c>
      <c r="BU24" s="101">
        <v>0</v>
      </c>
      <c r="BV24" s="101">
        <v>0</v>
      </c>
      <c r="BW24" s="101">
        <v>0</v>
      </c>
      <c r="BX24" s="101">
        <v>0</v>
      </c>
      <c r="BY24" s="101">
        <v>0</v>
      </c>
      <c r="BZ24" s="101">
        <v>0</v>
      </c>
      <c r="CA24" s="101">
        <v>0</v>
      </c>
      <c r="CB24" s="101">
        <v>0</v>
      </c>
      <c r="CC24" s="101">
        <v>0</v>
      </c>
      <c r="CD24" s="101">
        <v>0</v>
      </c>
      <c r="CE24" s="101">
        <v>0</v>
      </c>
      <c r="CF24" s="101">
        <v>0</v>
      </c>
      <c r="CG24" s="101">
        <v>0</v>
      </c>
      <c r="CH24" s="101">
        <v>0</v>
      </c>
      <c r="CI24" s="101">
        <v>0</v>
      </c>
      <c r="CJ24" s="101">
        <v>0</v>
      </c>
      <c r="CK24" s="101">
        <v>0</v>
      </c>
      <c r="CL24" s="101">
        <v>0</v>
      </c>
      <c r="CM24" s="101">
        <v>0</v>
      </c>
      <c r="CN24" s="101">
        <v>0</v>
      </c>
      <c r="CO24" s="101">
        <v>0</v>
      </c>
      <c r="CP24" s="101">
        <v>0</v>
      </c>
      <c r="CQ24" s="101">
        <v>0</v>
      </c>
      <c r="CR24" s="101">
        <v>0</v>
      </c>
      <c r="CS24" s="101">
        <v>0</v>
      </c>
      <c r="CT24" s="101">
        <v>0</v>
      </c>
      <c r="CU24" s="101">
        <v>0</v>
      </c>
      <c r="CV24" s="101">
        <v>0</v>
      </c>
      <c r="CW24" s="101">
        <v>0</v>
      </c>
      <c r="CX24" s="101">
        <v>0</v>
      </c>
      <c r="CY24" s="101">
        <v>0</v>
      </c>
      <c r="CZ24" s="101">
        <v>0</v>
      </c>
      <c r="DA24" s="101">
        <v>0</v>
      </c>
      <c r="DB24" s="101">
        <v>0</v>
      </c>
      <c r="DC24" s="101">
        <v>0</v>
      </c>
      <c r="DD24" s="101">
        <v>0</v>
      </c>
      <c r="DE24" s="101">
        <v>0</v>
      </c>
      <c r="DF24" s="101">
        <v>0</v>
      </c>
      <c r="DG24" s="101">
        <v>0</v>
      </c>
      <c r="DH24" s="101">
        <v>0</v>
      </c>
      <c r="DI24" s="101">
        <v>0</v>
      </c>
      <c r="DJ24" s="101">
        <v>0</v>
      </c>
      <c r="DK24" s="101">
        <v>0</v>
      </c>
      <c r="DL24" s="101">
        <v>0</v>
      </c>
      <c r="DM24" s="101">
        <v>0</v>
      </c>
      <c r="DN24" s="101">
        <v>0</v>
      </c>
      <c r="DO24" s="101">
        <v>0</v>
      </c>
      <c r="DP24" s="101">
        <v>0</v>
      </c>
      <c r="DQ24" s="101">
        <v>0</v>
      </c>
      <c r="DR24" s="101">
        <v>0</v>
      </c>
      <c r="DS24" s="101">
        <v>0</v>
      </c>
      <c r="DT24" s="101">
        <v>0</v>
      </c>
      <c r="DU24" s="101">
        <v>0</v>
      </c>
      <c r="DV24" s="101">
        <v>0</v>
      </c>
      <c r="DW24" s="101">
        <v>0</v>
      </c>
      <c r="DX24" s="101">
        <v>0</v>
      </c>
      <c r="DY24" s="101">
        <v>0</v>
      </c>
      <c r="DZ24" s="101">
        <v>0</v>
      </c>
      <c r="EA24" s="101">
        <v>0</v>
      </c>
      <c r="EB24" s="101">
        <v>0</v>
      </c>
      <c r="EC24" s="101">
        <v>0</v>
      </c>
      <c r="ED24" s="160">
        <v>0</v>
      </c>
      <c r="EE24" s="101">
        <v>0</v>
      </c>
      <c r="EF24" s="101">
        <v>0</v>
      </c>
      <c r="EG24" s="101">
        <v>0</v>
      </c>
      <c r="EH24" s="101">
        <v>0</v>
      </c>
      <c r="EI24" s="101">
        <v>0</v>
      </c>
      <c r="EJ24" s="101">
        <v>0</v>
      </c>
      <c r="EK24" s="101">
        <v>0</v>
      </c>
      <c r="EL24" s="101">
        <v>0</v>
      </c>
      <c r="EM24" s="101">
        <v>0</v>
      </c>
      <c r="EN24" s="101">
        <v>0</v>
      </c>
      <c r="EO24" s="101">
        <v>0</v>
      </c>
      <c r="EP24" s="101">
        <v>0</v>
      </c>
      <c r="EQ24" s="101">
        <v>0</v>
      </c>
      <c r="ER24" s="101">
        <v>0</v>
      </c>
      <c r="ES24" s="101">
        <v>0</v>
      </c>
      <c r="ET24" s="101">
        <v>0</v>
      </c>
      <c r="EU24" s="101">
        <v>0</v>
      </c>
      <c r="EV24" s="101">
        <v>0</v>
      </c>
      <c r="EW24" s="101">
        <v>0</v>
      </c>
      <c r="EX24" s="101">
        <v>0</v>
      </c>
      <c r="EY24" s="101">
        <v>0</v>
      </c>
      <c r="EZ24" s="101">
        <v>0</v>
      </c>
      <c r="FA24" s="101">
        <v>0</v>
      </c>
      <c r="FB24" s="101">
        <v>0</v>
      </c>
      <c r="FC24" s="101">
        <v>0</v>
      </c>
      <c r="FD24" s="101">
        <v>0</v>
      </c>
      <c r="FE24" s="101">
        <v>0</v>
      </c>
      <c r="FF24" s="101">
        <v>0</v>
      </c>
      <c r="FG24" s="101">
        <v>0</v>
      </c>
      <c r="FH24" s="73">
        <v>0</v>
      </c>
      <c r="FI24" s="13">
        <v>0</v>
      </c>
      <c r="FJ24" s="13">
        <v>0</v>
      </c>
      <c r="FK24" s="13">
        <v>0</v>
      </c>
      <c r="FL24" s="13">
        <v>0</v>
      </c>
      <c r="FM24" s="101">
        <v>0</v>
      </c>
      <c r="FN24" s="13">
        <v>0</v>
      </c>
      <c r="FO24" s="101">
        <v>0</v>
      </c>
      <c r="FP24" s="101">
        <v>0</v>
      </c>
      <c r="FQ24" s="101">
        <v>0</v>
      </c>
      <c r="FR24" s="101">
        <v>0</v>
      </c>
      <c r="FS24" s="101">
        <v>0</v>
      </c>
      <c r="FT24" s="101">
        <v>0</v>
      </c>
      <c r="FU24" s="101">
        <v>0</v>
      </c>
      <c r="FV24" s="101">
        <v>0</v>
      </c>
      <c r="FW24" s="101">
        <v>0</v>
      </c>
      <c r="FX24" s="101">
        <v>0</v>
      </c>
      <c r="FY24" s="101">
        <v>0</v>
      </c>
      <c r="FZ24" s="101">
        <v>0</v>
      </c>
      <c r="GA24" s="101">
        <v>0</v>
      </c>
      <c r="GB24" s="101">
        <v>0</v>
      </c>
      <c r="GC24" s="101">
        <v>0</v>
      </c>
      <c r="GD24" s="101">
        <v>0</v>
      </c>
      <c r="GE24" s="101">
        <v>0</v>
      </c>
      <c r="GF24" s="101">
        <v>0</v>
      </c>
      <c r="GG24" s="101">
        <v>0</v>
      </c>
      <c r="GH24" s="101">
        <v>0</v>
      </c>
      <c r="GI24" s="101">
        <v>0</v>
      </c>
      <c r="GJ24" s="101">
        <v>0</v>
      </c>
      <c r="GK24" s="101">
        <v>0</v>
      </c>
      <c r="GL24" s="101">
        <v>0</v>
      </c>
      <c r="GM24" s="160">
        <v>0</v>
      </c>
      <c r="GN24" s="101">
        <v>0</v>
      </c>
      <c r="GO24" s="13">
        <v>0</v>
      </c>
      <c r="GP24" s="424"/>
      <c r="GQ24" s="424"/>
      <c r="GR24" s="424"/>
      <c r="GS24" s="424"/>
      <c r="GT24" s="96"/>
      <c r="GU24" s="326">
        <f t="shared" si="1"/>
        <v>0</v>
      </c>
      <c r="GV24" s="55">
        <v>90</v>
      </c>
      <c r="GW24" s="52">
        <f t="shared" ca="1" si="0"/>
        <v>246</v>
      </c>
      <c r="HA24" s="48" t="s">
        <v>63</v>
      </c>
      <c r="HB24" s="47">
        <v>46008</v>
      </c>
    </row>
    <row r="25" spans="1:210" x14ac:dyDescent="0.25">
      <c r="A25" s="2">
        <v>17</v>
      </c>
      <c r="B25" s="474"/>
      <c r="C25" s="10" t="s">
        <v>64</v>
      </c>
      <c r="D25" s="4" t="s">
        <v>19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  <c r="W25" s="101">
        <v>0</v>
      </c>
      <c r="X25" s="101">
        <v>0</v>
      </c>
      <c r="Y25" s="101">
        <v>0</v>
      </c>
      <c r="Z25" s="101">
        <v>0</v>
      </c>
      <c r="AA25" s="101">
        <v>0</v>
      </c>
      <c r="AB25" s="101">
        <v>0</v>
      </c>
      <c r="AC25" s="101">
        <v>0</v>
      </c>
      <c r="AD25" s="101">
        <v>0</v>
      </c>
      <c r="AE25" s="101">
        <v>0</v>
      </c>
      <c r="AF25" s="101">
        <v>0</v>
      </c>
      <c r="AG25" s="101">
        <v>0</v>
      </c>
      <c r="AH25" s="101">
        <v>0</v>
      </c>
      <c r="AI25" s="101">
        <v>0</v>
      </c>
      <c r="AJ25" s="101">
        <v>0</v>
      </c>
      <c r="AK25" s="101">
        <v>0</v>
      </c>
      <c r="AL25" s="101">
        <v>0</v>
      </c>
      <c r="AM25" s="101">
        <v>0</v>
      </c>
      <c r="AN25" s="101">
        <v>0</v>
      </c>
      <c r="AO25" s="162"/>
      <c r="AP25" s="160">
        <v>0</v>
      </c>
      <c r="AQ25" s="101">
        <v>0</v>
      </c>
      <c r="AR25" s="101">
        <v>0</v>
      </c>
      <c r="AS25" s="101">
        <v>0</v>
      </c>
      <c r="AT25" s="101">
        <v>0</v>
      </c>
      <c r="AU25" s="101">
        <v>0</v>
      </c>
      <c r="AV25" s="101">
        <v>0</v>
      </c>
      <c r="AW25" s="101">
        <v>0</v>
      </c>
      <c r="AX25" s="101">
        <v>0</v>
      </c>
      <c r="AY25" s="101">
        <v>0</v>
      </c>
      <c r="AZ25" s="101">
        <v>0</v>
      </c>
      <c r="BA25" s="101">
        <v>0</v>
      </c>
      <c r="BB25" s="101">
        <v>0</v>
      </c>
      <c r="BC25" s="101">
        <v>0</v>
      </c>
      <c r="BD25" s="101">
        <v>0</v>
      </c>
      <c r="BE25" s="101">
        <v>0</v>
      </c>
      <c r="BF25" s="101">
        <v>0</v>
      </c>
      <c r="BG25" s="101">
        <v>0</v>
      </c>
      <c r="BH25" s="101">
        <v>0</v>
      </c>
      <c r="BI25" s="101">
        <v>0</v>
      </c>
      <c r="BJ25" s="101">
        <v>0</v>
      </c>
      <c r="BK25" s="101">
        <v>0</v>
      </c>
      <c r="BL25" s="101">
        <v>0</v>
      </c>
      <c r="BM25" s="101">
        <v>0</v>
      </c>
      <c r="BN25" s="101">
        <v>0</v>
      </c>
      <c r="BO25" s="101">
        <v>0</v>
      </c>
      <c r="BP25" s="101">
        <v>0</v>
      </c>
      <c r="BQ25" s="101">
        <v>0</v>
      </c>
      <c r="BR25" s="101">
        <v>0</v>
      </c>
      <c r="BS25" s="101">
        <v>0</v>
      </c>
      <c r="BT25" s="101">
        <v>0</v>
      </c>
      <c r="BU25" s="101">
        <v>0</v>
      </c>
      <c r="BV25" s="101">
        <v>0</v>
      </c>
      <c r="BW25" s="101">
        <v>0</v>
      </c>
      <c r="BX25" s="101">
        <v>0</v>
      </c>
      <c r="BY25" s="101">
        <v>0</v>
      </c>
      <c r="BZ25" s="101">
        <v>0</v>
      </c>
      <c r="CA25" s="101">
        <v>0</v>
      </c>
      <c r="CB25" s="101">
        <v>0</v>
      </c>
      <c r="CC25" s="101">
        <v>0</v>
      </c>
      <c r="CD25" s="101">
        <v>0</v>
      </c>
      <c r="CE25" s="101">
        <v>0</v>
      </c>
      <c r="CF25" s="101">
        <v>0</v>
      </c>
      <c r="CG25" s="101">
        <v>0</v>
      </c>
      <c r="CH25" s="101">
        <v>0</v>
      </c>
      <c r="CI25" s="101">
        <v>0</v>
      </c>
      <c r="CJ25" s="101">
        <v>0</v>
      </c>
      <c r="CK25" s="101">
        <v>0</v>
      </c>
      <c r="CL25" s="101">
        <v>0</v>
      </c>
      <c r="CM25" s="101">
        <v>0</v>
      </c>
      <c r="CN25" s="101">
        <v>0</v>
      </c>
      <c r="CO25" s="101">
        <v>0</v>
      </c>
      <c r="CP25" s="101">
        <v>0</v>
      </c>
      <c r="CQ25" s="101">
        <v>0</v>
      </c>
      <c r="CR25" s="101">
        <v>0</v>
      </c>
      <c r="CS25" s="101">
        <v>0</v>
      </c>
      <c r="CT25" s="101">
        <v>0</v>
      </c>
      <c r="CU25" s="101">
        <v>0</v>
      </c>
      <c r="CV25" s="101">
        <v>0</v>
      </c>
      <c r="CW25" s="101">
        <v>0</v>
      </c>
      <c r="CX25" s="101">
        <v>0</v>
      </c>
      <c r="CY25" s="101">
        <v>0</v>
      </c>
      <c r="CZ25" s="101">
        <v>0</v>
      </c>
      <c r="DA25" s="101">
        <v>0</v>
      </c>
      <c r="DB25" s="101">
        <v>0</v>
      </c>
      <c r="DC25" s="101">
        <v>0</v>
      </c>
      <c r="DD25" s="101">
        <v>0</v>
      </c>
      <c r="DE25" s="101">
        <v>0</v>
      </c>
      <c r="DF25" s="101">
        <v>0</v>
      </c>
      <c r="DG25" s="101">
        <v>0</v>
      </c>
      <c r="DH25" s="101">
        <v>0</v>
      </c>
      <c r="DI25" s="101">
        <v>0</v>
      </c>
      <c r="DJ25" s="101">
        <v>0</v>
      </c>
      <c r="DK25" s="101">
        <v>0</v>
      </c>
      <c r="DL25" s="101">
        <v>0</v>
      </c>
      <c r="DM25" s="101">
        <v>0</v>
      </c>
      <c r="DN25" s="101">
        <v>0</v>
      </c>
      <c r="DO25" s="101">
        <v>0</v>
      </c>
      <c r="DP25" s="101">
        <v>0</v>
      </c>
      <c r="DQ25" s="101">
        <v>0</v>
      </c>
      <c r="DR25" s="101">
        <v>0</v>
      </c>
      <c r="DS25" s="101">
        <v>0</v>
      </c>
      <c r="DT25" s="101">
        <v>0</v>
      </c>
      <c r="DU25" s="101">
        <v>0</v>
      </c>
      <c r="DV25" s="101">
        <v>0</v>
      </c>
      <c r="DW25" s="101">
        <v>0</v>
      </c>
      <c r="DX25" s="101">
        <v>0</v>
      </c>
      <c r="DY25" s="101">
        <v>0</v>
      </c>
      <c r="DZ25" s="101">
        <v>0</v>
      </c>
      <c r="EA25" s="101">
        <v>0</v>
      </c>
      <c r="EB25" s="101">
        <v>0</v>
      </c>
      <c r="EC25" s="101">
        <v>0</v>
      </c>
      <c r="ED25" s="160">
        <v>0</v>
      </c>
      <c r="EE25" s="101">
        <v>0</v>
      </c>
      <c r="EF25" s="101">
        <v>0</v>
      </c>
      <c r="EG25" s="101">
        <v>0</v>
      </c>
      <c r="EH25" s="101">
        <v>0</v>
      </c>
      <c r="EI25" s="101">
        <v>0</v>
      </c>
      <c r="EJ25" s="101">
        <v>0</v>
      </c>
      <c r="EK25" s="101">
        <v>0</v>
      </c>
      <c r="EL25" s="101">
        <v>0</v>
      </c>
      <c r="EM25" s="101">
        <v>0</v>
      </c>
      <c r="EN25" s="101">
        <v>0</v>
      </c>
      <c r="EO25" s="101">
        <v>0</v>
      </c>
      <c r="EP25" s="101">
        <v>0</v>
      </c>
      <c r="EQ25" s="101">
        <v>0</v>
      </c>
      <c r="ER25" s="101">
        <v>0</v>
      </c>
      <c r="ES25" s="101">
        <v>0</v>
      </c>
      <c r="ET25" s="101">
        <v>0</v>
      </c>
      <c r="EU25" s="101">
        <v>0</v>
      </c>
      <c r="EV25" s="101">
        <v>0</v>
      </c>
      <c r="EW25" s="101">
        <v>0</v>
      </c>
      <c r="EX25" s="101">
        <v>0</v>
      </c>
      <c r="EY25" s="101">
        <v>0</v>
      </c>
      <c r="EZ25" s="101">
        <v>0</v>
      </c>
      <c r="FA25" s="101">
        <v>0</v>
      </c>
      <c r="FB25" s="101">
        <v>0</v>
      </c>
      <c r="FC25" s="101">
        <v>0</v>
      </c>
      <c r="FD25" s="101">
        <v>0</v>
      </c>
      <c r="FE25" s="101">
        <v>0</v>
      </c>
      <c r="FF25" s="101">
        <v>0</v>
      </c>
      <c r="FG25" s="101">
        <v>0</v>
      </c>
      <c r="FH25" s="73">
        <v>0</v>
      </c>
      <c r="FI25" s="13">
        <v>0</v>
      </c>
      <c r="FJ25" s="13">
        <v>0</v>
      </c>
      <c r="FK25" s="13">
        <v>0</v>
      </c>
      <c r="FL25" s="13">
        <v>0</v>
      </c>
      <c r="FM25" s="101">
        <v>0</v>
      </c>
      <c r="FN25" s="13">
        <v>0</v>
      </c>
      <c r="FO25" s="101">
        <v>0</v>
      </c>
      <c r="FP25" s="101">
        <v>0</v>
      </c>
      <c r="FQ25" s="101">
        <v>0</v>
      </c>
      <c r="FR25" s="101">
        <v>0</v>
      </c>
      <c r="FS25" s="101">
        <v>0</v>
      </c>
      <c r="FT25" s="101">
        <v>0</v>
      </c>
      <c r="FU25" s="101">
        <v>0</v>
      </c>
      <c r="FV25" s="101">
        <v>0</v>
      </c>
      <c r="FW25" s="101">
        <v>0</v>
      </c>
      <c r="FX25" s="101">
        <v>0</v>
      </c>
      <c r="FY25" s="101">
        <v>0</v>
      </c>
      <c r="FZ25" s="101">
        <v>0</v>
      </c>
      <c r="GA25" s="101">
        <v>0</v>
      </c>
      <c r="GB25" s="101">
        <v>0</v>
      </c>
      <c r="GC25" s="101">
        <v>0</v>
      </c>
      <c r="GD25" s="101">
        <v>0</v>
      </c>
      <c r="GE25" s="101">
        <v>0</v>
      </c>
      <c r="GF25" s="101">
        <v>0</v>
      </c>
      <c r="GG25" s="101">
        <v>0</v>
      </c>
      <c r="GH25" s="101">
        <v>0</v>
      </c>
      <c r="GI25" s="101">
        <v>0</v>
      </c>
      <c r="GJ25" s="101">
        <v>0</v>
      </c>
      <c r="GK25" s="101">
        <v>0</v>
      </c>
      <c r="GL25" s="101">
        <v>0</v>
      </c>
      <c r="GM25" s="160">
        <v>0</v>
      </c>
      <c r="GN25" s="101">
        <v>0</v>
      </c>
      <c r="GO25" s="13">
        <v>0</v>
      </c>
      <c r="GP25" s="424"/>
      <c r="GQ25" s="424"/>
      <c r="GR25" s="424"/>
      <c r="GS25" s="424"/>
      <c r="GT25" s="96"/>
      <c r="GU25" s="326">
        <f t="shared" si="1"/>
        <v>0</v>
      </c>
      <c r="GV25" s="55">
        <v>90</v>
      </c>
      <c r="GW25" s="52">
        <f t="shared" ca="1" si="0"/>
        <v>245</v>
      </c>
      <c r="HA25" s="48" t="s">
        <v>56</v>
      </c>
      <c r="HB25" s="47">
        <v>46009</v>
      </c>
    </row>
    <row r="26" spans="1:210" x14ac:dyDescent="0.25">
      <c r="A26" s="9">
        <v>18</v>
      </c>
      <c r="B26" s="474"/>
      <c r="C26" s="10" t="s">
        <v>65</v>
      </c>
      <c r="D26" s="4" t="s">
        <v>19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101">
        <v>0</v>
      </c>
      <c r="AD26" s="101">
        <v>0</v>
      </c>
      <c r="AE26" s="101">
        <v>0</v>
      </c>
      <c r="AF26" s="101">
        <v>0</v>
      </c>
      <c r="AG26" s="101">
        <v>0</v>
      </c>
      <c r="AH26" s="101">
        <v>0</v>
      </c>
      <c r="AI26" s="101">
        <v>0</v>
      </c>
      <c r="AJ26" s="101">
        <v>0</v>
      </c>
      <c r="AK26" s="101">
        <v>0</v>
      </c>
      <c r="AL26" s="101">
        <v>0</v>
      </c>
      <c r="AM26" s="101">
        <v>0</v>
      </c>
      <c r="AN26" s="101">
        <v>0</v>
      </c>
      <c r="AO26" s="162"/>
      <c r="AP26" s="160">
        <v>0</v>
      </c>
      <c r="AQ26" s="101">
        <v>0</v>
      </c>
      <c r="AR26" s="101">
        <v>0</v>
      </c>
      <c r="AS26" s="101">
        <v>0</v>
      </c>
      <c r="AT26" s="101">
        <v>0</v>
      </c>
      <c r="AU26" s="101">
        <v>0</v>
      </c>
      <c r="AV26" s="101">
        <v>0</v>
      </c>
      <c r="AW26" s="101">
        <v>0</v>
      </c>
      <c r="AX26" s="101">
        <v>0</v>
      </c>
      <c r="AY26" s="122">
        <v>21.5</v>
      </c>
      <c r="AZ26" s="101">
        <v>0</v>
      </c>
      <c r="BA26" s="101">
        <v>0</v>
      </c>
      <c r="BB26" s="101">
        <v>0</v>
      </c>
      <c r="BC26" s="101">
        <v>0</v>
      </c>
      <c r="BD26" s="101">
        <v>0</v>
      </c>
      <c r="BE26" s="101">
        <v>0</v>
      </c>
      <c r="BF26" s="101">
        <v>0</v>
      </c>
      <c r="BG26" s="101">
        <v>0</v>
      </c>
      <c r="BH26" s="101">
        <v>0</v>
      </c>
      <c r="BI26" s="101">
        <v>0</v>
      </c>
      <c r="BJ26" s="101">
        <v>0</v>
      </c>
      <c r="BK26" s="101">
        <v>0</v>
      </c>
      <c r="BL26" s="101">
        <v>0</v>
      </c>
      <c r="BM26" s="101">
        <v>0</v>
      </c>
      <c r="BN26" s="101">
        <v>0</v>
      </c>
      <c r="BO26" s="101">
        <v>0</v>
      </c>
      <c r="BP26" s="101">
        <v>0</v>
      </c>
      <c r="BQ26" s="101">
        <v>0</v>
      </c>
      <c r="BR26" s="101">
        <v>0</v>
      </c>
      <c r="BS26" s="101">
        <v>0</v>
      </c>
      <c r="BT26" s="101">
        <v>0</v>
      </c>
      <c r="BU26" s="101">
        <v>0</v>
      </c>
      <c r="BV26" s="101">
        <v>0</v>
      </c>
      <c r="BW26" s="101">
        <v>0</v>
      </c>
      <c r="BX26" s="101">
        <v>0</v>
      </c>
      <c r="BY26" s="101">
        <v>0</v>
      </c>
      <c r="BZ26" s="101">
        <v>0</v>
      </c>
      <c r="CA26" s="101">
        <v>0</v>
      </c>
      <c r="CB26" s="101">
        <v>0</v>
      </c>
      <c r="CC26" s="101">
        <v>0</v>
      </c>
      <c r="CD26" s="101">
        <v>0</v>
      </c>
      <c r="CE26" s="101">
        <v>0</v>
      </c>
      <c r="CF26" s="101">
        <v>0</v>
      </c>
      <c r="CG26" s="101">
        <v>0</v>
      </c>
      <c r="CH26" s="101">
        <v>0</v>
      </c>
      <c r="CI26" s="101">
        <v>0</v>
      </c>
      <c r="CJ26" s="101">
        <v>0</v>
      </c>
      <c r="CK26" s="101">
        <v>0</v>
      </c>
      <c r="CL26" s="101">
        <v>0</v>
      </c>
      <c r="CM26" s="101">
        <v>0</v>
      </c>
      <c r="CN26" s="101">
        <v>0</v>
      </c>
      <c r="CO26" s="101">
        <v>0</v>
      </c>
      <c r="CP26" s="101">
        <v>0</v>
      </c>
      <c r="CQ26" s="101">
        <v>0</v>
      </c>
      <c r="CR26" s="101">
        <v>0</v>
      </c>
      <c r="CS26" s="101">
        <v>0</v>
      </c>
      <c r="CT26" s="101">
        <v>0</v>
      </c>
      <c r="CU26" s="101">
        <v>0</v>
      </c>
      <c r="CV26" s="101">
        <v>0</v>
      </c>
      <c r="CW26" s="101">
        <v>0</v>
      </c>
      <c r="CX26" s="101">
        <v>0</v>
      </c>
      <c r="CY26" s="101">
        <v>0</v>
      </c>
      <c r="CZ26" s="101">
        <v>0</v>
      </c>
      <c r="DA26" s="101">
        <v>0</v>
      </c>
      <c r="DB26" s="101">
        <v>0</v>
      </c>
      <c r="DC26" s="101">
        <v>0</v>
      </c>
      <c r="DD26" s="101">
        <v>0</v>
      </c>
      <c r="DE26" s="101">
        <v>0</v>
      </c>
      <c r="DF26" s="101">
        <v>0</v>
      </c>
      <c r="DG26" s="101">
        <v>0</v>
      </c>
      <c r="DH26" s="101">
        <v>0</v>
      </c>
      <c r="DI26" s="101">
        <v>0</v>
      </c>
      <c r="DJ26" s="101">
        <v>0</v>
      </c>
      <c r="DK26" s="101">
        <v>0</v>
      </c>
      <c r="DL26" s="101">
        <v>0</v>
      </c>
      <c r="DM26" s="101">
        <v>0</v>
      </c>
      <c r="DN26" s="101">
        <v>0</v>
      </c>
      <c r="DO26" s="101">
        <v>0</v>
      </c>
      <c r="DP26" s="101">
        <v>0</v>
      </c>
      <c r="DQ26" s="101">
        <v>0</v>
      </c>
      <c r="DR26" s="101">
        <v>0</v>
      </c>
      <c r="DS26" s="101">
        <v>0</v>
      </c>
      <c r="DT26" s="101">
        <v>0</v>
      </c>
      <c r="DU26" s="101">
        <v>0</v>
      </c>
      <c r="DV26" s="101">
        <v>0</v>
      </c>
      <c r="DW26" s="101">
        <v>0</v>
      </c>
      <c r="DX26" s="101">
        <v>0</v>
      </c>
      <c r="DY26" s="101">
        <v>0</v>
      </c>
      <c r="DZ26" s="101">
        <v>0</v>
      </c>
      <c r="EA26" s="101">
        <v>0</v>
      </c>
      <c r="EB26" s="101">
        <v>0</v>
      </c>
      <c r="EC26" s="101">
        <v>0</v>
      </c>
      <c r="ED26" s="160">
        <v>0</v>
      </c>
      <c r="EE26" s="101">
        <v>0</v>
      </c>
      <c r="EF26" s="101">
        <v>0</v>
      </c>
      <c r="EG26" s="101">
        <v>0</v>
      </c>
      <c r="EH26" s="101">
        <v>0</v>
      </c>
      <c r="EI26" s="101">
        <v>0</v>
      </c>
      <c r="EJ26" s="101">
        <v>0</v>
      </c>
      <c r="EK26" s="101">
        <v>0</v>
      </c>
      <c r="EL26" s="101">
        <v>0</v>
      </c>
      <c r="EM26" s="101">
        <v>0</v>
      </c>
      <c r="EN26" s="101">
        <v>0</v>
      </c>
      <c r="EO26" s="101">
        <v>0</v>
      </c>
      <c r="EP26" s="101">
        <v>0</v>
      </c>
      <c r="EQ26" s="101">
        <v>0</v>
      </c>
      <c r="ER26" s="101">
        <v>0</v>
      </c>
      <c r="ES26" s="101">
        <v>0</v>
      </c>
      <c r="ET26" s="101">
        <v>0</v>
      </c>
      <c r="EU26" s="101">
        <v>0</v>
      </c>
      <c r="EV26" s="101">
        <v>0</v>
      </c>
      <c r="EW26" s="101">
        <v>0</v>
      </c>
      <c r="EX26" s="101">
        <v>0</v>
      </c>
      <c r="EY26" s="101">
        <v>0</v>
      </c>
      <c r="EZ26" s="101">
        <v>0</v>
      </c>
      <c r="FA26" s="101">
        <v>0</v>
      </c>
      <c r="FB26" s="101">
        <v>0</v>
      </c>
      <c r="FC26" s="101">
        <v>0</v>
      </c>
      <c r="FD26" s="101">
        <v>0</v>
      </c>
      <c r="FE26" s="101">
        <v>0</v>
      </c>
      <c r="FF26" s="101">
        <v>0</v>
      </c>
      <c r="FG26" s="101">
        <v>0</v>
      </c>
      <c r="FH26" s="73">
        <v>0</v>
      </c>
      <c r="FI26" s="13">
        <v>0</v>
      </c>
      <c r="FJ26" s="13">
        <v>0</v>
      </c>
      <c r="FK26" s="13">
        <v>0</v>
      </c>
      <c r="FL26" s="13">
        <v>0</v>
      </c>
      <c r="FM26" s="101">
        <v>0</v>
      </c>
      <c r="FN26" s="13">
        <v>0</v>
      </c>
      <c r="FO26" s="101">
        <v>0</v>
      </c>
      <c r="FP26" s="101">
        <v>0</v>
      </c>
      <c r="FQ26" s="101">
        <v>0</v>
      </c>
      <c r="FR26" s="101">
        <v>0</v>
      </c>
      <c r="FS26" s="101">
        <v>0</v>
      </c>
      <c r="FT26" s="101">
        <v>0</v>
      </c>
      <c r="FU26" s="101">
        <v>0</v>
      </c>
      <c r="FV26" s="101">
        <v>0</v>
      </c>
      <c r="FW26" s="101">
        <v>0</v>
      </c>
      <c r="FX26" s="101">
        <v>0</v>
      </c>
      <c r="FY26" s="101">
        <v>0</v>
      </c>
      <c r="FZ26" s="101">
        <v>0</v>
      </c>
      <c r="GA26" s="101">
        <v>0</v>
      </c>
      <c r="GB26" s="101">
        <v>0</v>
      </c>
      <c r="GC26" s="101">
        <v>0</v>
      </c>
      <c r="GD26" s="101">
        <v>0</v>
      </c>
      <c r="GE26" s="101">
        <v>0</v>
      </c>
      <c r="GF26" s="101">
        <v>0</v>
      </c>
      <c r="GG26" s="101">
        <v>0</v>
      </c>
      <c r="GH26" s="101">
        <v>0</v>
      </c>
      <c r="GI26" s="101">
        <v>0</v>
      </c>
      <c r="GJ26" s="101">
        <v>0</v>
      </c>
      <c r="GK26" s="101">
        <v>0</v>
      </c>
      <c r="GL26" s="101">
        <v>0</v>
      </c>
      <c r="GM26" s="160">
        <v>0</v>
      </c>
      <c r="GN26" s="101">
        <v>0</v>
      </c>
      <c r="GO26" s="13">
        <v>0</v>
      </c>
      <c r="GP26" s="424"/>
      <c r="GQ26" s="424"/>
      <c r="GR26" s="424"/>
      <c r="GS26" s="424"/>
      <c r="GT26" s="96"/>
      <c r="GU26" s="326">
        <f t="shared" si="1"/>
        <v>21.5</v>
      </c>
      <c r="GV26" s="55">
        <v>90</v>
      </c>
      <c r="GW26" s="52">
        <f t="shared" ca="1" si="0"/>
        <v>246</v>
      </c>
      <c r="HA26" s="48" t="s">
        <v>63</v>
      </c>
      <c r="HB26" s="47">
        <v>46008</v>
      </c>
    </row>
    <row r="27" spans="1:210" x14ac:dyDescent="0.25">
      <c r="A27" s="2">
        <v>19</v>
      </c>
      <c r="B27" s="474"/>
      <c r="C27" s="193" t="s">
        <v>67</v>
      </c>
      <c r="D27" s="4" t="s">
        <v>19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  <c r="AA27" s="101">
        <v>0</v>
      </c>
      <c r="AB27" s="101">
        <v>0</v>
      </c>
      <c r="AC27" s="101"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  <c r="AI27" s="101">
        <v>0</v>
      </c>
      <c r="AJ27" s="101">
        <v>0</v>
      </c>
      <c r="AK27" s="101">
        <v>0</v>
      </c>
      <c r="AL27" s="101">
        <v>0</v>
      </c>
      <c r="AM27" s="101">
        <v>0</v>
      </c>
      <c r="AN27" s="101">
        <v>0</v>
      </c>
      <c r="AO27" s="162"/>
      <c r="AP27" s="160">
        <v>0</v>
      </c>
      <c r="AQ27" s="101">
        <v>0</v>
      </c>
      <c r="AR27" s="101">
        <v>0</v>
      </c>
      <c r="AS27" s="101">
        <v>0</v>
      </c>
      <c r="AT27" s="101">
        <v>0</v>
      </c>
      <c r="AU27" s="101">
        <v>0</v>
      </c>
      <c r="AV27" s="101">
        <v>0</v>
      </c>
      <c r="AW27" s="101">
        <v>0</v>
      </c>
      <c r="AX27" s="101">
        <v>0</v>
      </c>
      <c r="AY27" s="122">
        <v>9.5</v>
      </c>
      <c r="AZ27" s="101">
        <v>0</v>
      </c>
      <c r="BA27" s="101">
        <v>0</v>
      </c>
      <c r="BB27" s="101">
        <v>0</v>
      </c>
      <c r="BC27" s="101">
        <v>0</v>
      </c>
      <c r="BD27" s="101">
        <v>0</v>
      </c>
      <c r="BE27" s="101">
        <v>0</v>
      </c>
      <c r="BF27" s="101">
        <v>0</v>
      </c>
      <c r="BG27" s="101">
        <v>0</v>
      </c>
      <c r="BH27" s="101">
        <v>0</v>
      </c>
      <c r="BI27" s="101">
        <v>0</v>
      </c>
      <c r="BJ27" s="101">
        <v>0</v>
      </c>
      <c r="BK27" s="101">
        <v>0</v>
      </c>
      <c r="BL27" s="101">
        <v>0</v>
      </c>
      <c r="BM27" s="101">
        <v>0</v>
      </c>
      <c r="BN27" s="101">
        <v>47</v>
      </c>
      <c r="BO27" s="101">
        <v>0</v>
      </c>
      <c r="BP27" s="101">
        <v>0</v>
      </c>
      <c r="BQ27" s="101">
        <v>0</v>
      </c>
      <c r="BR27" s="101">
        <v>0</v>
      </c>
      <c r="BS27" s="101">
        <v>0</v>
      </c>
      <c r="BT27" s="101">
        <v>0</v>
      </c>
      <c r="BU27" s="101">
        <v>0</v>
      </c>
      <c r="BV27" s="101">
        <v>0</v>
      </c>
      <c r="BW27" s="101">
        <v>0</v>
      </c>
      <c r="BX27" s="101">
        <v>0</v>
      </c>
      <c r="BY27" s="101">
        <v>0</v>
      </c>
      <c r="BZ27" s="101">
        <v>0</v>
      </c>
      <c r="CA27" s="101">
        <v>0</v>
      </c>
      <c r="CB27" s="101">
        <v>0</v>
      </c>
      <c r="CC27" s="101">
        <v>0</v>
      </c>
      <c r="CD27" s="101">
        <v>0</v>
      </c>
      <c r="CE27" s="101">
        <v>0</v>
      </c>
      <c r="CF27" s="101">
        <v>0</v>
      </c>
      <c r="CG27" s="101">
        <v>0</v>
      </c>
      <c r="CH27" s="101">
        <v>0</v>
      </c>
      <c r="CI27" s="101">
        <v>0</v>
      </c>
      <c r="CJ27" s="101">
        <v>0</v>
      </c>
      <c r="CK27" s="101">
        <v>0</v>
      </c>
      <c r="CL27" s="101">
        <v>0</v>
      </c>
      <c r="CM27" s="101">
        <v>0</v>
      </c>
      <c r="CN27" s="101">
        <v>0</v>
      </c>
      <c r="CO27" s="101">
        <v>0</v>
      </c>
      <c r="CP27" s="101">
        <v>0</v>
      </c>
      <c r="CQ27" s="101">
        <v>0</v>
      </c>
      <c r="CR27" s="101">
        <v>0</v>
      </c>
      <c r="CS27" s="101">
        <v>0</v>
      </c>
      <c r="CT27" s="101">
        <v>0</v>
      </c>
      <c r="CU27" s="101">
        <v>0</v>
      </c>
      <c r="CV27" s="101">
        <v>0</v>
      </c>
      <c r="CW27" s="101">
        <v>0</v>
      </c>
      <c r="CX27" s="101">
        <v>0</v>
      </c>
      <c r="CY27" s="101">
        <v>0</v>
      </c>
      <c r="CZ27" s="101">
        <v>0</v>
      </c>
      <c r="DA27" s="101">
        <v>0</v>
      </c>
      <c r="DB27" s="101">
        <v>0</v>
      </c>
      <c r="DC27" s="101">
        <v>0</v>
      </c>
      <c r="DD27" s="101">
        <v>0</v>
      </c>
      <c r="DE27" s="101">
        <v>0</v>
      </c>
      <c r="DF27" s="101">
        <v>0</v>
      </c>
      <c r="DG27" s="101">
        <v>0</v>
      </c>
      <c r="DH27" s="101">
        <v>0</v>
      </c>
      <c r="DI27" s="101">
        <v>0</v>
      </c>
      <c r="DJ27" s="101">
        <v>0</v>
      </c>
      <c r="DK27" s="101">
        <v>0</v>
      </c>
      <c r="DL27" s="101">
        <v>0</v>
      </c>
      <c r="DM27" s="101">
        <v>0</v>
      </c>
      <c r="DN27" s="101">
        <v>0</v>
      </c>
      <c r="DO27" s="101">
        <v>0</v>
      </c>
      <c r="DP27" s="101">
        <v>0</v>
      </c>
      <c r="DQ27" s="101">
        <v>0</v>
      </c>
      <c r="DR27" s="101">
        <v>0</v>
      </c>
      <c r="DS27" s="101">
        <v>0</v>
      </c>
      <c r="DT27" s="101">
        <v>0</v>
      </c>
      <c r="DU27" s="101">
        <v>0</v>
      </c>
      <c r="DV27" s="101">
        <v>0</v>
      </c>
      <c r="DW27" s="101">
        <v>0</v>
      </c>
      <c r="DX27" s="101">
        <v>0</v>
      </c>
      <c r="DY27" s="101">
        <v>0</v>
      </c>
      <c r="DZ27" s="101">
        <v>0</v>
      </c>
      <c r="EA27" s="101">
        <v>0</v>
      </c>
      <c r="EB27" s="101">
        <v>0</v>
      </c>
      <c r="EC27" s="101">
        <v>0</v>
      </c>
      <c r="ED27" s="160">
        <v>0</v>
      </c>
      <c r="EE27" s="101">
        <v>0</v>
      </c>
      <c r="EF27" s="101">
        <v>0</v>
      </c>
      <c r="EG27" s="101">
        <v>0</v>
      </c>
      <c r="EH27" s="101">
        <v>0</v>
      </c>
      <c r="EI27" s="101">
        <v>0</v>
      </c>
      <c r="EJ27" s="101">
        <v>0</v>
      </c>
      <c r="EK27" s="101">
        <v>0</v>
      </c>
      <c r="EL27" s="101">
        <v>0</v>
      </c>
      <c r="EM27" s="101">
        <v>0</v>
      </c>
      <c r="EN27" s="101">
        <v>0</v>
      </c>
      <c r="EO27" s="101">
        <v>0</v>
      </c>
      <c r="EP27" s="101">
        <v>0</v>
      </c>
      <c r="EQ27" s="101">
        <v>0</v>
      </c>
      <c r="ER27" s="101">
        <v>0</v>
      </c>
      <c r="ES27" s="101">
        <v>0</v>
      </c>
      <c r="ET27" s="101">
        <v>0</v>
      </c>
      <c r="EU27" s="101">
        <v>0</v>
      </c>
      <c r="EV27" s="101">
        <v>0</v>
      </c>
      <c r="EW27" s="101">
        <v>0</v>
      </c>
      <c r="EX27" s="101">
        <v>0</v>
      </c>
      <c r="EY27" s="101">
        <v>0</v>
      </c>
      <c r="EZ27" s="101">
        <v>0</v>
      </c>
      <c r="FA27" s="101">
        <v>0</v>
      </c>
      <c r="FB27" s="101">
        <v>0</v>
      </c>
      <c r="FC27" s="101">
        <v>0</v>
      </c>
      <c r="FD27" s="101">
        <v>0</v>
      </c>
      <c r="FE27" s="101">
        <v>0</v>
      </c>
      <c r="FF27" s="101">
        <v>0</v>
      </c>
      <c r="FG27" s="101">
        <v>0</v>
      </c>
      <c r="FH27" s="73">
        <v>0</v>
      </c>
      <c r="FI27" s="13">
        <v>0</v>
      </c>
      <c r="FJ27" s="13">
        <v>0</v>
      </c>
      <c r="FK27" s="13">
        <v>0</v>
      </c>
      <c r="FL27" s="13">
        <v>0</v>
      </c>
      <c r="FM27" s="101">
        <v>0</v>
      </c>
      <c r="FN27" s="13">
        <v>0</v>
      </c>
      <c r="FO27" s="101">
        <v>0</v>
      </c>
      <c r="FP27" s="101">
        <v>0</v>
      </c>
      <c r="FQ27" s="101">
        <v>0</v>
      </c>
      <c r="FR27" s="101">
        <v>0</v>
      </c>
      <c r="FS27" s="101">
        <v>0</v>
      </c>
      <c r="FT27" s="101">
        <v>0</v>
      </c>
      <c r="FU27" s="101">
        <v>0</v>
      </c>
      <c r="FV27" s="101">
        <v>0</v>
      </c>
      <c r="FW27" s="101">
        <v>0</v>
      </c>
      <c r="FX27" s="101">
        <v>0</v>
      </c>
      <c r="FY27" s="101">
        <v>0</v>
      </c>
      <c r="FZ27" s="101">
        <v>0</v>
      </c>
      <c r="GA27" s="101">
        <v>0</v>
      </c>
      <c r="GB27" s="101">
        <v>0</v>
      </c>
      <c r="GC27" s="101">
        <v>0</v>
      </c>
      <c r="GD27" s="101">
        <v>0</v>
      </c>
      <c r="GE27" s="101">
        <v>0</v>
      </c>
      <c r="GF27" s="101">
        <v>0</v>
      </c>
      <c r="GG27" s="101">
        <v>0</v>
      </c>
      <c r="GH27" s="101">
        <v>0</v>
      </c>
      <c r="GI27" s="101">
        <v>0</v>
      </c>
      <c r="GJ27" s="101">
        <v>0</v>
      </c>
      <c r="GK27" s="101">
        <v>0</v>
      </c>
      <c r="GL27" s="101">
        <v>0</v>
      </c>
      <c r="GM27" s="160">
        <v>0</v>
      </c>
      <c r="GN27" s="101">
        <v>0</v>
      </c>
      <c r="GO27" s="13">
        <v>0</v>
      </c>
      <c r="GP27" s="424"/>
      <c r="GQ27" s="424"/>
      <c r="GR27" s="424"/>
      <c r="GS27" s="424"/>
      <c r="GT27" s="96"/>
      <c r="GU27" s="326">
        <f t="shared" si="1"/>
        <v>56.5</v>
      </c>
      <c r="GV27" s="55">
        <v>90</v>
      </c>
      <c r="GW27" s="52">
        <f t="shared" ca="1" si="0"/>
        <v>246</v>
      </c>
      <c r="HA27" s="48" t="s">
        <v>63</v>
      </c>
      <c r="HB27" s="47">
        <v>46008</v>
      </c>
    </row>
    <row r="28" spans="1:210" x14ac:dyDescent="0.25">
      <c r="A28" s="2">
        <v>20</v>
      </c>
      <c r="B28" s="474"/>
      <c r="C28" s="46" t="s">
        <v>68</v>
      </c>
      <c r="D28" s="4" t="s">
        <v>19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  <c r="AA28" s="101">
        <v>0</v>
      </c>
      <c r="AB28" s="101">
        <v>0</v>
      </c>
      <c r="AC28" s="101">
        <v>0</v>
      </c>
      <c r="AD28" s="101">
        <v>0</v>
      </c>
      <c r="AE28" s="101">
        <v>0</v>
      </c>
      <c r="AF28" s="101">
        <v>0</v>
      </c>
      <c r="AG28" s="101">
        <v>0</v>
      </c>
      <c r="AH28" s="101">
        <v>0</v>
      </c>
      <c r="AI28" s="101">
        <v>0</v>
      </c>
      <c r="AJ28" s="101">
        <v>0</v>
      </c>
      <c r="AK28" s="101">
        <v>0</v>
      </c>
      <c r="AL28" s="101">
        <v>0</v>
      </c>
      <c r="AM28" s="101">
        <v>0</v>
      </c>
      <c r="AN28" s="101">
        <v>0</v>
      </c>
      <c r="AO28" s="162"/>
      <c r="AP28" s="160">
        <v>0</v>
      </c>
      <c r="AQ28" s="101">
        <v>0</v>
      </c>
      <c r="AR28" s="101">
        <v>0</v>
      </c>
      <c r="AS28" s="101">
        <v>0</v>
      </c>
      <c r="AT28" s="101">
        <v>0</v>
      </c>
      <c r="AU28" s="101">
        <v>0</v>
      </c>
      <c r="AV28" s="101">
        <v>0</v>
      </c>
      <c r="AW28" s="101">
        <v>0</v>
      </c>
      <c r="AX28" s="101">
        <v>0</v>
      </c>
      <c r="AY28" s="101">
        <v>0</v>
      </c>
      <c r="AZ28" s="101">
        <v>0</v>
      </c>
      <c r="BA28" s="101">
        <v>0</v>
      </c>
      <c r="BB28" s="101">
        <v>0</v>
      </c>
      <c r="BC28" s="101">
        <v>0</v>
      </c>
      <c r="BD28" s="101">
        <v>0</v>
      </c>
      <c r="BE28" s="101">
        <v>0</v>
      </c>
      <c r="BF28" s="101">
        <v>0</v>
      </c>
      <c r="BG28" s="101">
        <v>0</v>
      </c>
      <c r="BH28" s="101">
        <v>0</v>
      </c>
      <c r="BI28" s="101">
        <v>0</v>
      </c>
      <c r="BJ28" s="101">
        <v>0</v>
      </c>
      <c r="BK28" s="101">
        <v>0</v>
      </c>
      <c r="BL28" s="101">
        <v>0</v>
      </c>
      <c r="BM28" s="101">
        <v>0</v>
      </c>
      <c r="BN28" s="101">
        <v>0</v>
      </c>
      <c r="BO28" s="101">
        <v>0</v>
      </c>
      <c r="BP28" s="101">
        <v>0</v>
      </c>
      <c r="BQ28" s="101">
        <v>0</v>
      </c>
      <c r="BR28" s="101">
        <v>0</v>
      </c>
      <c r="BS28" s="101">
        <v>0</v>
      </c>
      <c r="BT28" s="101">
        <v>0</v>
      </c>
      <c r="BU28" s="101">
        <v>0</v>
      </c>
      <c r="BV28" s="101">
        <v>0</v>
      </c>
      <c r="BW28" s="101">
        <v>0</v>
      </c>
      <c r="BX28" s="101">
        <v>0</v>
      </c>
      <c r="BY28" s="101">
        <v>0</v>
      </c>
      <c r="BZ28" s="101">
        <v>0</v>
      </c>
      <c r="CA28" s="101">
        <v>0</v>
      </c>
      <c r="CB28" s="101">
        <v>0</v>
      </c>
      <c r="CC28" s="101">
        <v>0</v>
      </c>
      <c r="CD28" s="101">
        <v>0</v>
      </c>
      <c r="CE28" s="101">
        <v>0</v>
      </c>
      <c r="CF28" s="101">
        <v>0</v>
      </c>
      <c r="CG28" s="101">
        <v>0</v>
      </c>
      <c r="CH28" s="101">
        <v>0</v>
      </c>
      <c r="CI28" s="101">
        <v>0</v>
      </c>
      <c r="CJ28" s="101">
        <v>0</v>
      </c>
      <c r="CK28" s="101">
        <v>0</v>
      </c>
      <c r="CL28" s="101">
        <v>0</v>
      </c>
      <c r="CM28" s="101">
        <v>0</v>
      </c>
      <c r="CN28" s="101">
        <v>0</v>
      </c>
      <c r="CO28" s="101">
        <v>0</v>
      </c>
      <c r="CP28" s="101">
        <v>0</v>
      </c>
      <c r="CQ28" s="101">
        <v>0</v>
      </c>
      <c r="CR28" s="101">
        <v>0</v>
      </c>
      <c r="CS28" s="101">
        <v>0</v>
      </c>
      <c r="CT28" s="101">
        <v>0</v>
      </c>
      <c r="CU28" s="101">
        <v>0</v>
      </c>
      <c r="CV28" s="101">
        <v>0</v>
      </c>
      <c r="CW28" s="101">
        <v>0</v>
      </c>
      <c r="CX28" s="101">
        <v>0</v>
      </c>
      <c r="CY28" s="101">
        <v>0</v>
      </c>
      <c r="CZ28" s="101">
        <v>0</v>
      </c>
      <c r="DA28" s="101">
        <v>0</v>
      </c>
      <c r="DB28" s="101">
        <v>0</v>
      </c>
      <c r="DC28" s="101">
        <v>0</v>
      </c>
      <c r="DD28" s="101">
        <v>0</v>
      </c>
      <c r="DE28" s="101">
        <v>0</v>
      </c>
      <c r="DF28" s="101">
        <v>0</v>
      </c>
      <c r="DG28" s="101">
        <v>0</v>
      </c>
      <c r="DH28" s="101">
        <v>0</v>
      </c>
      <c r="DI28" s="101">
        <v>0</v>
      </c>
      <c r="DJ28" s="101">
        <v>0</v>
      </c>
      <c r="DK28" s="101">
        <v>0</v>
      </c>
      <c r="DL28" s="101">
        <v>0</v>
      </c>
      <c r="DM28" s="101">
        <v>0</v>
      </c>
      <c r="DN28" s="101">
        <v>0</v>
      </c>
      <c r="DO28" s="101">
        <v>0</v>
      </c>
      <c r="DP28" s="101">
        <v>0</v>
      </c>
      <c r="DQ28" s="101">
        <v>0</v>
      </c>
      <c r="DR28" s="101">
        <v>0</v>
      </c>
      <c r="DS28" s="101">
        <v>0</v>
      </c>
      <c r="DT28" s="101">
        <v>0</v>
      </c>
      <c r="DU28" s="101">
        <v>0</v>
      </c>
      <c r="DV28" s="101">
        <v>0</v>
      </c>
      <c r="DW28" s="101">
        <v>0</v>
      </c>
      <c r="DX28" s="101">
        <v>0</v>
      </c>
      <c r="DY28" s="101">
        <v>0</v>
      </c>
      <c r="DZ28" s="101">
        <v>0</v>
      </c>
      <c r="EA28" s="101">
        <v>0</v>
      </c>
      <c r="EB28" s="101">
        <v>0</v>
      </c>
      <c r="EC28" s="101">
        <v>0</v>
      </c>
      <c r="ED28" s="160">
        <v>0</v>
      </c>
      <c r="EE28" s="101">
        <v>0</v>
      </c>
      <c r="EF28" s="101">
        <v>0</v>
      </c>
      <c r="EG28" s="101">
        <v>0</v>
      </c>
      <c r="EH28" s="101">
        <v>0</v>
      </c>
      <c r="EI28" s="101">
        <v>0</v>
      </c>
      <c r="EJ28" s="101">
        <v>0</v>
      </c>
      <c r="EK28" s="101">
        <v>0</v>
      </c>
      <c r="EL28" s="101">
        <v>0</v>
      </c>
      <c r="EM28" s="101">
        <v>0</v>
      </c>
      <c r="EN28" s="101">
        <v>0</v>
      </c>
      <c r="EO28" s="101">
        <v>0</v>
      </c>
      <c r="EP28" s="101">
        <v>0</v>
      </c>
      <c r="EQ28" s="101">
        <v>0</v>
      </c>
      <c r="ER28" s="101">
        <v>0</v>
      </c>
      <c r="ES28" s="101">
        <v>0</v>
      </c>
      <c r="ET28" s="101">
        <v>0</v>
      </c>
      <c r="EU28" s="101">
        <v>0</v>
      </c>
      <c r="EV28" s="101">
        <v>0</v>
      </c>
      <c r="EW28" s="101">
        <v>0</v>
      </c>
      <c r="EX28" s="101">
        <v>0</v>
      </c>
      <c r="EY28" s="101">
        <v>0</v>
      </c>
      <c r="EZ28" s="101">
        <v>0</v>
      </c>
      <c r="FA28" s="101">
        <v>0</v>
      </c>
      <c r="FB28" s="101">
        <v>0</v>
      </c>
      <c r="FC28" s="101">
        <v>0</v>
      </c>
      <c r="FD28" s="101">
        <v>0</v>
      </c>
      <c r="FE28" s="101">
        <v>0</v>
      </c>
      <c r="FF28" s="101">
        <v>0</v>
      </c>
      <c r="FG28" s="101">
        <v>0</v>
      </c>
      <c r="FH28" s="73">
        <v>0</v>
      </c>
      <c r="FI28" s="13">
        <v>0</v>
      </c>
      <c r="FJ28" s="13">
        <v>0</v>
      </c>
      <c r="FK28" s="13">
        <v>0</v>
      </c>
      <c r="FL28" s="13">
        <v>0</v>
      </c>
      <c r="FM28" s="101">
        <v>0</v>
      </c>
      <c r="FN28" s="13">
        <v>0</v>
      </c>
      <c r="FO28" s="101">
        <v>0</v>
      </c>
      <c r="FP28" s="101">
        <v>0</v>
      </c>
      <c r="FQ28" s="101">
        <v>0</v>
      </c>
      <c r="FR28" s="101">
        <v>0</v>
      </c>
      <c r="FS28" s="101">
        <v>0</v>
      </c>
      <c r="FT28" s="101">
        <v>0</v>
      </c>
      <c r="FU28" s="101">
        <v>0</v>
      </c>
      <c r="FV28" s="101">
        <v>0</v>
      </c>
      <c r="FW28" s="101">
        <v>0</v>
      </c>
      <c r="FX28" s="101">
        <v>0</v>
      </c>
      <c r="FY28" s="101">
        <v>0</v>
      </c>
      <c r="FZ28" s="101">
        <v>0</v>
      </c>
      <c r="GA28" s="101">
        <v>0</v>
      </c>
      <c r="GB28" s="101">
        <v>0</v>
      </c>
      <c r="GC28" s="101">
        <v>0</v>
      </c>
      <c r="GD28" s="101">
        <v>0</v>
      </c>
      <c r="GE28" s="101">
        <v>0</v>
      </c>
      <c r="GF28" s="101">
        <v>0</v>
      </c>
      <c r="GG28" s="101">
        <v>0</v>
      </c>
      <c r="GH28" s="101">
        <v>0</v>
      </c>
      <c r="GI28" s="101">
        <v>0</v>
      </c>
      <c r="GJ28" s="101">
        <v>0</v>
      </c>
      <c r="GK28" s="101">
        <v>0</v>
      </c>
      <c r="GL28" s="101">
        <v>0</v>
      </c>
      <c r="GM28" s="160">
        <v>0</v>
      </c>
      <c r="GN28" s="101">
        <v>0</v>
      </c>
      <c r="GO28" s="13">
        <v>0</v>
      </c>
      <c r="GP28" s="424"/>
      <c r="GQ28" s="424"/>
      <c r="GR28" s="424"/>
      <c r="GS28" s="424"/>
      <c r="GT28" s="96"/>
      <c r="GU28" s="326">
        <f t="shared" si="1"/>
        <v>0</v>
      </c>
      <c r="GV28" s="56">
        <v>60</v>
      </c>
      <c r="GW28" s="63">
        <f t="shared" ca="1" si="0"/>
        <v>296</v>
      </c>
      <c r="HA28" s="48" t="s">
        <v>37</v>
      </c>
      <c r="HB28" s="47">
        <v>45958</v>
      </c>
    </row>
    <row r="29" spans="1:210" ht="15.75" thickBot="1" x14ac:dyDescent="0.3">
      <c r="A29" s="9">
        <v>21</v>
      </c>
      <c r="B29" s="474"/>
      <c r="C29" s="46" t="s">
        <v>69</v>
      </c>
      <c r="D29" s="4" t="s">
        <v>19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01">
        <v>0</v>
      </c>
      <c r="AA29" s="101">
        <v>0</v>
      </c>
      <c r="AB29" s="101">
        <v>0</v>
      </c>
      <c r="AC29" s="101">
        <v>0</v>
      </c>
      <c r="AD29" s="101">
        <v>0</v>
      </c>
      <c r="AE29" s="101">
        <v>0</v>
      </c>
      <c r="AF29" s="101">
        <v>0</v>
      </c>
      <c r="AG29" s="101">
        <v>0</v>
      </c>
      <c r="AH29" s="101">
        <v>0</v>
      </c>
      <c r="AI29" s="101">
        <v>0</v>
      </c>
      <c r="AJ29" s="101">
        <v>0</v>
      </c>
      <c r="AK29" s="101">
        <v>0</v>
      </c>
      <c r="AL29" s="101">
        <v>0</v>
      </c>
      <c r="AM29" s="101">
        <v>0</v>
      </c>
      <c r="AN29" s="101">
        <v>0</v>
      </c>
      <c r="AO29" s="162"/>
      <c r="AP29" s="160">
        <v>0</v>
      </c>
      <c r="AQ29" s="101">
        <v>0</v>
      </c>
      <c r="AR29" s="101">
        <v>0</v>
      </c>
      <c r="AS29" s="101">
        <v>0</v>
      </c>
      <c r="AT29" s="101">
        <v>0</v>
      </c>
      <c r="AU29" s="101">
        <v>0</v>
      </c>
      <c r="AV29" s="101">
        <v>0</v>
      </c>
      <c r="AW29" s="101">
        <v>0</v>
      </c>
      <c r="AX29" s="101">
        <v>0</v>
      </c>
      <c r="AY29" s="122">
        <v>45</v>
      </c>
      <c r="AZ29" s="101">
        <v>0</v>
      </c>
      <c r="BA29" s="101">
        <v>0</v>
      </c>
      <c r="BB29" s="101">
        <v>0</v>
      </c>
      <c r="BC29" s="101">
        <v>0</v>
      </c>
      <c r="BD29" s="101">
        <v>0</v>
      </c>
      <c r="BE29" s="101">
        <v>0</v>
      </c>
      <c r="BF29" s="101">
        <v>0</v>
      </c>
      <c r="BG29" s="101">
        <v>0</v>
      </c>
      <c r="BH29" s="101">
        <v>0</v>
      </c>
      <c r="BI29" s="101">
        <v>0</v>
      </c>
      <c r="BJ29" s="101">
        <v>0</v>
      </c>
      <c r="BK29" s="101">
        <v>0</v>
      </c>
      <c r="BL29" s="101">
        <v>0</v>
      </c>
      <c r="BM29" s="101">
        <v>0</v>
      </c>
      <c r="BN29" s="101">
        <v>0</v>
      </c>
      <c r="BO29" s="101">
        <v>0</v>
      </c>
      <c r="BP29" s="101">
        <v>0</v>
      </c>
      <c r="BQ29" s="101">
        <v>0</v>
      </c>
      <c r="BR29" s="101">
        <v>0</v>
      </c>
      <c r="BS29" s="101">
        <v>0</v>
      </c>
      <c r="BT29" s="101">
        <v>0</v>
      </c>
      <c r="BU29" s="101">
        <v>0</v>
      </c>
      <c r="BV29" s="101">
        <v>0</v>
      </c>
      <c r="BW29" s="101">
        <v>0</v>
      </c>
      <c r="BX29" s="101">
        <v>0</v>
      </c>
      <c r="BY29" s="101">
        <v>0</v>
      </c>
      <c r="BZ29" s="101">
        <v>0</v>
      </c>
      <c r="CA29" s="101">
        <v>0</v>
      </c>
      <c r="CB29" s="101">
        <v>0</v>
      </c>
      <c r="CC29" s="101">
        <v>0</v>
      </c>
      <c r="CD29" s="101">
        <v>0</v>
      </c>
      <c r="CE29" s="101">
        <v>0</v>
      </c>
      <c r="CF29" s="101">
        <v>0</v>
      </c>
      <c r="CG29" s="101">
        <v>0</v>
      </c>
      <c r="CH29" s="101">
        <v>0</v>
      </c>
      <c r="CI29" s="101">
        <v>0</v>
      </c>
      <c r="CJ29" s="101">
        <v>0</v>
      </c>
      <c r="CK29" s="101">
        <v>0</v>
      </c>
      <c r="CL29" s="101">
        <v>0</v>
      </c>
      <c r="CM29" s="101">
        <v>0</v>
      </c>
      <c r="CN29" s="101">
        <v>0</v>
      </c>
      <c r="CO29" s="101">
        <v>0</v>
      </c>
      <c r="CP29" s="101">
        <v>0</v>
      </c>
      <c r="CQ29" s="101">
        <v>0</v>
      </c>
      <c r="CR29" s="101">
        <v>0</v>
      </c>
      <c r="CS29" s="101">
        <v>0</v>
      </c>
      <c r="CT29" s="101">
        <v>0</v>
      </c>
      <c r="CU29" s="101">
        <v>0</v>
      </c>
      <c r="CV29" s="101">
        <v>0</v>
      </c>
      <c r="CW29" s="101">
        <v>0</v>
      </c>
      <c r="CX29" s="101">
        <v>0</v>
      </c>
      <c r="CY29" s="101">
        <v>0</v>
      </c>
      <c r="CZ29" s="101">
        <v>0</v>
      </c>
      <c r="DA29" s="101">
        <v>0</v>
      </c>
      <c r="DB29" s="101">
        <v>0</v>
      </c>
      <c r="DC29" s="101">
        <v>0</v>
      </c>
      <c r="DD29" s="101">
        <v>0</v>
      </c>
      <c r="DE29" s="101">
        <v>0</v>
      </c>
      <c r="DF29" s="101">
        <v>0</v>
      </c>
      <c r="DG29" s="101">
        <v>0</v>
      </c>
      <c r="DH29" s="101">
        <v>0</v>
      </c>
      <c r="DI29" s="101">
        <v>0</v>
      </c>
      <c r="DJ29" s="101">
        <v>0</v>
      </c>
      <c r="DK29" s="101">
        <v>0</v>
      </c>
      <c r="DL29" s="101">
        <v>0</v>
      </c>
      <c r="DM29" s="101">
        <v>0</v>
      </c>
      <c r="DN29" s="101">
        <v>0</v>
      </c>
      <c r="DO29" s="101">
        <v>0</v>
      </c>
      <c r="DP29" s="101">
        <v>0</v>
      </c>
      <c r="DQ29" s="101">
        <v>0</v>
      </c>
      <c r="DR29" s="101">
        <v>0</v>
      </c>
      <c r="DS29" s="101">
        <v>0</v>
      </c>
      <c r="DT29" s="101">
        <v>0</v>
      </c>
      <c r="DU29" s="101">
        <v>0</v>
      </c>
      <c r="DV29" s="101">
        <v>0</v>
      </c>
      <c r="DW29" s="101">
        <v>0</v>
      </c>
      <c r="DX29" s="101">
        <v>0</v>
      </c>
      <c r="DY29" s="101">
        <v>0</v>
      </c>
      <c r="DZ29" s="101">
        <v>0</v>
      </c>
      <c r="EA29" s="101">
        <v>0</v>
      </c>
      <c r="EB29" s="101">
        <v>0</v>
      </c>
      <c r="EC29" s="101">
        <v>0</v>
      </c>
      <c r="ED29" s="160">
        <v>0</v>
      </c>
      <c r="EE29" s="101">
        <v>0</v>
      </c>
      <c r="EF29" s="101">
        <v>0</v>
      </c>
      <c r="EG29" s="101">
        <v>0</v>
      </c>
      <c r="EH29" s="101">
        <v>0</v>
      </c>
      <c r="EI29" s="101">
        <v>0</v>
      </c>
      <c r="EJ29" s="101">
        <v>0</v>
      </c>
      <c r="EK29" s="101">
        <v>0</v>
      </c>
      <c r="EL29" s="101">
        <v>0</v>
      </c>
      <c r="EM29" s="101">
        <v>0</v>
      </c>
      <c r="EN29" s="101">
        <v>0</v>
      </c>
      <c r="EO29" s="101">
        <v>0</v>
      </c>
      <c r="EP29" s="101">
        <v>0</v>
      </c>
      <c r="EQ29" s="101">
        <v>0</v>
      </c>
      <c r="ER29" s="101">
        <v>0</v>
      </c>
      <c r="ES29" s="101">
        <v>0</v>
      </c>
      <c r="ET29" s="101">
        <v>0</v>
      </c>
      <c r="EU29" s="101">
        <v>0</v>
      </c>
      <c r="EV29" s="101">
        <v>0</v>
      </c>
      <c r="EW29" s="101">
        <v>0</v>
      </c>
      <c r="EX29" s="101">
        <v>0</v>
      </c>
      <c r="EY29" s="101">
        <v>0</v>
      </c>
      <c r="EZ29" s="101">
        <v>0</v>
      </c>
      <c r="FA29" s="101">
        <v>0</v>
      </c>
      <c r="FB29" s="101">
        <v>0</v>
      </c>
      <c r="FC29" s="101">
        <v>0</v>
      </c>
      <c r="FD29" s="101">
        <v>0</v>
      </c>
      <c r="FE29" s="101">
        <v>0</v>
      </c>
      <c r="FF29" s="101">
        <v>0</v>
      </c>
      <c r="FG29" s="101">
        <v>0</v>
      </c>
      <c r="FH29" s="403">
        <v>0</v>
      </c>
      <c r="FI29" s="404">
        <v>0</v>
      </c>
      <c r="FJ29" s="404">
        <v>0</v>
      </c>
      <c r="FK29" s="404">
        <v>0</v>
      </c>
      <c r="FL29" s="404">
        <v>0</v>
      </c>
      <c r="FM29" s="101">
        <v>0</v>
      </c>
      <c r="FN29" s="404">
        <v>0</v>
      </c>
      <c r="FO29" s="101">
        <v>0</v>
      </c>
      <c r="FP29" s="101">
        <v>0</v>
      </c>
      <c r="FQ29" s="101">
        <v>0</v>
      </c>
      <c r="FR29" s="101">
        <v>0</v>
      </c>
      <c r="FS29" s="101">
        <v>0</v>
      </c>
      <c r="FT29" s="101">
        <v>0</v>
      </c>
      <c r="FU29" s="101">
        <v>0</v>
      </c>
      <c r="FV29" s="101">
        <v>0</v>
      </c>
      <c r="FW29" s="101">
        <v>0</v>
      </c>
      <c r="FX29" s="101">
        <v>0</v>
      </c>
      <c r="FY29" s="101">
        <v>0</v>
      </c>
      <c r="FZ29" s="101">
        <v>0</v>
      </c>
      <c r="GA29" s="101">
        <v>0</v>
      </c>
      <c r="GB29" s="101">
        <v>0</v>
      </c>
      <c r="GC29" s="101">
        <v>0</v>
      </c>
      <c r="GD29" s="101">
        <v>0</v>
      </c>
      <c r="GE29" s="101">
        <v>0</v>
      </c>
      <c r="GF29" s="101">
        <v>0</v>
      </c>
      <c r="GG29" s="101">
        <v>0</v>
      </c>
      <c r="GH29" s="101">
        <v>0</v>
      </c>
      <c r="GI29" s="101">
        <v>0</v>
      </c>
      <c r="GJ29" s="101">
        <v>0</v>
      </c>
      <c r="GK29" s="101">
        <v>0</v>
      </c>
      <c r="GL29" s="101">
        <v>0</v>
      </c>
      <c r="GM29" s="160">
        <v>0</v>
      </c>
      <c r="GN29" s="101">
        <v>0</v>
      </c>
      <c r="GO29" s="13">
        <v>0</v>
      </c>
      <c r="GP29" s="424"/>
      <c r="GQ29" s="424"/>
      <c r="GR29" s="424"/>
      <c r="GS29" s="424"/>
      <c r="GT29" s="96"/>
      <c r="GU29" s="326">
        <f t="shared" si="1"/>
        <v>45</v>
      </c>
      <c r="GV29" s="186">
        <v>90</v>
      </c>
      <c r="GW29" s="187">
        <f t="shared" ca="1" si="0"/>
        <v>252</v>
      </c>
      <c r="HA29" s="48" t="s">
        <v>66</v>
      </c>
      <c r="HB29" s="47">
        <v>46002</v>
      </c>
    </row>
    <row r="30" spans="1:210" s="7" customFormat="1" ht="24.75" customHeight="1" thickBot="1" x14ac:dyDescent="0.3">
      <c r="A30" s="15"/>
      <c r="B30" s="15"/>
      <c r="C30" s="16" t="s">
        <v>12</v>
      </c>
      <c r="D30" s="17" t="s">
        <v>19</v>
      </c>
      <c r="E30" s="20">
        <f t="shared" ref="E30:L30" si="2">SUM(E9:E29)</f>
        <v>0</v>
      </c>
      <c r="F30" s="20">
        <f t="shared" si="2"/>
        <v>0</v>
      </c>
      <c r="G30" s="20">
        <f t="shared" si="2"/>
        <v>0</v>
      </c>
      <c r="H30" s="20">
        <f t="shared" si="2"/>
        <v>0</v>
      </c>
      <c r="I30" s="20">
        <f t="shared" si="2"/>
        <v>0</v>
      </c>
      <c r="J30" s="20">
        <f t="shared" si="2"/>
        <v>0</v>
      </c>
      <c r="K30" s="20">
        <f t="shared" si="2"/>
        <v>0</v>
      </c>
      <c r="L30" s="20">
        <f t="shared" si="2"/>
        <v>0</v>
      </c>
      <c r="M30" s="20">
        <f t="shared" ref="M30:AN30" si="3">SUM(M9:M29)</f>
        <v>0</v>
      </c>
      <c r="N30" s="20">
        <f t="shared" si="3"/>
        <v>0</v>
      </c>
      <c r="O30" s="20">
        <f t="shared" si="3"/>
        <v>52.3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62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38</v>
      </c>
      <c r="AD30" s="20">
        <f t="shared" si="3"/>
        <v>27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159">
        <f t="shared" si="3"/>
        <v>15.5</v>
      </c>
      <c r="AO30" s="177"/>
      <c r="AP30" s="83">
        <f t="shared" ref="AP30:BD30" si="4">SUM(AP9:AP29)</f>
        <v>0</v>
      </c>
      <c r="AQ30" s="20">
        <f t="shared" si="4"/>
        <v>0</v>
      </c>
      <c r="AR30" s="20">
        <f t="shared" si="4"/>
        <v>0</v>
      </c>
      <c r="AS30" s="20">
        <f t="shared" si="4"/>
        <v>33</v>
      </c>
      <c r="AT30" s="20">
        <f t="shared" si="4"/>
        <v>52</v>
      </c>
      <c r="AU30" s="20">
        <f t="shared" si="4"/>
        <v>0</v>
      </c>
      <c r="AV30" s="20">
        <f t="shared" si="4"/>
        <v>0</v>
      </c>
      <c r="AW30" s="20">
        <f t="shared" si="4"/>
        <v>6</v>
      </c>
      <c r="AX30" s="20">
        <f t="shared" si="4"/>
        <v>0</v>
      </c>
      <c r="AY30" s="20">
        <f t="shared" si="4"/>
        <v>76</v>
      </c>
      <c r="AZ30" s="20">
        <f t="shared" si="4"/>
        <v>0</v>
      </c>
      <c r="BA30" s="20">
        <f t="shared" si="4"/>
        <v>0</v>
      </c>
      <c r="BB30" s="20">
        <f t="shared" si="4"/>
        <v>0</v>
      </c>
      <c r="BC30" s="20">
        <f t="shared" si="4"/>
        <v>0</v>
      </c>
      <c r="BD30" s="20">
        <f t="shared" si="4"/>
        <v>0</v>
      </c>
      <c r="BE30" s="20">
        <f t="shared" ref="BE30:BO30" si="5">SUM(BE9:BE29)</f>
        <v>0</v>
      </c>
      <c r="BF30" s="20">
        <f t="shared" si="5"/>
        <v>0</v>
      </c>
      <c r="BG30" s="20">
        <f t="shared" si="5"/>
        <v>0</v>
      </c>
      <c r="BH30" s="20">
        <f t="shared" si="5"/>
        <v>0</v>
      </c>
      <c r="BI30" s="20">
        <f t="shared" si="5"/>
        <v>0</v>
      </c>
      <c r="BJ30" s="20">
        <f t="shared" si="5"/>
        <v>0</v>
      </c>
      <c r="BK30" s="20">
        <f t="shared" si="5"/>
        <v>0</v>
      </c>
      <c r="BL30" s="20">
        <f t="shared" si="5"/>
        <v>0</v>
      </c>
      <c r="BM30" s="20">
        <f t="shared" si="5"/>
        <v>0</v>
      </c>
      <c r="BN30" s="20">
        <f t="shared" si="5"/>
        <v>47</v>
      </c>
      <c r="BO30" s="20">
        <f t="shared" si="5"/>
        <v>0</v>
      </c>
      <c r="BP30" s="20">
        <f t="shared" ref="BP30:EA30" si="6">SUM(BP9:BP29)</f>
        <v>0</v>
      </c>
      <c r="BQ30" s="20">
        <f t="shared" si="6"/>
        <v>0</v>
      </c>
      <c r="BR30" s="20">
        <f t="shared" si="6"/>
        <v>0</v>
      </c>
      <c r="BS30" s="20">
        <f t="shared" si="6"/>
        <v>0</v>
      </c>
      <c r="BT30" s="20">
        <f t="shared" si="6"/>
        <v>0</v>
      </c>
      <c r="BU30" s="20">
        <f t="shared" si="6"/>
        <v>0</v>
      </c>
      <c r="BV30" s="20">
        <f t="shared" si="6"/>
        <v>0</v>
      </c>
      <c r="BW30" s="20">
        <f t="shared" si="6"/>
        <v>0</v>
      </c>
      <c r="BX30" s="20">
        <f t="shared" si="6"/>
        <v>0</v>
      </c>
      <c r="BY30" s="20">
        <f t="shared" si="6"/>
        <v>0</v>
      </c>
      <c r="BZ30" s="20">
        <f t="shared" si="6"/>
        <v>0</v>
      </c>
      <c r="CA30" s="20">
        <f t="shared" si="6"/>
        <v>0</v>
      </c>
      <c r="CB30" s="20">
        <f t="shared" si="6"/>
        <v>0</v>
      </c>
      <c r="CC30" s="20">
        <f t="shared" si="6"/>
        <v>0</v>
      </c>
      <c r="CD30" s="20">
        <f t="shared" si="6"/>
        <v>0</v>
      </c>
      <c r="CE30" s="20">
        <f t="shared" si="6"/>
        <v>0</v>
      </c>
      <c r="CF30" s="20">
        <f t="shared" si="6"/>
        <v>0</v>
      </c>
      <c r="CG30" s="20">
        <f t="shared" si="6"/>
        <v>0</v>
      </c>
      <c r="CH30" s="20">
        <f t="shared" si="6"/>
        <v>0</v>
      </c>
      <c r="CI30" s="20">
        <f t="shared" si="6"/>
        <v>0</v>
      </c>
      <c r="CJ30" s="20">
        <f t="shared" si="6"/>
        <v>0</v>
      </c>
      <c r="CK30" s="20">
        <f t="shared" si="6"/>
        <v>0</v>
      </c>
      <c r="CL30" s="20">
        <f t="shared" si="6"/>
        <v>0</v>
      </c>
      <c r="CM30" s="20">
        <f t="shared" si="6"/>
        <v>0</v>
      </c>
      <c r="CN30" s="20">
        <f t="shared" si="6"/>
        <v>0</v>
      </c>
      <c r="CO30" s="20">
        <f t="shared" si="6"/>
        <v>0</v>
      </c>
      <c r="CP30" s="20">
        <f t="shared" si="6"/>
        <v>0</v>
      </c>
      <c r="CQ30" s="20">
        <f t="shared" si="6"/>
        <v>0</v>
      </c>
      <c r="CR30" s="20">
        <f t="shared" si="6"/>
        <v>0</v>
      </c>
      <c r="CS30" s="20">
        <f t="shared" si="6"/>
        <v>0</v>
      </c>
      <c r="CT30" s="20">
        <f t="shared" si="6"/>
        <v>0</v>
      </c>
      <c r="CU30" s="20">
        <f t="shared" si="6"/>
        <v>0</v>
      </c>
      <c r="CV30" s="20">
        <f t="shared" si="6"/>
        <v>0</v>
      </c>
      <c r="CW30" s="20">
        <f t="shared" si="6"/>
        <v>0</v>
      </c>
      <c r="CX30" s="20">
        <f t="shared" si="6"/>
        <v>0</v>
      </c>
      <c r="CY30" s="20">
        <f t="shared" si="6"/>
        <v>0</v>
      </c>
      <c r="CZ30" s="20">
        <f t="shared" si="6"/>
        <v>0</v>
      </c>
      <c r="DA30" s="20">
        <f t="shared" si="6"/>
        <v>0</v>
      </c>
      <c r="DB30" s="20">
        <f t="shared" si="6"/>
        <v>0</v>
      </c>
      <c r="DC30" s="20">
        <f t="shared" si="6"/>
        <v>0</v>
      </c>
      <c r="DD30" s="20">
        <f t="shared" si="6"/>
        <v>0</v>
      </c>
      <c r="DE30" s="20">
        <f t="shared" si="6"/>
        <v>0</v>
      </c>
      <c r="DF30" s="20">
        <f t="shared" si="6"/>
        <v>0</v>
      </c>
      <c r="DG30" s="20">
        <f t="shared" si="6"/>
        <v>0</v>
      </c>
      <c r="DH30" s="20">
        <f t="shared" si="6"/>
        <v>0</v>
      </c>
      <c r="DI30" s="20">
        <f t="shared" si="6"/>
        <v>0</v>
      </c>
      <c r="DJ30" s="20">
        <f t="shared" si="6"/>
        <v>0</v>
      </c>
      <c r="DK30" s="20">
        <f t="shared" si="6"/>
        <v>0</v>
      </c>
      <c r="DL30" s="20">
        <f t="shared" si="6"/>
        <v>0</v>
      </c>
      <c r="DM30" s="20">
        <f t="shared" si="6"/>
        <v>0</v>
      </c>
      <c r="DN30" s="20">
        <f t="shared" si="6"/>
        <v>0</v>
      </c>
      <c r="DO30" s="20">
        <f t="shared" si="6"/>
        <v>0</v>
      </c>
      <c r="DP30" s="20">
        <f t="shared" si="6"/>
        <v>0</v>
      </c>
      <c r="DQ30" s="20">
        <f t="shared" si="6"/>
        <v>0</v>
      </c>
      <c r="DR30" s="20">
        <f t="shared" si="6"/>
        <v>0</v>
      </c>
      <c r="DS30" s="20">
        <f t="shared" si="6"/>
        <v>0</v>
      </c>
      <c r="DT30" s="20">
        <f t="shared" si="6"/>
        <v>0</v>
      </c>
      <c r="DU30" s="20">
        <f t="shared" si="6"/>
        <v>0</v>
      </c>
      <c r="DV30" s="20">
        <f t="shared" si="6"/>
        <v>0</v>
      </c>
      <c r="DW30" s="20">
        <f t="shared" si="6"/>
        <v>0</v>
      </c>
      <c r="DX30" s="20">
        <f t="shared" si="6"/>
        <v>0</v>
      </c>
      <c r="DY30" s="20">
        <f t="shared" si="6"/>
        <v>0</v>
      </c>
      <c r="DZ30" s="20">
        <f t="shared" si="6"/>
        <v>0</v>
      </c>
      <c r="EA30" s="20">
        <f t="shared" si="6"/>
        <v>0</v>
      </c>
      <c r="EB30" s="20">
        <f t="shared" ref="EB30:EE30" si="7">SUM(EB9:EB29)</f>
        <v>0</v>
      </c>
      <c r="EC30" s="159">
        <f t="shared" si="7"/>
        <v>0</v>
      </c>
      <c r="ED30" s="83">
        <f t="shared" si="7"/>
        <v>0</v>
      </c>
      <c r="EE30" s="20">
        <f t="shared" si="7"/>
        <v>0</v>
      </c>
      <c r="EF30" s="20">
        <f t="shared" ref="EF30:EG30" si="8">SUM(EF9:EF29)</f>
        <v>0</v>
      </c>
      <c r="EG30" s="20">
        <f t="shared" si="8"/>
        <v>0</v>
      </c>
      <c r="EH30" s="20">
        <f t="shared" ref="EH30:EM30" si="9">SUM(EH9:EH29)</f>
        <v>0</v>
      </c>
      <c r="EI30" s="20">
        <f t="shared" si="9"/>
        <v>0</v>
      </c>
      <c r="EJ30" s="20">
        <f t="shared" si="9"/>
        <v>0</v>
      </c>
      <c r="EK30" s="20">
        <f t="shared" si="9"/>
        <v>0</v>
      </c>
      <c r="EL30" s="20">
        <f t="shared" si="9"/>
        <v>0</v>
      </c>
      <c r="EM30" s="20">
        <f t="shared" si="9"/>
        <v>0</v>
      </c>
      <c r="EN30" s="20">
        <f t="shared" ref="EN30:EQ30" si="10">SUM(EN9:EN29)</f>
        <v>0</v>
      </c>
      <c r="EO30" s="20">
        <f t="shared" si="10"/>
        <v>0</v>
      </c>
      <c r="EP30" s="20">
        <f t="shared" si="10"/>
        <v>0</v>
      </c>
      <c r="EQ30" s="20">
        <f t="shared" si="10"/>
        <v>0</v>
      </c>
      <c r="ER30" s="20">
        <f t="shared" ref="ER30:EZ30" si="11">SUM(ER9:ER29)</f>
        <v>0</v>
      </c>
      <c r="ES30" s="20">
        <f t="shared" si="11"/>
        <v>0</v>
      </c>
      <c r="ET30" s="20">
        <f t="shared" si="11"/>
        <v>0</v>
      </c>
      <c r="EU30" s="20">
        <f t="shared" si="11"/>
        <v>0</v>
      </c>
      <c r="EV30" s="20">
        <f t="shared" si="11"/>
        <v>0</v>
      </c>
      <c r="EW30" s="20">
        <f t="shared" si="11"/>
        <v>0</v>
      </c>
      <c r="EX30" s="20">
        <f t="shared" si="11"/>
        <v>0</v>
      </c>
      <c r="EY30" s="20">
        <f t="shared" si="11"/>
        <v>0</v>
      </c>
      <c r="EZ30" s="20">
        <f t="shared" si="11"/>
        <v>0</v>
      </c>
      <c r="FA30" s="20">
        <f t="shared" ref="FA30:FG30" si="12">SUM(FA9:FA29)</f>
        <v>0</v>
      </c>
      <c r="FB30" s="20">
        <f t="shared" si="12"/>
        <v>0</v>
      </c>
      <c r="FC30" s="20">
        <f t="shared" si="12"/>
        <v>0</v>
      </c>
      <c r="FD30" s="20">
        <f t="shared" si="12"/>
        <v>0</v>
      </c>
      <c r="FE30" s="20">
        <f t="shared" si="12"/>
        <v>0</v>
      </c>
      <c r="FF30" s="20">
        <f t="shared" si="12"/>
        <v>0</v>
      </c>
      <c r="FG30" s="159">
        <f t="shared" si="12"/>
        <v>0</v>
      </c>
      <c r="FH30" s="320">
        <f t="shared" ref="FH30:FN30" si="13">SUM(FH9:FH29)</f>
        <v>0</v>
      </c>
      <c r="FI30" s="321">
        <f t="shared" si="13"/>
        <v>0</v>
      </c>
      <c r="FJ30" s="321">
        <f t="shared" si="13"/>
        <v>0</v>
      </c>
      <c r="FK30" s="321">
        <f t="shared" si="13"/>
        <v>0</v>
      </c>
      <c r="FL30" s="321">
        <f t="shared" si="13"/>
        <v>0</v>
      </c>
      <c r="FM30" s="20">
        <f t="shared" si="13"/>
        <v>0</v>
      </c>
      <c r="FN30" s="321">
        <f t="shared" si="13"/>
        <v>0</v>
      </c>
      <c r="FO30" s="20">
        <f t="shared" ref="FO30:FQ30" si="14">SUM(FO9:FO29)</f>
        <v>0</v>
      </c>
      <c r="FP30" s="20">
        <f t="shared" si="14"/>
        <v>0</v>
      </c>
      <c r="FQ30" s="20">
        <f t="shared" si="14"/>
        <v>0</v>
      </c>
      <c r="FR30" s="20">
        <f t="shared" ref="FR30:FT30" si="15">SUM(FR9:FR29)</f>
        <v>0</v>
      </c>
      <c r="FS30" s="20">
        <f t="shared" si="15"/>
        <v>0</v>
      </c>
      <c r="FT30" s="20">
        <f t="shared" si="15"/>
        <v>0</v>
      </c>
      <c r="FU30" s="20">
        <f t="shared" ref="FU30:GA30" si="16">SUM(FU9:FU29)</f>
        <v>0</v>
      </c>
      <c r="FV30" s="20">
        <f t="shared" si="16"/>
        <v>0</v>
      </c>
      <c r="FW30" s="20">
        <f t="shared" si="16"/>
        <v>0</v>
      </c>
      <c r="FX30" s="20">
        <f t="shared" si="16"/>
        <v>0</v>
      </c>
      <c r="FY30" s="20">
        <f t="shared" si="16"/>
        <v>0</v>
      </c>
      <c r="FZ30" s="20">
        <f t="shared" si="16"/>
        <v>0</v>
      </c>
      <c r="GA30" s="20">
        <f t="shared" si="16"/>
        <v>0</v>
      </c>
      <c r="GB30" s="20">
        <f t="shared" ref="GB30:GC30" si="17">SUM(GB9:GB29)</f>
        <v>0</v>
      </c>
      <c r="GC30" s="20">
        <f t="shared" si="17"/>
        <v>0</v>
      </c>
      <c r="GD30" s="20">
        <f t="shared" ref="GD30:GE30" si="18">SUM(GD9:GD29)</f>
        <v>0</v>
      </c>
      <c r="GE30" s="20">
        <f t="shared" si="18"/>
        <v>0</v>
      </c>
      <c r="GF30" s="20">
        <f t="shared" ref="GF30:GN30" si="19">SUM(GF9:GF29)</f>
        <v>0</v>
      </c>
      <c r="GG30" s="20">
        <f t="shared" si="19"/>
        <v>0</v>
      </c>
      <c r="GH30" s="20">
        <f t="shared" si="19"/>
        <v>0</v>
      </c>
      <c r="GI30" s="20">
        <f t="shared" si="19"/>
        <v>0</v>
      </c>
      <c r="GJ30" s="20">
        <f t="shared" si="19"/>
        <v>0</v>
      </c>
      <c r="GK30" s="20">
        <f t="shared" si="19"/>
        <v>0</v>
      </c>
      <c r="GL30" s="159">
        <f t="shared" si="19"/>
        <v>0</v>
      </c>
      <c r="GM30" s="83">
        <f t="shared" si="19"/>
        <v>0</v>
      </c>
      <c r="GN30" s="20">
        <f t="shared" si="19"/>
        <v>0</v>
      </c>
      <c r="GO30" s="20">
        <f t="shared" ref="GO30" si="20">SUM(GO9:GO29)</f>
        <v>0</v>
      </c>
      <c r="GP30" s="271"/>
      <c r="GQ30" s="271"/>
      <c r="GR30" s="271"/>
      <c r="GS30" s="271"/>
      <c r="GT30" s="417"/>
      <c r="GU30" s="401">
        <f>SUM(E30:GL30)</f>
        <v>408.8</v>
      </c>
      <c r="GV30" s="53"/>
      <c r="HA30" s="50"/>
    </row>
    <row r="31" spans="1:210" s="7" customFormat="1" ht="21.6" customHeight="1" thickBot="1" x14ac:dyDescent="0.3">
      <c r="A31" s="497" t="s">
        <v>29</v>
      </c>
      <c r="B31" s="498"/>
      <c r="C31" s="498"/>
      <c r="D31" s="40" t="s">
        <v>30</v>
      </c>
      <c r="E31" s="41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92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120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73</v>
      </c>
      <c r="AD31" s="42">
        <v>55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158">
        <v>30</v>
      </c>
      <c r="AO31" s="166"/>
      <c r="AP31" s="76">
        <v>0</v>
      </c>
      <c r="AQ31" s="42">
        <v>0</v>
      </c>
      <c r="AR31" s="42">
        <v>0</v>
      </c>
      <c r="AS31" s="42">
        <v>70</v>
      </c>
      <c r="AT31" s="42">
        <v>103</v>
      </c>
      <c r="AU31" s="42">
        <v>0</v>
      </c>
      <c r="AV31" s="42">
        <v>0</v>
      </c>
      <c r="AW31" s="42">
        <v>12</v>
      </c>
      <c r="AX31" s="42">
        <v>0</v>
      </c>
      <c r="AY31" s="42">
        <v>170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0</v>
      </c>
      <c r="BW31" s="42">
        <v>0</v>
      </c>
      <c r="BX31" s="42">
        <v>0</v>
      </c>
      <c r="BY31" s="42">
        <v>0</v>
      </c>
      <c r="BZ31" s="42">
        <v>0</v>
      </c>
      <c r="CA31" s="42">
        <v>0</v>
      </c>
      <c r="CB31" s="42">
        <v>0</v>
      </c>
      <c r="CC31" s="42">
        <v>0</v>
      </c>
      <c r="CD31" s="42">
        <v>0</v>
      </c>
      <c r="CE31" s="42">
        <v>0</v>
      </c>
      <c r="CF31" s="42">
        <v>0</v>
      </c>
      <c r="CG31" s="42">
        <v>0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0</v>
      </c>
      <c r="CO31" s="42">
        <v>0</v>
      </c>
      <c r="CP31" s="42">
        <v>0</v>
      </c>
      <c r="CQ31" s="42">
        <v>0</v>
      </c>
      <c r="CR31" s="42">
        <v>0</v>
      </c>
      <c r="CS31" s="42">
        <v>0</v>
      </c>
      <c r="CT31" s="42">
        <v>0</v>
      </c>
      <c r="CU31" s="42">
        <v>0</v>
      </c>
      <c r="CV31" s="42">
        <v>0</v>
      </c>
      <c r="CW31" s="42">
        <v>0</v>
      </c>
      <c r="CX31" s="42">
        <v>0</v>
      </c>
      <c r="CY31" s="42">
        <v>0</v>
      </c>
      <c r="CZ31" s="42">
        <v>0</v>
      </c>
      <c r="DA31" s="42">
        <v>0</v>
      </c>
      <c r="DB31" s="42">
        <v>0</v>
      </c>
      <c r="DC31" s="42">
        <v>0</v>
      </c>
      <c r="DD31" s="42">
        <v>0</v>
      </c>
      <c r="DE31" s="42">
        <v>0</v>
      </c>
      <c r="DF31" s="42">
        <v>0</v>
      </c>
      <c r="DG31" s="42">
        <v>0</v>
      </c>
      <c r="DH31" s="42">
        <v>0</v>
      </c>
      <c r="DI31" s="42">
        <v>0</v>
      </c>
      <c r="DJ31" s="42">
        <v>0</v>
      </c>
      <c r="DK31" s="42">
        <v>0</v>
      </c>
      <c r="DL31" s="42">
        <v>0</v>
      </c>
      <c r="DM31" s="42">
        <v>0</v>
      </c>
      <c r="DN31" s="42">
        <v>0</v>
      </c>
      <c r="DO31" s="42">
        <v>0</v>
      </c>
      <c r="DP31" s="42">
        <v>0</v>
      </c>
      <c r="DQ31" s="42">
        <v>0</v>
      </c>
      <c r="DR31" s="42">
        <v>0</v>
      </c>
      <c r="DS31" s="42">
        <v>0</v>
      </c>
      <c r="DT31" s="42">
        <v>0</v>
      </c>
      <c r="DU31" s="42">
        <v>0</v>
      </c>
      <c r="DV31" s="42">
        <v>0</v>
      </c>
      <c r="DW31" s="42">
        <v>0</v>
      </c>
      <c r="DX31" s="42">
        <v>0</v>
      </c>
      <c r="DY31" s="42">
        <v>0</v>
      </c>
      <c r="DZ31" s="42">
        <v>0</v>
      </c>
      <c r="EA31" s="42">
        <v>0</v>
      </c>
      <c r="EB31" s="42">
        <v>0</v>
      </c>
      <c r="EC31" s="158">
        <v>0</v>
      </c>
      <c r="ED31" s="76">
        <v>0</v>
      </c>
      <c r="EE31" s="42">
        <v>0</v>
      </c>
      <c r="EF31" s="42">
        <v>0</v>
      </c>
      <c r="EG31" s="42">
        <v>0</v>
      </c>
      <c r="EH31" s="42">
        <v>0</v>
      </c>
      <c r="EI31" s="42">
        <v>0</v>
      </c>
      <c r="EJ31" s="42">
        <v>0</v>
      </c>
      <c r="EK31" s="42">
        <v>0</v>
      </c>
      <c r="EL31" s="42">
        <v>0</v>
      </c>
      <c r="EM31" s="42">
        <v>0</v>
      </c>
      <c r="EN31" s="42">
        <v>0</v>
      </c>
      <c r="EO31" s="42">
        <v>0</v>
      </c>
      <c r="EP31" s="42">
        <v>0</v>
      </c>
      <c r="EQ31" s="42">
        <v>0</v>
      </c>
      <c r="ER31" s="42">
        <v>0</v>
      </c>
      <c r="ES31" s="42">
        <v>0</v>
      </c>
      <c r="ET31" s="42">
        <v>0</v>
      </c>
      <c r="EU31" s="42">
        <v>0</v>
      </c>
      <c r="EV31" s="42">
        <v>0</v>
      </c>
      <c r="EW31" s="42">
        <v>0</v>
      </c>
      <c r="EX31" s="42">
        <v>0</v>
      </c>
      <c r="EY31" s="42">
        <v>0</v>
      </c>
      <c r="EZ31" s="42">
        <v>0</v>
      </c>
      <c r="FA31" s="42">
        <v>0</v>
      </c>
      <c r="FB31" s="42">
        <v>0</v>
      </c>
      <c r="FC31" s="42">
        <v>0</v>
      </c>
      <c r="FD31" s="42">
        <v>0</v>
      </c>
      <c r="FE31" s="42">
        <v>0</v>
      </c>
      <c r="FF31" s="42">
        <v>0</v>
      </c>
      <c r="FG31" s="158">
        <v>0</v>
      </c>
      <c r="FH31" s="240">
        <v>0</v>
      </c>
      <c r="FI31" s="241">
        <v>0</v>
      </c>
      <c r="FJ31" s="241">
        <v>0</v>
      </c>
      <c r="FK31" s="241">
        <v>0</v>
      </c>
      <c r="FL31" s="241">
        <v>0</v>
      </c>
      <c r="FM31" s="158">
        <v>0</v>
      </c>
      <c r="FN31" s="241">
        <v>0</v>
      </c>
      <c r="FO31" s="158">
        <v>0</v>
      </c>
      <c r="FP31" s="158">
        <v>0</v>
      </c>
      <c r="FQ31" s="158">
        <v>0</v>
      </c>
      <c r="FR31" s="158">
        <v>0</v>
      </c>
      <c r="FS31" s="158">
        <v>0</v>
      </c>
      <c r="FT31" s="158">
        <v>0</v>
      </c>
      <c r="FU31" s="158">
        <v>0</v>
      </c>
      <c r="FV31" s="158">
        <v>0</v>
      </c>
      <c r="FW31" s="158">
        <v>0</v>
      </c>
      <c r="FX31" s="158">
        <v>0</v>
      </c>
      <c r="FY31" s="158">
        <v>0</v>
      </c>
      <c r="FZ31" s="158">
        <v>0</v>
      </c>
      <c r="GA31" s="158">
        <v>0</v>
      </c>
      <c r="GB31" s="158">
        <v>0</v>
      </c>
      <c r="GC31" s="158">
        <v>0</v>
      </c>
      <c r="GD31" s="158">
        <v>0</v>
      </c>
      <c r="GE31" s="158">
        <v>0</v>
      </c>
      <c r="GF31" s="158">
        <v>0</v>
      </c>
      <c r="GG31" s="158">
        <v>0</v>
      </c>
      <c r="GH31" s="158">
        <v>0</v>
      </c>
      <c r="GI31" s="158">
        <v>0</v>
      </c>
      <c r="GJ31" s="158">
        <v>0</v>
      </c>
      <c r="GK31" s="158">
        <v>0</v>
      </c>
      <c r="GL31" s="158">
        <v>0</v>
      </c>
      <c r="GM31" s="244">
        <v>0</v>
      </c>
      <c r="GN31" s="242">
        <v>0</v>
      </c>
      <c r="GO31" s="241">
        <v>0</v>
      </c>
      <c r="GP31" s="411"/>
      <c r="GQ31" s="411"/>
      <c r="GR31" s="411"/>
      <c r="GS31" s="411"/>
      <c r="GT31" s="414"/>
      <c r="GU31" s="402">
        <f>SUM(E31:GL31)</f>
        <v>725</v>
      </c>
      <c r="GV31" s="54"/>
      <c r="HA31" s="50"/>
    </row>
    <row r="33" spans="1:205" x14ac:dyDescent="0.25">
      <c r="B33" s="58"/>
      <c r="C33" s="8" t="s">
        <v>71</v>
      </c>
    </row>
    <row r="34" spans="1:205" x14ac:dyDescent="0.25">
      <c r="B34" s="59"/>
      <c r="C34" s="8" t="s">
        <v>72</v>
      </c>
    </row>
    <row r="36" spans="1:205" ht="15.75" thickBot="1" x14ac:dyDescent="0.3"/>
    <row r="37" spans="1:205" ht="21.75" thickBot="1" x14ac:dyDescent="0.3">
      <c r="A37" s="456" t="s">
        <v>18</v>
      </c>
      <c r="B37" s="458" t="s">
        <v>14</v>
      </c>
      <c r="C37" s="458" t="s">
        <v>13</v>
      </c>
      <c r="D37" s="503" t="s">
        <v>0</v>
      </c>
      <c r="E37" s="490" t="s">
        <v>25</v>
      </c>
      <c r="F37" s="463"/>
      <c r="G37" s="463"/>
      <c r="H37" s="463"/>
      <c r="I37" s="463"/>
      <c r="J37" s="463"/>
      <c r="K37" s="463"/>
      <c r="L37" s="463"/>
      <c r="M37" s="490" t="s">
        <v>73</v>
      </c>
      <c r="N37" s="463"/>
      <c r="O37" s="463"/>
      <c r="P37" s="463"/>
      <c r="Q37" s="463"/>
      <c r="R37" s="463"/>
      <c r="S37" s="463"/>
      <c r="T37" s="463"/>
      <c r="U37" s="463"/>
      <c r="V37" s="463"/>
      <c r="W37" s="463"/>
      <c r="X37" s="463"/>
      <c r="Y37" s="463"/>
      <c r="Z37" s="463"/>
      <c r="AA37" s="463"/>
      <c r="AB37" s="463"/>
      <c r="AC37" s="463"/>
      <c r="AD37" s="463"/>
      <c r="AE37" s="463"/>
      <c r="AF37" s="463"/>
      <c r="AG37" s="463"/>
      <c r="AH37" s="463"/>
      <c r="AI37" s="463"/>
      <c r="AJ37" s="463"/>
      <c r="AK37" s="463"/>
      <c r="AL37" s="463"/>
      <c r="AM37" s="463"/>
      <c r="AN37" s="463"/>
      <c r="AO37" s="127"/>
      <c r="AP37" s="490" t="s">
        <v>76</v>
      </c>
      <c r="AQ37" s="463"/>
      <c r="AR37" s="463"/>
      <c r="AS37" s="463"/>
      <c r="AT37" s="463"/>
      <c r="AU37" s="463"/>
      <c r="AV37" s="463"/>
      <c r="AW37" s="463"/>
      <c r="AX37" s="463"/>
      <c r="AY37" s="463"/>
      <c r="AZ37" s="463"/>
      <c r="BA37" s="463"/>
      <c r="BB37" s="463"/>
      <c r="BC37" s="463"/>
      <c r="BD37" s="463"/>
      <c r="BE37" s="463"/>
      <c r="BF37" s="463"/>
      <c r="BG37" s="463"/>
      <c r="BH37" s="463"/>
      <c r="BI37" s="463"/>
      <c r="BJ37" s="463"/>
      <c r="BK37" s="463"/>
      <c r="BL37" s="463"/>
      <c r="BM37" s="463"/>
      <c r="BN37" s="463"/>
      <c r="BO37" s="463"/>
      <c r="BP37" s="463"/>
      <c r="BQ37" s="463"/>
      <c r="BR37" s="463"/>
      <c r="BS37" s="463"/>
      <c r="BT37" s="463"/>
      <c r="BU37" s="490" t="s">
        <v>105</v>
      </c>
      <c r="BV37" s="463"/>
      <c r="BW37" s="463"/>
      <c r="BX37" s="463"/>
      <c r="BY37" s="463"/>
      <c r="BZ37" s="463"/>
      <c r="CA37" s="463"/>
      <c r="CB37" s="463"/>
      <c r="CC37" s="463"/>
      <c r="CD37" s="463"/>
      <c r="CE37" s="463"/>
      <c r="CF37" s="463"/>
      <c r="CG37" s="463"/>
      <c r="CH37" s="463"/>
      <c r="CI37" s="463"/>
      <c r="CJ37" s="463"/>
      <c r="CK37" s="463"/>
      <c r="CL37" s="463"/>
      <c r="CM37" s="463"/>
      <c r="CN37" s="463"/>
      <c r="CO37" s="463"/>
      <c r="CP37" s="463"/>
      <c r="CQ37" s="463"/>
      <c r="CR37" s="463"/>
      <c r="CS37" s="463"/>
      <c r="CT37" s="463"/>
      <c r="CU37" s="463"/>
      <c r="CV37" s="463"/>
      <c r="CW37" s="463"/>
      <c r="CX37" s="491"/>
      <c r="CY37" s="490" t="s">
        <v>111</v>
      </c>
      <c r="CZ37" s="463"/>
      <c r="DA37" s="463"/>
      <c r="DB37" s="463"/>
      <c r="DC37" s="463"/>
      <c r="DD37" s="463"/>
      <c r="DE37" s="463"/>
      <c r="DF37" s="463"/>
      <c r="DG37" s="463"/>
      <c r="DH37" s="463"/>
      <c r="DI37" s="463"/>
      <c r="DJ37" s="463"/>
      <c r="DK37" s="463"/>
      <c r="DL37" s="463"/>
      <c r="DM37" s="463"/>
      <c r="DN37" s="463"/>
      <c r="DO37" s="463"/>
      <c r="DP37" s="463"/>
      <c r="DQ37" s="463"/>
      <c r="DR37" s="463"/>
      <c r="DS37" s="463"/>
      <c r="DT37" s="463"/>
      <c r="DU37" s="463"/>
      <c r="DV37" s="463"/>
      <c r="DW37" s="463"/>
      <c r="DX37" s="463"/>
      <c r="DY37" s="463"/>
      <c r="DZ37" s="463"/>
      <c r="EA37" s="463"/>
      <c r="EB37" s="463"/>
      <c r="EC37" s="463"/>
      <c r="ED37" s="490" t="s">
        <v>117</v>
      </c>
      <c r="EE37" s="463"/>
      <c r="EF37" s="463"/>
      <c r="EG37" s="463"/>
      <c r="EH37" s="463"/>
      <c r="EI37" s="463"/>
      <c r="EJ37" s="463"/>
      <c r="EK37" s="463"/>
      <c r="EL37" s="463"/>
      <c r="EM37" s="463"/>
      <c r="EN37" s="463"/>
      <c r="EO37" s="463"/>
      <c r="EP37" s="463"/>
      <c r="EQ37" s="463"/>
      <c r="ER37" s="463"/>
      <c r="ES37" s="463"/>
      <c r="ET37" s="463"/>
      <c r="EU37" s="463"/>
      <c r="EV37" s="463"/>
      <c r="EW37" s="463"/>
      <c r="EX37" s="463"/>
      <c r="EY37" s="463"/>
      <c r="EZ37" s="463"/>
      <c r="FA37" s="463"/>
      <c r="FB37" s="463"/>
      <c r="FC37" s="463"/>
      <c r="FD37" s="463"/>
      <c r="FE37" s="463"/>
      <c r="FF37" s="463"/>
      <c r="FG37" s="463"/>
      <c r="FH37" s="490" t="s">
        <v>133</v>
      </c>
      <c r="FI37" s="463"/>
      <c r="FJ37" s="463"/>
      <c r="FK37" s="463"/>
      <c r="FL37" s="463"/>
      <c r="FM37" s="463"/>
      <c r="FN37" s="463"/>
      <c r="FO37" s="463"/>
      <c r="FP37" s="463"/>
      <c r="FQ37" s="463"/>
      <c r="FR37" s="463"/>
      <c r="FS37" s="463"/>
      <c r="FT37" s="463"/>
      <c r="FU37" s="463"/>
      <c r="FV37" s="463"/>
      <c r="FW37" s="463"/>
      <c r="FX37" s="463"/>
      <c r="FY37" s="463"/>
      <c r="FZ37" s="463"/>
      <c r="GA37" s="463"/>
      <c r="GB37" s="463"/>
      <c r="GC37" s="463"/>
      <c r="GD37" s="463"/>
      <c r="GE37" s="463"/>
      <c r="GF37" s="463"/>
      <c r="GG37" s="463"/>
      <c r="GH37" s="463"/>
      <c r="GI37" s="463"/>
      <c r="GJ37" s="463"/>
      <c r="GK37" s="463"/>
      <c r="GL37" s="463"/>
      <c r="GM37" s="490" t="s">
        <v>142</v>
      </c>
      <c r="GN37" s="463"/>
      <c r="GO37" s="463"/>
      <c r="GP37" s="463"/>
      <c r="GQ37" s="463"/>
      <c r="GR37" s="463"/>
      <c r="GS37" s="463"/>
      <c r="GT37" s="491"/>
      <c r="GU37" s="397"/>
      <c r="GV37" s="509" t="s">
        <v>39</v>
      </c>
      <c r="GW37" s="511" t="s">
        <v>40</v>
      </c>
    </row>
    <row r="38" spans="1:205" ht="15.75" thickBot="1" x14ac:dyDescent="0.3">
      <c r="A38" s="457"/>
      <c r="B38" s="459"/>
      <c r="C38" s="459"/>
      <c r="D38" s="504"/>
      <c r="E38" s="19">
        <v>24</v>
      </c>
      <c r="F38" s="12">
        <v>46047</v>
      </c>
      <c r="G38" s="12">
        <v>46048</v>
      </c>
      <c r="H38" s="12">
        <v>46049</v>
      </c>
      <c r="I38" s="12">
        <v>46050</v>
      </c>
      <c r="J38" s="12">
        <v>46051</v>
      </c>
      <c r="K38" s="12">
        <v>46052</v>
      </c>
      <c r="L38" s="12">
        <v>46053</v>
      </c>
      <c r="M38" s="12">
        <v>46054</v>
      </c>
      <c r="N38" s="12">
        <v>46055</v>
      </c>
      <c r="O38" s="12">
        <v>46056</v>
      </c>
      <c r="P38" s="12">
        <v>46057</v>
      </c>
      <c r="Q38" s="12">
        <v>46058</v>
      </c>
      <c r="R38" s="12">
        <v>46059</v>
      </c>
      <c r="S38" s="12">
        <v>46060</v>
      </c>
      <c r="T38" s="12">
        <v>46061</v>
      </c>
      <c r="U38" s="12">
        <v>46062</v>
      </c>
      <c r="V38" s="12">
        <v>46063</v>
      </c>
      <c r="W38" s="12">
        <v>46064</v>
      </c>
      <c r="X38" s="12">
        <v>46065</v>
      </c>
      <c r="Y38" s="12">
        <v>46066</v>
      </c>
      <c r="Z38" s="12">
        <v>46067</v>
      </c>
      <c r="AA38" s="12">
        <v>46068</v>
      </c>
      <c r="AB38" s="12">
        <v>46069</v>
      </c>
      <c r="AC38" s="12">
        <v>46070</v>
      </c>
      <c r="AD38" s="12">
        <v>46071</v>
      </c>
      <c r="AE38" s="12">
        <v>46072</v>
      </c>
      <c r="AF38" s="12">
        <v>46073</v>
      </c>
      <c r="AG38" s="12">
        <v>46074</v>
      </c>
      <c r="AH38" s="12">
        <v>46075</v>
      </c>
      <c r="AI38" s="12">
        <v>46076</v>
      </c>
      <c r="AJ38" s="12">
        <v>46077</v>
      </c>
      <c r="AK38" s="12">
        <v>46078</v>
      </c>
      <c r="AL38" s="12">
        <v>46079</v>
      </c>
      <c r="AM38" s="12">
        <v>46080</v>
      </c>
      <c r="AN38" s="51">
        <v>46081</v>
      </c>
      <c r="AO38" s="145"/>
      <c r="AP38" s="70">
        <v>46082</v>
      </c>
      <c r="AQ38" s="14">
        <v>46083</v>
      </c>
      <c r="AR38" s="70">
        <v>46084</v>
      </c>
      <c r="AS38" s="14">
        <v>46085</v>
      </c>
      <c r="AT38" s="70">
        <v>46086</v>
      </c>
      <c r="AU38" s="14">
        <v>46087</v>
      </c>
      <c r="AV38" s="70">
        <v>46088</v>
      </c>
      <c r="AW38" s="14">
        <v>46089</v>
      </c>
      <c r="AX38" s="70">
        <v>46090</v>
      </c>
      <c r="AY38" s="14">
        <v>46091</v>
      </c>
      <c r="AZ38" s="70">
        <v>46092</v>
      </c>
      <c r="BA38" s="14">
        <v>46093</v>
      </c>
      <c r="BB38" s="70">
        <v>46094</v>
      </c>
      <c r="BC38" s="14">
        <v>46095</v>
      </c>
      <c r="BD38" s="70">
        <v>46096</v>
      </c>
      <c r="BE38" s="14">
        <v>46097</v>
      </c>
      <c r="BF38" s="70">
        <v>46098</v>
      </c>
      <c r="BG38" s="14">
        <v>46099</v>
      </c>
      <c r="BH38" s="70">
        <v>46100</v>
      </c>
      <c r="BI38" s="14">
        <v>46101</v>
      </c>
      <c r="BJ38" s="70">
        <v>46102</v>
      </c>
      <c r="BK38" s="14">
        <v>46103</v>
      </c>
      <c r="BL38" s="70">
        <v>46104</v>
      </c>
      <c r="BM38" s="14">
        <v>46105</v>
      </c>
      <c r="BN38" s="70">
        <v>46106</v>
      </c>
      <c r="BO38" s="14">
        <v>46107</v>
      </c>
      <c r="BP38" s="70">
        <v>46108</v>
      </c>
      <c r="BQ38" s="14">
        <v>46109</v>
      </c>
      <c r="BR38" s="70">
        <v>46110</v>
      </c>
      <c r="BS38" s="14">
        <v>46111</v>
      </c>
      <c r="BT38" s="70">
        <v>46112</v>
      </c>
      <c r="BU38" s="14">
        <v>46113</v>
      </c>
      <c r="BV38" s="70">
        <v>46114</v>
      </c>
      <c r="BW38" s="14">
        <v>46115</v>
      </c>
      <c r="BX38" s="70">
        <v>46116</v>
      </c>
      <c r="BY38" s="14">
        <v>46117</v>
      </c>
      <c r="BZ38" s="70">
        <v>46118</v>
      </c>
      <c r="CA38" s="14">
        <v>46119</v>
      </c>
      <c r="CB38" s="70">
        <v>46120</v>
      </c>
      <c r="CC38" s="14">
        <v>46121</v>
      </c>
      <c r="CD38" s="70">
        <v>46122</v>
      </c>
      <c r="CE38" s="14">
        <v>46123</v>
      </c>
      <c r="CF38" s="70">
        <v>46124</v>
      </c>
      <c r="CG38" s="14">
        <v>46125</v>
      </c>
      <c r="CH38" s="70">
        <v>46126</v>
      </c>
      <c r="CI38" s="14">
        <v>46127</v>
      </c>
      <c r="CJ38" s="70">
        <v>46128</v>
      </c>
      <c r="CK38" s="14">
        <v>46129</v>
      </c>
      <c r="CL38" s="70">
        <v>46130</v>
      </c>
      <c r="CM38" s="14">
        <v>46131</v>
      </c>
      <c r="CN38" s="70">
        <v>46132</v>
      </c>
      <c r="CO38" s="14">
        <v>46133</v>
      </c>
      <c r="CP38" s="70">
        <v>46134</v>
      </c>
      <c r="CQ38" s="14">
        <v>46135</v>
      </c>
      <c r="CR38" s="70">
        <v>46136</v>
      </c>
      <c r="CS38" s="14">
        <v>46137</v>
      </c>
      <c r="CT38" s="70">
        <v>46138</v>
      </c>
      <c r="CU38" s="14">
        <v>46139</v>
      </c>
      <c r="CV38" s="70">
        <v>46140</v>
      </c>
      <c r="CW38" s="14">
        <v>46141</v>
      </c>
      <c r="CX38" s="70">
        <v>46142</v>
      </c>
      <c r="CY38" s="14">
        <v>46143</v>
      </c>
      <c r="CZ38" s="70">
        <v>46144</v>
      </c>
      <c r="DA38" s="14">
        <v>46145</v>
      </c>
      <c r="DB38" s="70">
        <v>46146</v>
      </c>
      <c r="DC38" s="14">
        <v>46147</v>
      </c>
      <c r="DD38" s="70">
        <v>46148</v>
      </c>
      <c r="DE38" s="14">
        <v>46149</v>
      </c>
      <c r="DF38" s="70">
        <v>46150</v>
      </c>
      <c r="DG38" s="14">
        <v>46151</v>
      </c>
      <c r="DH38" s="70">
        <v>46152</v>
      </c>
      <c r="DI38" s="14">
        <v>46153</v>
      </c>
      <c r="DJ38" s="70">
        <v>46154</v>
      </c>
      <c r="DK38" s="14">
        <v>46155</v>
      </c>
      <c r="DL38" s="70">
        <v>46156</v>
      </c>
      <c r="DM38" s="14">
        <v>46157</v>
      </c>
      <c r="DN38" s="70">
        <v>46158</v>
      </c>
      <c r="DO38" s="14">
        <v>46159</v>
      </c>
      <c r="DP38" s="70">
        <v>46160</v>
      </c>
      <c r="DQ38" s="14">
        <v>46161</v>
      </c>
      <c r="DR38" s="70">
        <v>46162</v>
      </c>
      <c r="DS38" s="14">
        <v>46163</v>
      </c>
      <c r="DT38" s="70">
        <v>46164</v>
      </c>
      <c r="DU38" s="14">
        <v>46165</v>
      </c>
      <c r="DV38" s="70">
        <v>46166</v>
      </c>
      <c r="DW38" s="14">
        <v>46167</v>
      </c>
      <c r="DX38" s="70">
        <v>46168</v>
      </c>
      <c r="DY38" s="14">
        <v>46169</v>
      </c>
      <c r="DZ38" s="70">
        <v>46170</v>
      </c>
      <c r="EA38" s="14">
        <v>46171</v>
      </c>
      <c r="EB38" s="70">
        <v>46172</v>
      </c>
      <c r="EC38" s="51">
        <v>46173</v>
      </c>
      <c r="ED38" s="70">
        <v>46174</v>
      </c>
      <c r="EE38" s="14">
        <v>46175</v>
      </c>
      <c r="EF38" s="70">
        <v>46176</v>
      </c>
      <c r="EG38" s="14">
        <v>46177</v>
      </c>
      <c r="EH38" s="70">
        <v>46178</v>
      </c>
      <c r="EI38" s="14">
        <v>46179</v>
      </c>
      <c r="EJ38" s="70">
        <v>46180</v>
      </c>
      <c r="EK38" s="14">
        <v>46181</v>
      </c>
      <c r="EL38" s="70">
        <v>46182</v>
      </c>
      <c r="EM38" s="14">
        <v>46183</v>
      </c>
      <c r="EN38" s="70">
        <v>46184</v>
      </c>
      <c r="EO38" s="14">
        <v>46185</v>
      </c>
      <c r="EP38" s="70">
        <v>46186</v>
      </c>
      <c r="EQ38" s="14">
        <v>46187</v>
      </c>
      <c r="ER38" s="70">
        <v>46188</v>
      </c>
      <c r="ES38" s="14">
        <v>46189</v>
      </c>
      <c r="ET38" s="70">
        <v>46190</v>
      </c>
      <c r="EU38" s="14">
        <v>46191</v>
      </c>
      <c r="EV38" s="70">
        <v>46192</v>
      </c>
      <c r="EW38" s="14">
        <v>46193</v>
      </c>
      <c r="EX38" s="70">
        <v>46194</v>
      </c>
      <c r="EY38" s="14">
        <v>46195</v>
      </c>
      <c r="EZ38" s="70">
        <v>46196</v>
      </c>
      <c r="FA38" s="14">
        <v>46197</v>
      </c>
      <c r="FB38" s="70">
        <v>46198</v>
      </c>
      <c r="FC38" s="14">
        <v>46199</v>
      </c>
      <c r="FD38" s="70">
        <v>46200</v>
      </c>
      <c r="FE38" s="14">
        <v>46201</v>
      </c>
      <c r="FF38" s="70">
        <v>46202</v>
      </c>
      <c r="FG38" s="51">
        <v>46203</v>
      </c>
      <c r="FH38" s="70">
        <v>46204</v>
      </c>
      <c r="FI38" s="12">
        <v>46205</v>
      </c>
      <c r="FJ38" s="12">
        <v>46206</v>
      </c>
      <c r="FK38" s="12">
        <v>46207</v>
      </c>
      <c r="FL38" s="12">
        <v>46208</v>
      </c>
      <c r="FM38" s="12">
        <v>46209</v>
      </c>
      <c r="FN38" s="12">
        <v>46210</v>
      </c>
      <c r="FO38" s="12">
        <v>46211</v>
      </c>
      <c r="FP38" s="12">
        <v>46212</v>
      </c>
      <c r="FQ38" s="12">
        <v>46213</v>
      </c>
      <c r="FR38" s="12">
        <v>46214</v>
      </c>
      <c r="FS38" s="12">
        <v>46215</v>
      </c>
      <c r="FT38" s="12">
        <v>46216</v>
      </c>
      <c r="FU38" s="12">
        <v>46217</v>
      </c>
      <c r="FV38" s="14">
        <v>46218</v>
      </c>
      <c r="FW38" s="12">
        <v>46219</v>
      </c>
      <c r="FX38" s="14">
        <v>46220</v>
      </c>
      <c r="FY38" s="12">
        <v>46221</v>
      </c>
      <c r="FZ38" s="14">
        <v>46222</v>
      </c>
      <c r="GA38" s="12">
        <v>46223</v>
      </c>
      <c r="GB38" s="14">
        <v>46224</v>
      </c>
      <c r="GC38" s="12">
        <v>46225</v>
      </c>
      <c r="GD38" s="14">
        <v>46226</v>
      </c>
      <c r="GE38" s="12">
        <v>46227</v>
      </c>
      <c r="GF38" s="14">
        <v>46228</v>
      </c>
      <c r="GG38" s="12">
        <v>46229</v>
      </c>
      <c r="GH38" s="14">
        <v>46230</v>
      </c>
      <c r="GI38" s="12">
        <v>46231</v>
      </c>
      <c r="GJ38" s="14">
        <v>46232</v>
      </c>
      <c r="GK38" s="12">
        <v>46233</v>
      </c>
      <c r="GL38" s="51">
        <v>46234</v>
      </c>
      <c r="GM38" s="70">
        <v>46235</v>
      </c>
      <c r="GN38" s="14">
        <v>46236</v>
      </c>
      <c r="GO38" s="12">
        <v>46237</v>
      </c>
      <c r="GP38" s="14">
        <v>46238</v>
      </c>
      <c r="GQ38" s="12">
        <v>46239</v>
      </c>
      <c r="GR38" s="14">
        <v>46240</v>
      </c>
      <c r="GS38" s="12">
        <v>46241</v>
      </c>
      <c r="GT38" s="14">
        <v>46242</v>
      </c>
      <c r="GU38" s="398" t="s">
        <v>26</v>
      </c>
      <c r="GV38" s="510"/>
      <c r="GW38" s="512"/>
    </row>
    <row r="39" spans="1:205" x14ac:dyDescent="0.25">
      <c r="A39" s="9">
        <v>1</v>
      </c>
      <c r="B39" s="502" t="s">
        <v>118</v>
      </c>
      <c r="C39" s="193" t="s">
        <v>132</v>
      </c>
      <c r="D39" s="11" t="s">
        <v>19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62"/>
      <c r="AP39" s="160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60"/>
      <c r="EE39" s="101">
        <v>0</v>
      </c>
      <c r="EF39" s="101">
        <v>0</v>
      </c>
      <c r="EG39" s="101">
        <v>0</v>
      </c>
      <c r="EH39" s="101">
        <v>0</v>
      </c>
      <c r="EI39" s="101">
        <v>0</v>
      </c>
      <c r="EJ39" s="101">
        <v>0</v>
      </c>
      <c r="EK39" s="101">
        <v>0</v>
      </c>
      <c r="EL39" s="101">
        <v>0</v>
      </c>
      <c r="EM39" s="101">
        <v>0</v>
      </c>
      <c r="EN39" s="101">
        <v>0</v>
      </c>
      <c r="EO39" s="101">
        <v>0</v>
      </c>
      <c r="EP39" s="101">
        <v>0</v>
      </c>
      <c r="EQ39" s="101">
        <v>0</v>
      </c>
      <c r="ER39" s="101">
        <v>0</v>
      </c>
      <c r="ES39" s="101">
        <v>0</v>
      </c>
      <c r="ET39" s="101">
        <v>0</v>
      </c>
      <c r="EU39" s="101">
        <v>0</v>
      </c>
      <c r="EV39" s="101">
        <v>0</v>
      </c>
      <c r="EW39" s="101">
        <v>0</v>
      </c>
      <c r="EX39" s="101">
        <v>0</v>
      </c>
      <c r="EY39" s="101">
        <v>0</v>
      </c>
      <c r="EZ39" s="101">
        <v>0</v>
      </c>
      <c r="FA39" s="101">
        <v>0</v>
      </c>
      <c r="FB39" s="101">
        <v>0</v>
      </c>
      <c r="FC39" s="101">
        <v>0</v>
      </c>
      <c r="FD39" s="101">
        <v>0</v>
      </c>
      <c r="FE39" s="101">
        <v>0</v>
      </c>
      <c r="FF39" s="101">
        <v>0</v>
      </c>
      <c r="FG39" s="269">
        <v>93</v>
      </c>
      <c r="FH39" s="88">
        <v>0</v>
      </c>
      <c r="FI39" s="68">
        <v>0</v>
      </c>
      <c r="FJ39" s="68">
        <v>0</v>
      </c>
      <c r="FK39" s="68">
        <v>0</v>
      </c>
      <c r="FL39" s="68">
        <v>0</v>
      </c>
      <c r="FM39" s="68">
        <v>0</v>
      </c>
      <c r="FN39" s="68">
        <v>0</v>
      </c>
      <c r="FO39" s="68">
        <v>0</v>
      </c>
      <c r="FP39" s="68">
        <v>0</v>
      </c>
      <c r="FQ39" s="68">
        <v>0</v>
      </c>
      <c r="FR39" s="68">
        <v>0</v>
      </c>
      <c r="FS39" s="68">
        <v>0</v>
      </c>
      <c r="FT39" s="68">
        <v>0</v>
      </c>
      <c r="FU39" s="68">
        <v>0</v>
      </c>
      <c r="FV39" s="68">
        <v>0</v>
      </c>
      <c r="FW39" s="68">
        <v>0</v>
      </c>
      <c r="FX39" s="68">
        <v>0</v>
      </c>
      <c r="FY39" s="68">
        <v>0</v>
      </c>
      <c r="FZ39" s="68">
        <v>0</v>
      </c>
      <c r="GA39" s="68">
        <v>0</v>
      </c>
      <c r="GB39" s="68">
        <v>0</v>
      </c>
      <c r="GC39" s="68">
        <v>0</v>
      </c>
      <c r="GD39" s="68">
        <v>0</v>
      </c>
      <c r="GE39" s="68">
        <v>0</v>
      </c>
      <c r="GF39" s="68">
        <v>0</v>
      </c>
      <c r="GG39" s="68">
        <v>0</v>
      </c>
      <c r="GH39" s="68">
        <v>0</v>
      </c>
      <c r="GI39" s="68">
        <v>0</v>
      </c>
      <c r="GJ39" s="68">
        <v>0</v>
      </c>
      <c r="GK39" s="68">
        <v>0</v>
      </c>
      <c r="GL39" s="100">
        <v>0</v>
      </c>
      <c r="GM39" s="88">
        <v>0</v>
      </c>
      <c r="GN39" s="68">
        <v>0</v>
      </c>
      <c r="GO39" s="68">
        <v>0</v>
      </c>
      <c r="GP39" s="424"/>
      <c r="GQ39" s="424"/>
      <c r="GR39" s="424"/>
      <c r="GS39" s="424"/>
      <c r="GT39" s="96"/>
      <c r="GU39" s="55">
        <f>SUM(E39:GL39)</f>
        <v>93</v>
      </c>
      <c r="GV39" s="61">
        <v>90</v>
      </c>
      <c r="GW39" s="62"/>
    </row>
    <row r="40" spans="1:205" x14ac:dyDescent="0.25">
      <c r="A40" s="2">
        <v>2</v>
      </c>
      <c r="B40" s="474"/>
      <c r="C40" s="193" t="s">
        <v>135</v>
      </c>
      <c r="D40" s="4" t="s">
        <v>19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22"/>
      <c r="AO40" s="185"/>
      <c r="AP40" s="160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60"/>
      <c r="EE40" s="101">
        <v>0</v>
      </c>
      <c r="EF40" s="101">
        <v>0</v>
      </c>
      <c r="EG40" s="101">
        <v>0</v>
      </c>
      <c r="EH40" s="101">
        <v>0</v>
      </c>
      <c r="EI40" s="101">
        <v>0</v>
      </c>
      <c r="EJ40" s="101">
        <v>0</v>
      </c>
      <c r="EK40" s="101">
        <v>0</v>
      </c>
      <c r="EL40" s="101">
        <v>0</v>
      </c>
      <c r="EM40" s="101">
        <v>0</v>
      </c>
      <c r="EN40" s="101">
        <v>0</v>
      </c>
      <c r="EO40" s="101">
        <v>0</v>
      </c>
      <c r="EP40" s="101">
        <v>0</v>
      </c>
      <c r="EQ40" s="101">
        <v>0</v>
      </c>
      <c r="ER40" s="101">
        <v>0</v>
      </c>
      <c r="ES40" s="101">
        <v>0</v>
      </c>
      <c r="ET40" s="101">
        <v>0</v>
      </c>
      <c r="EU40" s="101">
        <v>0</v>
      </c>
      <c r="EV40" s="101">
        <v>0</v>
      </c>
      <c r="EW40" s="101">
        <v>0</v>
      </c>
      <c r="EX40" s="101">
        <v>0</v>
      </c>
      <c r="EY40" s="101">
        <v>0</v>
      </c>
      <c r="EZ40" s="101">
        <v>0</v>
      </c>
      <c r="FA40" s="101">
        <v>0</v>
      </c>
      <c r="FB40" s="101">
        <v>0</v>
      </c>
      <c r="FC40" s="101">
        <v>0</v>
      </c>
      <c r="FD40" s="101">
        <v>0</v>
      </c>
      <c r="FE40" s="101">
        <v>0</v>
      </c>
      <c r="FF40" s="101">
        <v>0</v>
      </c>
      <c r="FG40" s="101">
        <v>0</v>
      </c>
      <c r="FH40" s="7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265">
        <v>23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01">
        <v>0</v>
      </c>
      <c r="GM40" s="73">
        <v>0</v>
      </c>
      <c r="GN40" s="13">
        <v>0</v>
      </c>
      <c r="GO40" s="13">
        <v>0</v>
      </c>
      <c r="GP40" s="155"/>
      <c r="GQ40" s="155"/>
      <c r="GR40" s="155"/>
      <c r="GS40" s="155"/>
      <c r="GT40" s="72"/>
      <c r="GU40" s="55">
        <f t="shared" ref="GU40:GU59" si="21">SUM(E40:GL40)</f>
        <v>23</v>
      </c>
      <c r="GV40" s="56">
        <v>90</v>
      </c>
      <c r="GW40" s="63"/>
    </row>
    <row r="41" spans="1:205" x14ac:dyDescent="0.25">
      <c r="A41" s="9">
        <v>3</v>
      </c>
      <c r="B41" s="474"/>
      <c r="C41" s="193" t="s">
        <v>136</v>
      </c>
      <c r="D41" s="4" t="s">
        <v>19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62"/>
      <c r="AP41" s="160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60"/>
      <c r="EE41" s="101">
        <v>0</v>
      </c>
      <c r="EF41" s="101">
        <v>0</v>
      </c>
      <c r="EG41" s="101">
        <v>0</v>
      </c>
      <c r="EH41" s="101">
        <v>0</v>
      </c>
      <c r="EI41" s="101">
        <v>0</v>
      </c>
      <c r="EJ41" s="101">
        <v>0</v>
      </c>
      <c r="EK41" s="101">
        <v>0</v>
      </c>
      <c r="EL41" s="101">
        <v>0</v>
      </c>
      <c r="EM41" s="101">
        <v>0</v>
      </c>
      <c r="EN41" s="101">
        <v>0</v>
      </c>
      <c r="EO41" s="101">
        <v>0</v>
      </c>
      <c r="EP41" s="101">
        <v>0</v>
      </c>
      <c r="EQ41" s="101">
        <v>0</v>
      </c>
      <c r="ER41" s="101">
        <v>0</v>
      </c>
      <c r="ES41" s="101">
        <v>0</v>
      </c>
      <c r="ET41" s="101">
        <v>0</v>
      </c>
      <c r="EU41" s="101">
        <v>0</v>
      </c>
      <c r="EV41" s="101">
        <v>0</v>
      </c>
      <c r="EW41" s="101">
        <v>0</v>
      </c>
      <c r="EX41" s="101">
        <v>0</v>
      </c>
      <c r="EY41" s="101">
        <v>0</v>
      </c>
      <c r="EZ41" s="101">
        <v>0</v>
      </c>
      <c r="FA41" s="101">
        <v>0</v>
      </c>
      <c r="FB41" s="101">
        <v>0</v>
      </c>
      <c r="FC41" s="101">
        <v>0</v>
      </c>
      <c r="FD41" s="101">
        <v>0</v>
      </c>
      <c r="FE41" s="101">
        <v>0</v>
      </c>
      <c r="FF41" s="101">
        <v>0</v>
      </c>
      <c r="FG41" s="101">
        <v>0</v>
      </c>
      <c r="FH41" s="7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265">
        <v>78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01">
        <v>0</v>
      </c>
      <c r="GM41" s="73">
        <v>0</v>
      </c>
      <c r="GN41" s="13">
        <v>0</v>
      </c>
      <c r="GO41" s="13">
        <v>0</v>
      </c>
      <c r="GP41" s="155"/>
      <c r="GQ41" s="155"/>
      <c r="GR41" s="155"/>
      <c r="GS41" s="155"/>
      <c r="GT41" s="72"/>
      <c r="GU41" s="55">
        <f t="shared" si="21"/>
        <v>78</v>
      </c>
      <c r="GV41" s="56">
        <v>90</v>
      </c>
      <c r="GW41" s="63"/>
    </row>
    <row r="42" spans="1:205" x14ac:dyDescent="0.25">
      <c r="A42" s="2">
        <v>4</v>
      </c>
      <c r="B42" s="474"/>
      <c r="C42" s="193" t="s">
        <v>137</v>
      </c>
      <c r="D42" s="4" t="s">
        <v>19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62"/>
      <c r="AP42" s="160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60"/>
      <c r="EE42" s="101">
        <v>0</v>
      </c>
      <c r="EF42" s="101">
        <v>0</v>
      </c>
      <c r="EG42" s="101">
        <v>0</v>
      </c>
      <c r="EH42" s="101">
        <v>0</v>
      </c>
      <c r="EI42" s="101">
        <v>0</v>
      </c>
      <c r="EJ42" s="101">
        <v>0</v>
      </c>
      <c r="EK42" s="101">
        <v>0</v>
      </c>
      <c r="EL42" s="101">
        <v>0</v>
      </c>
      <c r="EM42" s="101">
        <v>0</v>
      </c>
      <c r="EN42" s="101">
        <v>0</v>
      </c>
      <c r="EO42" s="101">
        <v>0</v>
      </c>
      <c r="EP42" s="101">
        <v>0</v>
      </c>
      <c r="EQ42" s="101">
        <v>0</v>
      </c>
      <c r="ER42" s="101">
        <v>0</v>
      </c>
      <c r="ES42" s="101">
        <v>0</v>
      </c>
      <c r="ET42" s="101">
        <v>0</v>
      </c>
      <c r="EU42" s="101">
        <v>0</v>
      </c>
      <c r="EV42" s="101">
        <v>0</v>
      </c>
      <c r="EW42" s="101">
        <v>0</v>
      </c>
      <c r="EX42" s="101">
        <v>0</v>
      </c>
      <c r="EY42" s="101">
        <v>0</v>
      </c>
      <c r="EZ42" s="101">
        <v>0</v>
      </c>
      <c r="FA42" s="101">
        <v>0</v>
      </c>
      <c r="FB42" s="101">
        <v>0</v>
      </c>
      <c r="FC42" s="101">
        <v>0</v>
      </c>
      <c r="FD42" s="101">
        <v>0</v>
      </c>
      <c r="FE42" s="101">
        <v>0</v>
      </c>
      <c r="FF42" s="101">
        <v>0</v>
      </c>
      <c r="FG42" s="101">
        <v>0</v>
      </c>
      <c r="FH42" s="7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265">
        <v>37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01">
        <v>0</v>
      </c>
      <c r="GM42" s="73">
        <v>0</v>
      </c>
      <c r="GN42" s="13">
        <v>0</v>
      </c>
      <c r="GO42" s="13">
        <v>0</v>
      </c>
      <c r="GP42" s="155"/>
      <c r="GQ42" s="155"/>
      <c r="GR42" s="155"/>
      <c r="GS42" s="155"/>
      <c r="GT42" s="72"/>
      <c r="GU42" s="55">
        <f t="shared" si="21"/>
        <v>37</v>
      </c>
      <c r="GV42" s="56">
        <v>90</v>
      </c>
      <c r="GW42" s="63"/>
    </row>
    <row r="43" spans="1:205" x14ac:dyDescent="0.25">
      <c r="A43" s="9">
        <v>5</v>
      </c>
      <c r="B43" s="474"/>
      <c r="D43" s="4" t="s">
        <v>19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62"/>
      <c r="AP43" s="160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60"/>
      <c r="EE43" s="101">
        <v>0</v>
      </c>
      <c r="EF43" s="101">
        <v>0</v>
      </c>
      <c r="EG43" s="101">
        <v>0</v>
      </c>
      <c r="EH43" s="101">
        <v>0</v>
      </c>
      <c r="EI43" s="101">
        <v>0</v>
      </c>
      <c r="EJ43" s="101">
        <v>0</v>
      </c>
      <c r="EK43" s="101">
        <v>0</v>
      </c>
      <c r="EL43" s="101">
        <v>0</v>
      </c>
      <c r="EM43" s="101">
        <v>0</v>
      </c>
      <c r="EN43" s="101">
        <v>0</v>
      </c>
      <c r="EO43" s="101">
        <v>0</v>
      </c>
      <c r="EP43" s="101">
        <v>0</v>
      </c>
      <c r="EQ43" s="101">
        <v>0</v>
      </c>
      <c r="ER43" s="101">
        <v>0</v>
      </c>
      <c r="ES43" s="101">
        <v>0</v>
      </c>
      <c r="ET43" s="101">
        <v>0</v>
      </c>
      <c r="EU43" s="101">
        <v>0</v>
      </c>
      <c r="EV43" s="101">
        <v>0</v>
      </c>
      <c r="EW43" s="101">
        <v>0</v>
      </c>
      <c r="EX43" s="101">
        <v>0</v>
      </c>
      <c r="EY43" s="101">
        <v>0</v>
      </c>
      <c r="EZ43" s="101">
        <v>0</v>
      </c>
      <c r="FA43" s="101">
        <v>0</v>
      </c>
      <c r="FB43" s="101">
        <v>0</v>
      </c>
      <c r="FC43" s="101">
        <v>0</v>
      </c>
      <c r="FD43" s="101">
        <v>0</v>
      </c>
      <c r="FE43" s="101">
        <v>0</v>
      </c>
      <c r="FF43" s="101">
        <v>0</v>
      </c>
      <c r="FG43" s="101">
        <v>0</v>
      </c>
      <c r="FH43" s="7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265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01">
        <v>0</v>
      </c>
      <c r="GM43" s="73">
        <v>0</v>
      </c>
      <c r="GN43" s="13">
        <v>0</v>
      </c>
      <c r="GO43" s="13">
        <v>0</v>
      </c>
      <c r="GP43" s="155"/>
      <c r="GQ43" s="155"/>
      <c r="GR43" s="155"/>
      <c r="GS43" s="155"/>
      <c r="GT43" s="72"/>
      <c r="GU43" s="55">
        <f t="shared" si="21"/>
        <v>0</v>
      </c>
      <c r="GV43" s="56">
        <v>60</v>
      </c>
      <c r="GW43" s="63"/>
    </row>
    <row r="44" spans="1:205" x14ac:dyDescent="0.25">
      <c r="A44" s="2">
        <v>6</v>
      </c>
      <c r="B44" s="474"/>
      <c r="C44" s="370"/>
      <c r="D44" s="4" t="s">
        <v>19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22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62"/>
      <c r="AP44" s="160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60"/>
      <c r="EE44" s="101">
        <v>0</v>
      </c>
      <c r="EF44" s="101">
        <v>0</v>
      </c>
      <c r="EG44" s="101">
        <v>0</v>
      </c>
      <c r="EH44" s="101">
        <v>0</v>
      </c>
      <c r="EI44" s="101">
        <v>0</v>
      </c>
      <c r="EJ44" s="101">
        <v>0</v>
      </c>
      <c r="EK44" s="101">
        <v>0</v>
      </c>
      <c r="EL44" s="101">
        <v>0</v>
      </c>
      <c r="EM44" s="101">
        <v>0</v>
      </c>
      <c r="EN44" s="101">
        <v>0</v>
      </c>
      <c r="EO44" s="101">
        <v>0</v>
      </c>
      <c r="EP44" s="101">
        <v>0</v>
      </c>
      <c r="EQ44" s="101">
        <v>0</v>
      </c>
      <c r="ER44" s="101">
        <v>0</v>
      </c>
      <c r="ES44" s="101">
        <v>0</v>
      </c>
      <c r="ET44" s="101">
        <v>0</v>
      </c>
      <c r="EU44" s="101">
        <v>0</v>
      </c>
      <c r="EV44" s="101">
        <v>0</v>
      </c>
      <c r="EW44" s="101">
        <v>0</v>
      </c>
      <c r="EX44" s="101">
        <v>0</v>
      </c>
      <c r="EY44" s="101">
        <v>0</v>
      </c>
      <c r="EZ44" s="101">
        <v>0</v>
      </c>
      <c r="FA44" s="101">
        <v>0</v>
      </c>
      <c r="FB44" s="101">
        <v>0</v>
      </c>
      <c r="FC44" s="101">
        <v>0</v>
      </c>
      <c r="FD44" s="101">
        <v>0</v>
      </c>
      <c r="FE44" s="101">
        <v>0</v>
      </c>
      <c r="FF44" s="101">
        <v>0</v>
      </c>
      <c r="FG44" s="101">
        <v>0</v>
      </c>
      <c r="FH44" s="7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01">
        <v>0</v>
      </c>
      <c r="GM44" s="73">
        <v>0</v>
      </c>
      <c r="GN44" s="13">
        <v>0</v>
      </c>
      <c r="GO44" s="13">
        <v>0</v>
      </c>
      <c r="GP44" s="155"/>
      <c r="GQ44" s="155"/>
      <c r="GR44" s="155"/>
      <c r="GS44" s="155"/>
      <c r="GT44" s="72"/>
      <c r="GU44" s="55">
        <f t="shared" si="21"/>
        <v>0</v>
      </c>
      <c r="GV44" s="56">
        <v>90</v>
      </c>
      <c r="GW44" s="63"/>
    </row>
    <row r="45" spans="1:205" x14ac:dyDescent="0.25">
      <c r="A45" s="9">
        <v>7</v>
      </c>
      <c r="B45" s="474"/>
      <c r="C45" s="370"/>
      <c r="D45" s="4" t="s">
        <v>19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22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62"/>
      <c r="AP45" s="160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60"/>
      <c r="EE45" s="101">
        <v>0</v>
      </c>
      <c r="EF45" s="101">
        <v>0</v>
      </c>
      <c r="EG45" s="101">
        <v>0</v>
      </c>
      <c r="EH45" s="101">
        <v>0</v>
      </c>
      <c r="EI45" s="101">
        <v>0</v>
      </c>
      <c r="EJ45" s="101">
        <v>0</v>
      </c>
      <c r="EK45" s="101">
        <v>0</v>
      </c>
      <c r="EL45" s="101">
        <v>0</v>
      </c>
      <c r="EM45" s="101">
        <v>0</v>
      </c>
      <c r="EN45" s="101">
        <v>0</v>
      </c>
      <c r="EO45" s="101">
        <v>0</v>
      </c>
      <c r="EP45" s="101">
        <v>0</v>
      </c>
      <c r="EQ45" s="101">
        <v>0</v>
      </c>
      <c r="ER45" s="101">
        <v>0</v>
      </c>
      <c r="ES45" s="101">
        <v>0</v>
      </c>
      <c r="ET45" s="101">
        <v>0</v>
      </c>
      <c r="EU45" s="101">
        <v>0</v>
      </c>
      <c r="EV45" s="101">
        <v>0</v>
      </c>
      <c r="EW45" s="101">
        <v>0</v>
      </c>
      <c r="EX45" s="101">
        <v>0</v>
      </c>
      <c r="EY45" s="101">
        <v>0</v>
      </c>
      <c r="EZ45" s="101">
        <v>0</v>
      </c>
      <c r="FA45" s="101">
        <v>0</v>
      </c>
      <c r="FB45" s="101">
        <v>0</v>
      </c>
      <c r="FC45" s="101">
        <v>0</v>
      </c>
      <c r="FD45" s="101">
        <v>0</v>
      </c>
      <c r="FE45" s="101">
        <v>0</v>
      </c>
      <c r="FF45" s="101">
        <v>0</v>
      </c>
      <c r="FG45" s="101">
        <v>0</v>
      </c>
      <c r="FH45" s="7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01">
        <v>0</v>
      </c>
      <c r="GM45" s="73">
        <v>0</v>
      </c>
      <c r="GN45" s="13">
        <v>0</v>
      </c>
      <c r="GO45" s="13">
        <v>0</v>
      </c>
      <c r="GP45" s="155"/>
      <c r="GQ45" s="155"/>
      <c r="GR45" s="155"/>
      <c r="GS45" s="155"/>
      <c r="GT45" s="72"/>
      <c r="GU45" s="55">
        <f t="shared" si="21"/>
        <v>0</v>
      </c>
      <c r="GV45" s="56">
        <v>90</v>
      </c>
      <c r="GW45" s="63"/>
    </row>
    <row r="46" spans="1:205" x14ac:dyDescent="0.25">
      <c r="A46" s="2">
        <v>8</v>
      </c>
      <c r="B46" s="474"/>
      <c r="C46" s="370"/>
      <c r="D46" s="4" t="s">
        <v>19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62"/>
      <c r="AP46" s="160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101"/>
      <c r="BY46" s="101"/>
      <c r="BZ46" s="101"/>
      <c r="CA46" s="101"/>
      <c r="CB46" s="101"/>
      <c r="CC46" s="101"/>
      <c r="CD46" s="101"/>
      <c r="CE46" s="101"/>
      <c r="CF46" s="101"/>
      <c r="CG46" s="101"/>
      <c r="CH46" s="101"/>
      <c r="CI46" s="101"/>
      <c r="CJ46" s="101"/>
      <c r="CK46" s="101"/>
      <c r="CL46" s="101"/>
      <c r="CM46" s="101"/>
      <c r="CN46" s="101"/>
      <c r="CO46" s="101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1"/>
      <c r="DA46" s="101"/>
      <c r="DB46" s="101"/>
      <c r="DC46" s="101"/>
      <c r="DD46" s="101"/>
      <c r="DE46" s="101"/>
      <c r="DF46" s="101"/>
      <c r="DG46" s="101"/>
      <c r="DH46" s="101"/>
      <c r="DI46" s="101"/>
      <c r="DJ46" s="101"/>
      <c r="DK46" s="101"/>
      <c r="DL46" s="101"/>
      <c r="DM46" s="101"/>
      <c r="DN46" s="101"/>
      <c r="DO46" s="101"/>
      <c r="DP46" s="101"/>
      <c r="DQ46" s="101"/>
      <c r="DR46" s="101"/>
      <c r="DS46" s="101"/>
      <c r="DT46" s="101"/>
      <c r="DU46" s="101"/>
      <c r="DV46" s="101"/>
      <c r="DW46" s="101"/>
      <c r="DX46" s="101"/>
      <c r="DY46" s="101"/>
      <c r="DZ46" s="101"/>
      <c r="EA46" s="101"/>
      <c r="EB46" s="101"/>
      <c r="EC46" s="101"/>
      <c r="ED46" s="160"/>
      <c r="EE46" s="101">
        <v>0</v>
      </c>
      <c r="EF46" s="101">
        <v>0</v>
      </c>
      <c r="EG46" s="101">
        <v>0</v>
      </c>
      <c r="EH46" s="101">
        <v>0</v>
      </c>
      <c r="EI46" s="101">
        <v>0</v>
      </c>
      <c r="EJ46" s="101">
        <v>0</v>
      </c>
      <c r="EK46" s="101">
        <v>0</v>
      </c>
      <c r="EL46" s="101">
        <v>0</v>
      </c>
      <c r="EM46" s="101">
        <v>0</v>
      </c>
      <c r="EN46" s="101">
        <v>0</v>
      </c>
      <c r="EO46" s="101">
        <v>0</v>
      </c>
      <c r="EP46" s="101">
        <v>0</v>
      </c>
      <c r="EQ46" s="101">
        <v>0</v>
      </c>
      <c r="ER46" s="101">
        <v>0</v>
      </c>
      <c r="ES46" s="101">
        <v>0</v>
      </c>
      <c r="ET46" s="101">
        <v>0</v>
      </c>
      <c r="EU46" s="101">
        <v>0</v>
      </c>
      <c r="EV46" s="101">
        <v>0</v>
      </c>
      <c r="EW46" s="101">
        <v>0</v>
      </c>
      <c r="EX46" s="101">
        <v>0</v>
      </c>
      <c r="EY46" s="101">
        <v>0</v>
      </c>
      <c r="EZ46" s="101">
        <v>0</v>
      </c>
      <c r="FA46" s="101">
        <v>0</v>
      </c>
      <c r="FB46" s="101">
        <v>0</v>
      </c>
      <c r="FC46" s="101">
        <v>0</v>
      </c>
      <c r="FD46" s="101">
        <v>0</v>
      </c>
      <c r="FE46" s="101">
        <v>0</v>
      </c>
      <c r="FF46" s="101">
        <v>0</v>
      </c>
      <c r="FG46" s="101">
        <v>0</v>
      </c>
      <c r="FH46" s="7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01">
        <v>0</v>
      </c>
      <c r="GM46" s="73">
        <v>0</v>
      </c>
      <c r="GN46" s="13">
        <v>0</v>
      </c>
      <c r="GO46" s="13">
        <v>0</v>
      </c>
      <c r="GP46" s="155"/>
      <c r="GQ46" s="155"/>
      <c r="GR46" s="155"/>
      <c r="GS46" s="155"/>
      <c r="GT46" s="72"/>
      <c r="GU46" s="55">
        <f t="shared" si="21"/>
        <v>0</v>
      </c>
      <c r="GV46" s="56">
        <v>90</v>
      </c>
      <c r="GW46" s="63"/>
    </row>
    <row r="47" spans="1:205" x14ac:dyDescent="0.25">
      <c r="A47" s="9">
        <v>9</v>
      </c>
      <c r="B47" s="474"/>
      <c r="C47" s="370"/>
      <c r="D47" s="4" t="s">
        <v>19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62"/>
      <c r="AP47" s="160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101"/>
      <c r="BP47" s="101"/>
      <c r="BQ47" s="101"/>
      <c r="BR47" s="101"/>
      <c r="BS47" s="101"/>
      <c r="BT47" s="101"/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1"/>
      <c r="CF47" s="101"/>
      <c r="CG47" s="101"/>
      <c r="CH47" s="101"/>
      <c r="CI47" s="101"/>
      <c r="CJ47" s="101"/>
      <c r="CK47" s="101"/>
      <c r="CL47" s="101"/>
      <c r="CM47" s="101"/>
      <c r="CN47" s="101"/>
      <c r="CO47" s="101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1"/>
      <c r="DA47" s="101"/>
      <c r="DB47" s="101"/>
      <c r="DC47" s="101"/>
      <c r="DD47" s="101"/>
      <c r="DE47" s="101"/>
      <c r="DF47" s="101"/>
      <c r="DG47" s="101"/>
      <c r="DH47" s="101"/>
      <c r="DI47" s="101"/>
      <c r="DJ47" s="101"/>
      <c r="DK47" s="101"/>
      <c r="DL47" s="101"/>
      <c r="DM47" s="101"/>
      <c r="DN47" s="101"/>
      <c r="DO47" s="101"/>
      <c r="DP47" s="101"/>
      <c r="DQ47" s="101"/>
      <c r="DR47" s="101"/>
      <c r="DS47" s="101"/>
      <c r="DT47" s="101"/>
      <c r="DU47" s="101"/>
      <c r="DV47" s="101"/>
      <c r="DW47" s="101"/>
      <c r="DX47" s="101"/>
      <c r="DY47" s="101"/>
      <c r="DZ47" s="101"/>
      <c r="EA47" s="101"/>
      <c r="EB47" s="101"/>
      <c r="EC47" s="101"/>
      <c r="ED47" s="160"/>
      <c r="EE47" s="101">
        <v>0</v>
      </c>
      <c r="EF47" s="101">
        <v>0</v>
      </c>
      <c r="EG47" s="101">
        <v>0</v>
      </c>
      <c r="EH47" s="101">
        <v>0</v>
      </c>
      <c r="EI47" s="101">
        <v>0</v>
      </c>
      <c r="EJ47" s="101">
        <v>0</v>
      </c>
      <c r="EK47" s="101">
        <v>0</v>
      </c>
      <c r="EL47" s="101">
        <v>0</v>
      </c>
      <c r="EM47" s="101">
        <v>0</v>
      </c>
      <c r="EN47" s="101">
        <v>0</v>
      </c>
      <c r="EO47" s="101">
        <v>0</v>
      </c>
      <c r="EP47" s="101">
        <v>0</v>
      </c>
      <c r="EQ47" s="101">
        <v>0</v>
      </c>
      <c r="ER47" s="101">
        <v>0</v>
      </c>
      <c r="ES47" s="101">
        <v>0</v>
      </c>
      <c r="ET47" s="101">
        <v>0</v>
      </c>
      <c r="EU47" s="101">
        <v>0</v>
      </c>
      <c r="EV47" s="101">
        <v>0</v>
      </c>
      <c r="EW47" s="101">
        <v>0</v>
      </c>
      <c r="EX47" s="101">
        <v>0</v>
      </c>
      <c r="EY47" s="101">
        <v>0</v>
      </c>
      <c r="EZ47" s="101">
        <v>0</v>
      </c>
      <c r="FA47" s="101">
        <v>0</v>
      </c>
      <c r="FB47" s="101">
        <v>0</v>
      </c>
      <c r="FC47" s="101">
        <v>0</v>
      </c>
      <c r="FD47" s="101">
        <v>0</v>
      </c>
      <c r="FE47" s="101">
        <v>0</v>
      </c>
      <c r="FF47" s="101">
        <v>0</v>
      </c>
      <c r="FG47" s="101">
        <v>0</v>
      </c>
      <c r="FH47" s="7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01">
        <v>0</v>
      </c>
      <c r="GM47" s="73">
        <v>0</v>
      </c>
      <c r="GN47" s="13">
        <v>0</v>
      </c>
      <c r="GO47" s="13">
        <v>0</v>
      </c>
      <c r="GP47" s="155"/>
      <c r="GQ47" s="155"/>
      <c r="GR47" s="155"/>
      <c r="GS47" s="155"/>
      <c r="GT47" s="72"/>
      <c r="GU47" s="55">
        <f t="shared" si="21"/>
        <v>0</v>
      </c>
      <c r="GV47" s="56">
        <v>90</v>
      </c>
      <c r="GW47" s="372"/>
    </row>
    <row r="48" spans="1:205" x14ac:dyDescent="0.25">
      <c r="A48" s="2">
        <v>10</v>
      </c>
      <c r="B48" s="474"/>
      <c r="C48" s="370"/>
      <c r="D48" s="4" t="s">
        <v>19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62"/>
      <c r="AP48" s="160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1"/>
      <c r="CF48" s="101"/>
      <c r="CG48" s="101"/>
      <c r="CH48" s="101"/>
      <c r="CI48" s="101"/>
      <c r="CJ48" s="101"/>
      <c r="CK48" s="101"/>
      <c r="CL48" s="101"/>
      <c r="CM48" s="101"/>
      <c r="CN48" s="101"/>
      <c r="CO48" s="101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1"/>
      <c r="DA48" s="101"/>
      <c r="DB48" s="101"/>
      <c r="DC48" s="101"/>
      <c r="DD48" s="101"/>
      <c r="DE48" s="101"/>
      <c r="DF48" s="101"/>
      <c r="DG48" s="101"/>
      <c r="DH48" s="101"/>
      <c r="DI48" s="101"/>
      <c r="DJ48" s="101"/>
      <c r="DK48" s="101"/>
      <c r="DL48" s="101"/>
      <c r="DM48" s="101"/>
      <c r="DN48" s="101"/>
      <c r="DO48" s="101"/>
      <c r="DP48" s="101"/>
      <c r="DQ48" s="101"/>
      <c r="DR48" s="101"/>
      <c r="DS48" s="101"/>
      <c r="DT48" s="101"/>
      <c r="DU48" s="101"/>
      <c r="DV48" s="101"/>
      <c r="DW48" s="101"/>
      <c r="DX48" s="101"/>
      <c r="DY48" s="101"/>
      <c r="DZ48" s="101"/>
      <c r="EA48" s="101"/>
      <c r="EB48" s="101"/>
      <c r="EC48" s="101"/>
      <c r="ED48" s="160"/>
      <c r="EE48" s="101">
        <v>0</v>
      </c>
      <c r="EF48" s="101">
        <v>0</v>
      </c>
      <c r="EG48" s="101">
        <v>0</v>
      </c>
      <c r="EH48" s="101">
        <v>0</v>
      </c>
      <c r="EI48" s="101">
        <v>0</v>
      </c>
      <c r="EJ48" s="101">
        <v>0</v>
      </c>
      <c r="EK48" s="101">
        <v>0</v>
      </c>
      <c r="EL48" s="101">
        <v>0</v>
      </c>
      <c r="EM48" s="101">
        <v>0</v>
      </c>
      <c r="EN48" s="101">
        <v>0</v>
      </c>
      <c r="EO48" s="101">
        <v>0</v>
      </c>
      <c r="EP48" s="101">
        <v>0</v>
      </c>
      <c r="EQ48" s="101">
        <v>0</v>
      </c>
      <c r="ER48" s="101">
        <v>0</v>
      </c>
      <c r="ES48" s="101">
        <v>0</v>
      </c>
      <c r="ET48" s="101">
        <v>0</v>
      </c>
      <c r="EU48" s="101">
        <v>0</v>
      </c>
      <c r="EV48" s="101">
        <v>0</v>
      </c>
      <c r="EW48" s="101">
        <v>0</v>
      </c>
      <c r="EX48" s="101">
        <v>0</v>
      </c>
      <c r="EY48" s="101">
        <v>0</v>
      </c>
      <c r="EZ48" s="101">
        <v>0</v>
      </c>
      <c r="FA48" s="101">
        <v>0</v>
      </c>
      <c r="FB48" s="101">
        <v>0</v>
      </c>
      <c r="FC48" s="101">
        <v>0</v>
      </c>
      <c r="FD48" s="101">
        <v>0</v>
      </c>
      <c r="FE48" s="101">
        <v>0</v>
      </c>
      <c r="FF48" s="101">
        <v>0</v>
      </c>
      <c r="FG48" s="101">
        <v>0</v>
      </c>
      <c r="FH48" s="7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01">
        <v>0</v>
      </c>
      <c r="GM48" s="73">
        <v>0</v>
      </c>
      <c r="GN48" s="13">
        <v>0</v>
      </c>
      <c r="GO48" s="13">
        <v>0</v>
      </c>
      <c r="GP48" s="155"/>
      <c r="GQ48" s="155"/>
      <c r="GR48" s="155"/>
      <c r="GS48" s="155"/>
      <c r="GT48" s="72"/>
      <c r="GU48" s="55">
        <f t="shared" si="21"/>
        <v>0</v>
      </c>
      <c r="GV48" s="56">
        <v>90</v>
      </c>
      <c r="GW48" s="63"/>
    </row>
    <row r="49" spans="1:205" x14ac:dyDescent="0.25">
      <c r="A49" s="9">
        <v>11</v>
      </c>
      <c r="B49" s="474"/>
      <c r="C49" s="370"/>
      <c r="D49" s="4" t="s">
        <v>19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62"/>
      <c r="AP49" s="160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1"/>
      <c r="DA49" s="101"/>
      <c r="DB49" s="101"/>
      <c r="DC49" s="101"/>
      <c r="DD49" s="101"/>
      <c r="DE49" s="101"/>
      <c r="DF49" s="101"/>
      <c r="DG49" s="101"/>
      <c r="DH49" s="101"/>
      <c r="DI49" s="101"/>
      <c r="DJ49" s="101"/>
      <c r="DK49" s="101"/>
      <c r="DL49" s="101"/>
      <c r="DM49" s="101"/>
      <c r="DN49" s="101"/>
      <c r="DO49" s="101"/>
      <c r="DP49" s="101"/>
      <c r="DQ49" s="101"/>
      <c r="DR49" s="101"/>
      <c r="DS49" s="101"/>
      <c r="DT49" s="101"/>
      <c r="DU49" s="101"/>
      <c r="DV49" s="101"/>
      <c r="DW49" s="101"/>
      <c r="DX49" s="101"/>
      <c r="DY49" s="101"/>
      <c r="DZ49" s="101"/>
      <c r="EA49" s="101"/>
      <c r="EB49" s="101"/>
      <c r="EC49" s="101"/>
      <c r="ED49" s="160"/>
      <c r="EE49" s="101">
        <v>0</v>
      </c>
      <c r="EF49" s="101">
        <v>0</v>
      </c>
      <c r="EG49" s="101">
        <v>0</v>
      </c>
      <c r="EH49" s="101">
        <v>0</v>
      </c>
      <c r="EI49" s="101">
        <v>0</v>
      </c>
      <c r="EJ49" s="101">
        <v>0</v>
      </c>
      <c r="EK49" s="101">
        <v>0</v>
      </c>
      <c r="EL49" s="101">
        <v>0</v>
      </c>
      <c r="EM49" s="101">
        <v>0</v>
      </c>
      <c r="EN49" s="101">
        <v>0</v>
      </c>
      <c r="EO49" s="101">
        <v>0</v>
      </c>
      <c r="EP49" s="101">
        <v>0</v>
      </c>
      <c r="EQ49" s="101">
        <v>0</v>
      </c>
      <c r="ER49" s="101">
        <v>0</v>
      </c>
      <c r="ES49" s="101">
        <v>0</v>
      </c>
      <c r="ET49" s="101">
        <v>0</v>
      </c>
      <c r="EU49" s="101">
        <v>0</v>
      </c>
      <c r="EV49" s="101">
        <v>0</v>
      </c>
      <c r="EW49" s="101">
        <v>0</v>
      </c>
      <c r="EX49" s="101">
        <v>0</v>
      </c>
      <c r="EY49" s="101">
        <v>0</v>
      </c>
      <c r="EZ49" s="101">
        <v>0</v>
      </c>
      <c r="FA49" s="101">
        <v>0</v>
      </c>
      <c r="FB49" s="101">
        <v>0</v>
      </c>
      <c r="FC49" s="101">
        <v>0</v>
      </c>
      <c r="FD49" s="101">
        <v>0</v>
      </c>
      <c r="FE49" s="101">
        <v>0</v>
      </c>
      <c r="FF49" s="101">
        <v>0</v>
      </c>
      <c r="FG49" s="101">
        <v>0</v>
      </c>
      <c r="FH49" s="7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01">
        <v>0</v>
      </c>
      <c r="GM49" s="73">
        <v>0</v>
      </c>
      <c r="GN49" s="13">
        <v>0</v>
      </c>
      <c r="GO49" s="13">
        <v>0</v>
      </c>
      <c r="GP49" s="155"/>
      <c r="GQ49" s="155"/>
      <c r="GR49" s="155"/>
      <c r="GS49" s="155"/>
      <c r="GT49" s="72"/>
      <c r="GU49" s="55">
        <f t="shared" si="21"/>
        <v>0</v>
      </c>
      <c r="GV49" s="57">
        <v>90</v>
      </c>
      <c r="GW49" s="60"/>
    </row>
    <row r="50" spans="1:205" x14ac:dyDescent="0.25">
      <c r="A50" s="2">
        <v>12</v>
      </c>
      <c r="B50" s="474"/>
      <c r="C50" s="370"/>
      <c r="D50" s="4" t="s">
        <v>19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62"/>
      <c r="AP50" s="160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1"/>
      <c r="DA50" s="101"/>
      <c r="DB50" s="101"/>
      <c r="DC50" s="101"/>
      <c r="DD50" s="101"/>
      <c r="DE50" s="101"/>
      <c r="DF50" s="101"/>
      <c r="DG50" s="101"/>
      <c r="DH50" s="101"/>
      <c r="DI50" s="101"/>
      <c r="DJ50" s="101"/>
      <c r="DK50" s="101"/>
      <c r="DL50" s="101"/>
      <c r="DM50" s="101"/>
      <c r="DN50" s="101"/>
      <c r="DO50" s="101"/>
      <c r="DP50" s="101"/>
      <c r="DQ50" s="101"/>
      <c r="DR50" s="101"/>
      <c r="DS50" s="101"/>
      <c r="DT50" s="101"/>
      <c r="DU50" s="101"/>
      <c r="DV50" s="101"/>
      <c r="DW50" s="101"/>
      <c r="DX50" s="101"/>
      <c r="DY50" s="101"/>
      <c r="DZ50" s="101"/>
      <c r="EA50" s="101"/>
      <c r="EB50" s="101"/>
      <c r="EC50" s="101"/>
      <c r="ED50" s="160"/>
      <c r="EE50" s="101">
        <v>0</v>
      </c>
      <c r="EF50" s="101">
        <v>0</v>
      </c>
      <c r="EG50" s="101">
        <v>0</v>
      </c>
      <c r="EH50" s="101">
        <v>0</v>
      </c>
      <c r="EI50" s="101">
        <v>0</v>
      </c>
      <c r="EJ50" s="101">
        <v>0</v>
      </c>
      <c r="EK50" s="101">
        <v>0</v>
      </c>
      <c r="EL50" s="101">
        <v>0</v>
      </c>
      <c r="EM50" s="101">
        <v>0</v>
      </c>
      <c r="EN50" s="101">
        <v>0</v>
      </c>
      <c r="EO50" s="101">
        <v>0</v>
      </c>
      <c r="EP50" s="101">
        <v>0</v>
      </c>
      <c r="EQ50" s="101">
        <v>0</v>
      </c>
      <c r="ER50" s="101">
        <v>0</v>
      </c>
      <c r="ES50" s="101">
        <v>0</v>
      </c>
      <c r="ET50" s="101">
        <v>0</v>
      </c>
      <c r="EU50" s="101">
        <v>0</v>
      </c>
      <c r="EV50" s="101">
        <v>0</v>
      </c>
      <c r="EW50" s="101">
        <v>0</v>
      </c>
      <c r="EX50" s="101">
        <v>0</v>
      </c>
      <c r="EY50" s="101">
        <v>0</v>
      </c>
      <c r="EZ50" s="101">
        <v>0</v>
      </c>
      <c r="FA50" s="101">
        <v>0</v>
      </c>
      <c r="FB50" s="101">
        <v>0</v>
      </c>
      <c r="FC50" s="101">
        <v>0</v>
      </c>
      <c r="FD50" s="101">
        <v>0</v>
      </c>
      <c r="FE50" s="101">
        <v>0</v>
      </c>
      <c r="FF50" s="101">
        <v>0</v>
      </c>
      <c r="FG50" s="101">
        <v>0</v>
      </c>
      <c r="FH50" s="7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01">
        <v>0</v>
      </c>
      <c r="GM50" s="73">
        <v>0</v>
      </c>
      <c r="GN50" s="13">
        <v>0</v>
      </c>
      <c r="GO50" s="13">
        <v>0</v>
      </c>
      <c r="GP50" s="155"/>
      <c r="GQ50" s="155"/>
      <c r="GR50" s="155"/>
      <c r="GS50" s="155"/>
      <c r="GT50" s="72"/>
      <c r="GU50" s="55">
        <f t="shared" si="21"/>
        <v>0</v>
      </c>
      <c r="GV50" s="55">
        <v>90</v>
      </c>
      <c r="GW50" s="52"/>
    </row>
    <row r="51" spans="1:205" x14ac:dyDescent="0.25">
      <c r="A51" s="9">
        <v>13</v>
      </c>
      <c r="B51" s="474"/>
      <c r="C51" s="370"/>
      <c r="D51" s="4" t="s">
        <v>19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62"/>
      <c r="AP51" s="160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1"/>
      <c r="DA51" s="101"/>
      <c r="DB51" s="101"/>
      <c r="DC51" s="101"/>
      <c r="DD51" s="101"/>
      <c r="DE51" s="101"/>
      <c r="DF51" s="101"/>
      <c r="DG51" s="101"/>
      <c r="DH51" s="101"/>
      <c r="DI51" s="101"/>
      <c r="DJ51" s="101"/>
      <c r="DK51" s="101"/>
      <c r="DL51" s="101"/>
      <c r="DM51" s="101"/>
      <c r="DN51" s="101"/>
      <c r="DO51" s="101"/>
      <c r="DP51" s="101"/>
      <c r="DQ51" s="101"/>
      <c r="DR51" s="101"/>
      <c r="DS51" s="101"/>
      <c r="DT51" s="101"/>
      <c r="DU51" s="101"/>
      <c r="DV51" s="101"/>
      <c r="DW51" s="101"/>
      <c r="DX51" s="101"/>
      <c r="DY51" s="101"/>
      <c r="DZ51" s="101"/>
      <c r="EA51" s="101"/>
      <c r="EB51" s="101"/>
      <c r="EC51" s="101"/>
      <c r="ED51" s="160"/>
      <c r="EE51" s="101">
        <v>0</v>
      </c>
      <c r="EF51" s="101">
        <v>0</v>
      </c>
      <c r="EG51" s="101">
        <v>0</v>
      </c>
      <c r="EH51" s="101">
        <v>0</v>
      </c>
      <c r="EI51" s="101">
        <v>0</v>
      </c>
      <c r="EJ51" s="101">
        <v>0</v>
      </c>
      <c r="EK51" s="101">
        <v>0</v>
      </c>
      <c r="EL51" s="101">
        <v>0</v>
      </c>
      <c r="EM51" s="101">
        <v>0</v>
      </c>
      <c r="EN51" s="101">
        <v>0</v>
      </c>
      <c r="EO51" s="101">
        <v>0</v>
      </c>
      <c r="EP51" s="101">
        <v>0</v>
      </c>
      <c r="EQ51" s="101">
        <v>0</v>
      </c>
      <c r="ER51" s="101">
        <v>0</v>
      </c>
      <c r="ES51" s="101">
        <v>0</v>
      </c>
      <c r="ET51" s="101">
        <v>0</v>
      </c>
      <c r="EU51" s="101">
        <v>0</v>
      </c>
      <c r="EV51" s="101">
        <v>0</v>
      </c>
      <c r="EW51" s="101">
        <v>0</v>
      </c>
      <c r="EX51" s="101">
        <v>0</v>
      </c>
      <c r="EY51" s="101">
        <v>0</v>
      </c>
      <c r="EZ51" s="101">
        <v>0</v>
      </c>
      <c r="FA51" s="101">
        <v>0</v>
      </c>
      <c r="FB51" s="101">
        <v>0</v>
      </c>
      <c r="FC51" s="101">
        <v>0</v>
      </c>
      <c r="FD51" s="101">
        <v>0</v>
      </c>
      <c r="FE51" s="101">
        <v>0</v>
      </c>
      <c r="FF51" s="101">
        <v>0</v>
      </c>
      <c r="FG51" s="101">
        <v>0</v>
      </c>
      <c r="FH51" s="7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01">
        <v>0</v>
      </c>
      <c r="GM51" s="73">
        <v>0</v>
      </c>
      <c r="GN51" s="13">
        <v>0</v>
      </c>
      <c r="GO51" s="13">
        <v>0</v>
      </c>
      <c r="GP51" s="155"/>
      <c r="GQ51" s="155"/>
      <c r="GR51" s="155"/>
      <c r="GS51" s="155"/>
      <c r="GT51" s="72"/>
      <c r="GU51" s="55">
        <f t="shared" si="21"/>
        <v>0</v>
      </c>
      <c r="GV51" s="57">
        <v>90</v>
      </c>
      <c r="GW51" s="60"/>
    </row>
    <row r="52" spans="1:205" x14ac:dyDescent="0.25">
      <c r="A52" s="2">
        <v>14</v>
      </c>
      <c r="B52" s="474"/>
      <c r="C52" s="370"/>
      <c r="D52" s="4" t="s">
        <v>19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62"/>
      <c r="AP52" s="160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1"/>
      <c r="CF52" s="101"/>
      <c r="CG52" s="101"/>
      <c r="CH52" s="101"/>
      <c r="CI52" s="101"/>
      <c r="CJ52" s="101"/>
      <c r="CK52" s="101"/>
      <c r="CL52" s="101"/>
      <c r="CM52" s="101"/>
      <c r="CN52" s="101"/>
      <c r="CO52" s="101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1"/>
      <c r="DA52" s="101"/>
      <c r="DB52" s="101"/>
      <c r="DC52" s="101"/>
      <c r="DD52" s="101"/>
      <c r="DE52" s="101"/>
      <c r="DF52" s="101"/>
      <c r="DG52" s="101"/>
      <c r="DH52" s="101"/>
      <c r="DI52" s="101"/>
      <c r="DJ52" s="101"/>
      <c r="DK52" s="101"/>
      <c r="DL52" s="101"/>
      <c r="DM52" s="101"/>
      <c r="DN52" s="101"/>
      <c r="DO52" s="101"/>
      <c r="DP52" s="101"/>
      <c r="DQ52" s="101"/>
      <c r="DR52" s="101"/>
      <c r="DS52" s="101"/>
      <c r="DT52" s="101"/>
      <c r="DU52" s="101"/>
      <c r="DV52" s="101"/>
      <c r="DW52" s="101"/>
      <c r="DX52" s="101"/>
      <c r="DY52" s="101"/>
      <c r="DZ52" s="101"/>
      <c r="EA52" s="101"/>
      <c r="EB52" s="101"/>
      <c r="EC52" s="101"/>
      <c r="ED52" s="160"/>
      <c r="EE52" s="101">
        <v>0</v>
      </c>
      <c r="EF52" s="101">
        <v>0</v>
      </c>
      <c r="EG52" s="101">
        <v>0</v>
      </c>
      <c r="EH52" s="101">
        <v>0</v>
      </c>
      <c r="EI52" s="101">
        <v>0</v>
      </c>
      <c r="EJ52" s="101">
        <v>0</v>
      </c>
      <c r="EK52" s="101">
        <v>0</v>
      </c>
      <c r="EL52" s="101">
        <v>0</v>
      </c>
      <c r="EM52" s="101">
        <v>0</v>
      </c>
      <c r="EN52" s="101">
        <v>0</v>
      </c>
      <c r="EO52" s="101">
        <v>0</v>
      </c>
      <c r="EP52" s="101">
        <v>0</v>
      </c>
      <c r="EQ52" s="101">
        <v>0</v>
      </c>
      <c r="ER52" s="101">
        <v>0</v>
      </c>
      <c r="ES52" s="101">
        <v>0</v>
      </c>
      <c r="ET52" s="101">
        <v>0</v>
      </c>
      <c r="EU52" s="101">
        <v>0</v>
      </c>
      <c r="EV52" s="101">
        <v>0</v>
      </c>
      <c r="EW52" s="101">
        <v>0</v>
      </c>
      <c r="EX52" s="101">
        <v>0</v>
      </c>
      <c r="EY52" s="101">
        <v>0</v>
      </c>
      <c r="EZ52" s="101">
        <v>0</v>
      </c>
      <c r="FA52" s="101">
        <v>0</v>
      </c>
      <c r="FB52" s="101">
        <v>0</v>
      </c>
      <c r="FC52" s="101">
        <v>0</v>
      </c>
      <c r="FD52" s="101">
        <v>0</v>
      </c>
      <c r="FE52" s="101">
        <v>0</v>
      </c>
      <c r="FF52" s="101">
        <v>0</v>
      </c>
      <c r="FG52" s="101">
        <v>0</v>
      </c>
      <c r="FH52" s="7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01">
        <v>0</v>
      </c>
      <c r="GM52" s="73">
        <v>0</v>
      </c>
      <c r="GN52" s="13">
        <v>0</v>
      </c>
      <c r="GO52" s="13">
        <v>0</v>
      </c>
      <c r="GP52" s="155"/>
      <c r="GQ52" s="155"/>
      <c r="GR52" s="155"/>
      <c r="GS52" s="155"/>
      <c r="GT52" s="72"/>
      <c r="GU52" s="55">
        <f t="shared" si="21"/>
        <v>0</v>
      </c>
      <c r="GV52" s="56">
        <v>90</v>
      </c>
      <c r="GW52" s="63"/>
    </row>
    <row r="53" spans="1:205" x14ac:dyDescent="0.25">
      <c r="A53" s="9">
        <v>15</v>
      </c>
      <c r="B53" s="474"/>
      <c r="C53" s="370"/>
      <c r="D53" s="4" t="s">
        <v>19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62"/>
      <c r="AP53" s="160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1"/>
      <c r="DA53" s="101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01"/>
      <c r="DN53" s="101"/>
      <c r="DO53" s="101"/>
      <c r="DP53" s="101"/>
      <c r="DQ53" s="101"/>
      <c r="DR53" s="101"/>
      <c r="DS53" s="101"/>
      <c r="DT53" s="101"/>
      <c r="DU53" s="101"/>
      <c r="DV53" s="101"/>
      <c r="DW53" s="101"/>
      <c r="DX53" s="101"/>
      <c r="DY53" s="101"/>
      <c r="DZ53" s="101"/>
      <c r="EA53" s="101"/>
      <c r="EB53" s="101"/>
      <c r="EC53" s="101"/>
      <c r="ED53" s="160"/>
      <c r="EE53" s="101">
        <v>0</v>
      </c>
      <c r="EF53" s="101">
        <v>0</v>
      </c>
      <c r="EG53" s="101">
        <v>0</v>
      </c>
      <c r="EH53" s="101">
        <v>0</v>
      </c>
      <c r="EI53" s="101">
        <v>0</v>
      </c>
      <c r="EJ53" s="101">
        <v>0</v>
      </c>
      <c r="EK53" s="101">
        <v>0</v>
      </c>
      <c r="EL53" s="101">
        <v>0</v>
      </c>
      <c r="EM53" s="101">
        <v>0</v>
      </c>
      <c r="EN53" s="101">
        <v>0</v>
      </c>
      <c r="EO53" s="101">
        <v>0</v>
      </c>
      <c r="EP53" s="101">
        <v>0</v>
      </c>
      <c r="EQ53" s="101">
        <v>0</v>
      </c>
      <c r="ER53" s="101">
        <v>0</v>
      </c>
      <c r="ES53" s="101">
        <v>0</v>
      </c>
      <c r="ET53" s="101">
        <v>0</v>
      </c>
      <c r="EU53" s="101">
        <v>0</v>
      </c>
      <c r="EV53" s="101">
        <v>0</v>
      </c>
      <c r="EW53" s="101">
        <v>0</v>
      </c>
      <c r="EX53" s="101">
        <v>0</v>
      </c>
      <c r="EY53" s="101">
        <v>0</v>
      </c>
      <c r="EZ53" s="101">
        <v>0</v>
      </c>
      <c r="FA53" s="101">
        <v>0</v>
      </c>
      <c r="FB53" s="101">
        <v>0</v>
      </c>
      <c r="FC53" s="101">
        <v>0</v>
      </c>
      <c r="FD53" s="101">
        <v>0</v>
      </c>
      <c r="FE53" s="101">
        <v>0</v>
      </c>
      <c r="FF53" s="101">
        <v>0</v>
      </c>
      <c r="FG53" s="101">
        <v>0</v>
      </c>
      <c r="FH53" s="7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01">
        <v>0</v>
      </c>
      <c r="GM53" s="73">
        <v>0</v>
      </c>
      <c r="GN53" s="13">
        <v>0</v>
      </c>
      <c r="GO53" s="13">
        <v>0</v>
      </c>
      <c r="GP53" s="155"/>
      <c r="GQ53" s="155"/>
      <c r="GR53" s="155"/>
      <c r="GS53" s="155"/>
      <c r="GT53" s="72"/>
      <c r="GU53" s="55">
        <f t="shared" si="21"/>
        <v>0</v>
      </c>
      <c r="GV53" s="56">
        <v>60</v>
      </c>
      <c r="GW53" s="63"/>
    </row>
    <row r="54" spans="1:205" x14ac:dyDescent="0.25">
      <c r="A54" s="2">
        <v>16</v>
      </c>
      <c r="B54" s="474"/>
      <c r="C54" s="370"/>
      <c r="D54" s="4" t="s">
        <v>19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62"/>
      <c r="AP54" s="160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1"/>
      <c r="DA54" s="101"/>
      <c r="DB54" s="101"/>
      <c r="DC54" s="101"/>
      <c r="DD54" s="101"/>
      <c r="DE54" s="101"/>
      <c r="DF54" s="101"/>
      <c r="DG54" s="101"/>
      <c r="DH54" s="101"/>
      <c r="DI54" s="101"/>
      <c r="DJ54" s="101"/>
      <c r="DK54" s="101"/>
      <c r="DL54" s="101"/>
      <c r="DM54" s="101"/>
      <c r="DN54" s="101"/>
      <c r="DO54" s="101"/>
      <c r="DP54" s="101"/>
      <c r="DQ54" s="101"/>
      <c r="DR54" s="101"/>
      <c r="DS54" s="101"/>
      <c r="DT54" s="101"/>
      <c r="DU54" s="101"/>
      <c r="DV54" s="101"/>
      <c r="DW54" s="101"/>
      <c r="DX54" s="101"/>
      <c r="DY54" s="101"/>
      <c r="DZ54" s="101"/>
      <c r="EA54" s="101"/>
      <c r="EB54" s="101"/>
      <c r="EC54" s="101"/>
      <c r="ED54" s="160"/>
      <c r="EE54" s="101">
        <v>0</v>
      </c>
      <c r="EF54" s="101">
        <v>0</v>
      </c>
      <c r="EG54" s="101">
        <v>0</v>
      </c>
      <c r="EH54" s="101">
        <v>0</v>
      </c>
      <c r="EI54" s="101">
        <v>0</v>
      </c>
      <c r="EJ54" s="101">
        <v>0</v>
      </c>
      <c r="EK54" s="101">
        <v>0</v>
      </c>
      <c r="EL54" s="101">
        <v>0</v>
      </c>
      <c r="EM54" s="101">
        <v>0</v>
      </c>
      <c r="EN54" s="101">
        <v>0</v>
      </c>
      <c r="EO54" s="101">
        <v>0</v>
      </c>
      <c r="EP54" s="101">
        <v>0</v>
      </c>
      <c r="EQ54" s="101">
        <v>0</v>
      </c>
      <c r="ER54" s="101">
        <v>0</v>
      </c>
      <c r="ES54" s="101">
        <v>0</v>
      </c>
      <c r="ET54" s="101">
        <v>0</v>
      </c>
      <c r="EU54" s="101">
        <v>0</v>
      </c>
      <c r="EV54" s="101">
        <v>0</v>
      </c>
      <c r="EW54" s="101">
        <v>0</v>
      </c>
      <c r="EX54" s="101">
        <v>0</v>
      </c>
      <c r="EY54" s="101">
        <v>0</v>
      </c>
      <c r="EZ54" s="101">
        <v>0</v>
      </c>
      <c r="FA54" s="101">
        <v>0</v>
      </c>
      <c r="FB54" s="101">
        <v>0</v>
      </c>
      <c r="FC54" s="101">
        <v>0</v>
      </c>
      <c r="FD54" s="101">
        <v>0</v>
      </c>
      <c r="FE54" s="101">
        <v>0</v>
      </c>
      <c r="FF54" s="101">
        <v>0</v>
      </c>
      <c r="FG54" s="101">
        <v>0</v>
      </c>
      <c r="FH54" s="7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01">
        <v>0</v>
      </c>
      <c r="GM54" s="73">
        <v>0</v>
      </c>
      <c r="GN54" s="13">
        <v>0</v>
      </c>
      <c r="GO54" s="13">
        <v>0</v>
      </c>
      <c r="GP54" s="155"/>
      <c r="GQ54" s="155"/>
      <c r="GR54" s="155"/>
      <c r="GS54" s="155"/>
      <c r="GT54" s="72"/>
      <c r="GU54" s="55">
        <f t="shared" si="21"/>
        <v>0</v>
      </c>
      <c r="GV54" s="55">
        <v>90</v>
      </c>
      <c r="GW54" s="52"/>
    </row>
    <row r="55" spans="1:205" x14ac:dyDescent="0.25">
      <c r="A55" s="2">
        <v>17</v>
      </c>
      <c r="B55" s="474"/>
      <c r="C55" s="193" t="s">
        <v>121</v>
      </c>
      <c r="D55" s="4" t="s">
        <v>19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62"/>
      <c r="AP55" s="160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1"/>
      <c r="BT55" s="101"/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1"/>
      <c r="CF55" s="101"/>
      <c r="CG55" s="101"/>
      <c r="CH55" s="101"/>
      <c r="CI55" s="101"/>
      <c r="CJ55" s="101"/>
      <c r="CK55" s="101"/>
      <c r="CL55" s="101"/>
      <c r="CM55" s="101"/>
      <c r="CN55" s="101"/>
      <c r="CO55" s="101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1"/>
      <c r="DA55" s="101"/>
      <c r="DB55" s="101"/>
      <c r="DC55" s="101"/>
      <c r="DD55" s="101"/>
      <c r="DE55" s="101"/>
      <c r="DF55" s="101"/>
      <c r="DG55" s="101"/>
      <c r="DH55" s="101"/>
      <c r="DI55" s="101"/>
      <c r="DJ55" s="101"/>
      <c r="DK55" s="101"/>
      <c r="DL55" s="101"/>
      <c r="DM55" s="101"/>
      <c r="DN55" s="101"/>
      <c r="DO55" s="101"/>
      <c r="DP55" s="101"/>
      <c r="DQ55" s="101"/>
      <c r="DR55" s="101"/>
      <c r="DS55" s="101"/>
      <c r="DT55" s="101"/>
      <c r="DU55" s="101"/>
      <c r="DV55" s="101"/>
      <c r="DW55" s="101"/>
      <c r="DX55" s="101"/>
      <c r="DY55" s="101"/>
      <c r="DZ55" s="101"/>
      <c r="EA55" s="101"/>
      <c r="EB55" s="101"/>
      <c r="EC55" s="101"/>
      <c r="ED55" s="160"/>
      <c r="EE55" s="101">
        <v>0</v>
      </c>
      <c r="EF55" s="101">
        <v>0</v>
      </c>
      <c r="EG55" s="101">
        <v>0</v>
      </c>
      <c r="EH55" s="101">
        <v>0</v>
      </c>
      <c r="EI55" s="101">
        <v>0</v>
      </c>
      <c r="EJ55" s="101">
        <v>0</v>
      </c>
      <c r="EK55" s="101">
        <v>0</v>
      </c>
      <c r="EL55" s="101">
        <v>0</v>
      </c>
      <c r="EM55" s="101">
        <v>0</v>
      </c>
      <c r="EN55" s="101">
        <v>0</v>
      </c>
      <c r="EO55" s="101">
        <v>0</v>
      </c>
      <c r="EP55" s="101">
        <v>0</v>
      </c>
      <c r="EQ55" s="269">
        <v>29</v>
      </c>
      <c r="ER55" s="101">
        <v>0</v>
      </c>
      <c r="ES55" s="101">
        <v>0</v>
      </c>
      <c r="ET55" s="101">
        <v>0</v>
      </c>
      <c r="EU55" s="101">
        <v>0</v>
      </c>
      <c r="EV55" s="101">
        <v>0</v>
      </c>
      <c r="EW55" s="101">
        <v>0</v>
      </c>
      <c r="EX55" s="101">
        <v>0</v>
      </c>
      <c r="EY55" s="101">
        <v>0</v>
      </c>
      <c r="EZ55" s="101">
        <v>0</v>
      </c>
      <c r="FA55" s="101">
        <v>0</v>
      </c>
      <c r="FB55" s="101">
        <v>0</v>
      </c>
      <c r="FC55" s="101">
        <v>0</v>
      </c>
      <c r="FD55" s="101">
        <v>0</v>
      </c>
      <c r="FE55" s="101">
        <v>0</v>
      </c>
      <c r="FF55" s="101">
        <v>0</v>
      </c>
      <c r="FG55" s="101">
        <v>0</v>
      </c>
      <c r="FH55" s="7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01">
        <v>0</v>
      </c>
      <c r="GM55" s="73">
        <v>0</v>
      </c>
      <c r="GN55" s="13">
        <v>0</v>
      </c>
      <c r="GO55" s="13">
        <v>0</v>
      </c>
      <c r="GP55" s="155"/>
      <c r="GQ55" s="155"/>
      <c r="GR55" s="155"/>
      <c r="GS55" s="155"/>
      <c r="GT55" s="72"/>
      <c r="GU55" s="55">
        <f t="shared" si="21"/>
        <v>29</v>
      </c>
      <c r="GV55" s="55">
        <v>90</v>
      </c>
      <c r="GW55" s="52"/>
    </row>
    <row r="56" spans="1:205" x14ac:dyDescent="0.25">
      <c r="A56" s="9">
        <v>18</v>
      </c>
      <c r="B56" s="474"/>
      <c r="C56" s="193" t="s">
        <v>120</v>
      </c>
      <c r="D56" s="4" t="s">
        <v>19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62"/>
      <c r="AP56" s="160"/>
      <c r="AQ56" s="101"/>
      <c r="AR56" s="101"/>
      <c r="AS56" s="101"/>
      <c r="AT56" s="101"/>
      <c r="AU56" s="101"/>
      <c r="AV56" s="101"/>
      <c r="AW56" s="101"/>
      <c r="AX56" s="101"/>
      <c r="AY56" s="122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1"/>
      <c r="DA56" s="101"/>
      <c r="DB56" s="101"/>
      <c r="DC56" s="101"/>
      <c r="DD56" s="101"/>
      <c r="DE56" s="101"/>
      <c r="DF56" s="101"/>
      <c r="DG56" s="101"/>
      <c r="DH56" s="101"/>
      <c r="DI56" s="101"/>
      <c r="DJ56" s="101"/>
      <c r="DK56" s="101"/>
      <c r="DL56" s="101"/>
      <c r="DM56" s="101"/>
      <c r="DN56" s="101"/>
      <c r="DO56" s="101"/>
      <c r="DP56" s="101"/>
      <c r="DQ56" s="101"/>
      <c r="DR56" s="101"/>
      <c r="DS56" s="101"/>
      <c r="DT56" s="101"/>
      <c r="DU56" s="101"/>
      <c r="DV56" s="101"/>
      <c r="DW56" s="101"/>
      <c r="DX56" s="101"/>
      <c r="DY56" s="101"/>
      <c r="DZ56" s="101"/>
      <c r="EA56" s="101"/>
      <c r="EB56" s="101"/>
      <c r="EC56" s="101"/>
      <c r="ED56" s="160"/>
      <c r="EE56" s="101">
        <v>0</v>
      </c>
      <c r="EF56" s="101">
        <v>0</v>
      </c>
      <c r="EG56" s="269">
        <v>102</v>
      </c>
      <c r="EH56" s="101">
        <v>0</v>
      </c>
      <c r="EI56" s="101">
        <v>0</v>
      </c>
      <c r="EJ56" s="101">
        <v>0</v>
      </c>
      <c r="EK56" s="101">
        <v>0</v>
      </c>
      <c r="EL56" s="101">
        <v>0</v>
      </c>
      <c r="EM56" s="101">
        <v>0</v>
      </c>
      <c r="EN56" s="101">
        <v>0</v>
      </c>
      <c r="EO56" s="101">
        <v>0</v>
      </c>
      <c r="EP56" s="101">
        <v>0</v>
      </c>
      <c r="EQ56" s="101">
        <v>0</v>
      </c>
      <c r="ER56" s="101">
        <v>0</v>
      </c>
      <c r="ES56" s="101">
        <v>0</v>
      </c>
      <c r="ET56" s="101">
        <v>0</v>
      </c>
      <c r="EU56" s="101">
        <v>0</v>
      </c>
      <c r="EV56" s="101">
        <v>0</v>
      </c>
      <c r="EW56" s="101">
        <v>0</v>
      </c>
      <c r="EX56" s="101">
        <v>0</v>
      </c>
      <c r="EY56" s="101">
        <v>0</v>
      </c>
      <c r="EZ56" s="101">
        <v>0</v>
      </c>
      <c r="FA56" s="101">
        <v>0</v>
      </c>
      <c r="FB56" s="101">
        <v>0</v>
      </c>
      <c r="FC56" s="101">
        <v>0</v>
      </c>
      <c r="FD56" s="101">
        <v>0</v>
      </c>
      <c r="FE56" s="101">
        <v>0</v>
      </c>
      <c r="FF56" s="101">
        <v>0</v>
      </c>
      <c r="FG56" s="101">
        <v>0</v>
      </c>
      <c r="FH56" s="7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01">
        <v>0</v>
      </c>
      <c r="GM56" s="73">
        <v>0</v>
      </c>
      <c r="GN56" s="13">
        <v>0</v>
      </c>
      <c r="GO56" s="13">
        <v>0</v>
      </c>
      <c r="GP56" s="155"/>
      <c r="GQ56" s="155"/>
      <c r="GR56" s="155"/>
      <c r="GS56" s="155"/>
      <c r="GT56" s="72"/>
      <c r="GU56" s="55">
        <f t="shared" si="21"/>
        <v>102</v>
      </c>
      <c r="GV56" s="55">
        <v>90</v>
      </c>
      <c r="GW56" s="52"/>
    </row>
    <row r="57" spans="1:205" x14ac:dyDescent="0.25">
      <c r="A57" s="2">
        <v>19</v>
      </c>
      <c r="B57" s="474"/>
      <c r="C57" s="193" t="s">
        <v>119</v>
      </c>
      <c r="D57" s="4" t="s">
        <v>19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62"/>
      <c r="AP57" s="160"/>
      <c r="AQ57" s="101"/>
      <c r="AR57" s="101"/>
      <c r="AS57" s="101"/>
      <c r="AT57" s="101"/>
      <c r="AU57" s="101"/>
      <c r="AV57" s="101"/>
      <c r="AW57" s="101"/>
      <c r="AX57" s="101"/>
      <c r="AY57" s="122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1"/>
      <c r="CF57" s="101"/>
      <c r="CG57" s="101"/>
      <c r="CH57" s="101"/>
      <c r="CI57" s="101"/>
      <c r="CJ57" s="101"/>
      <c r="CK57" s="101"/>
      <c r="CL57" s="101"/>
      <c r="CM57" s="101"/>
      <c r="CN57" s="101"/>
      <c r="CO57" s="101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1"/>
      <c r="DA57" s="101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  <c r="DR57" s="101"/>
      <c r="DS57" s="101"/>
      <c r="DT57" s="101"/>
      <c r="DU57" s="101"/>
      <c r="DV57" s="101"/>
      <c r="DW57" s="101"/>
      <c r="DX57" s="101"/>
      <c r="DY57" s="101"/>
      <c r="DZ57" s="101"/>
      <c r="EA57" s="101"/>
      <c r="EB57" s="101"/>
      <c r="EC57" s="101"/>
      <c r="ED57" s="160"/>
      <c r="EE57" s="269">
        <v>34</v>
      </c>
      <c r="EF57" s="101">
        <v>0</v>
      </c>
      <c r="EG57" s="101">
        <v>0</v>
      </c>
      <c r="EH57" s="101">
        <v>0</v>
      </c>
      <c r="EI57" s="101">
        <v>0</v>
      </c>
      <c r="EJ57" s="101">
        <v>0</v>
      </c>
      <c r="EK57" s="101">
        <v>0</v>
      </c>
      <c r="EL57" s="101">
        <v>0</v>
      </c>
      <c r="EM57" s="101">
        <v>0</v>
      </c>
      <c r="EN57" s="101">
        <v>0</v>
      </c>
      <c r="EO57" s="101">
        <v>0</v>
      </c>
      <c r="EP57" s="101">
        <v>0</v>
      </c>
      <c r="EQ57" s="101">
        <v>0</v>
      </c>
      <c r="ER57" s="101">
        <v>0</v>
      </c>
      <c r="ES57" s="101">
        <v>0</v>
      </c>
      <c r="ET57" s="101">
        <v>0</v>
      </c>
      <c r="EU57" s="101">
        <v>0</v>
      </c>
      <c r="EV57" s="101">
        <v>0</v>
      </c>
      <c r="EW57" s="101">
        <v>0</v>
      </c>
      <c r="EX57" s="101">
        <v>0</v>
      </c>
      <c r="EY57" s="101">
        <v>0</v>
      </c>
      <c r="EZ57" s="101">
        <v>0</v>
      </c>
      <c r="FA57" s="101">
        <v>0</v>
      </c>
      <c r="FB57" s="101">
        <v>0</v>
      </c>
      <c r="FC57" s="101">
        <v>0</v>
      </c>
      <c r="FD57" s="101">
        <v>0</v>
      </c>
      <c r="FE57" s="101">
        <v>0</v>
      </c>
      <c r="FF57" s="101">
        <v>0</v>
      </c>
      <c r="FG57" s="101">
        <v>0</v>
      </c>
      <c r="FH57" s="7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01">
        <v>0</v>
      </c>
      <c r="GM57" s="73">
        <v>0</v>
      </c>
      <c r="GN57" s="13">
        <v>0</v>
      </c>
      <c r="GO57" s="13">
        <v>0</v>
      </c>
      <c r="GP57" s="155"/>
      <c r="GQ57" s="155"/>
      <c r="GR57" s="155"/>
      <c r="GS57" s="155"/>
      <c r="GT57" s="72"/>
      <c r="GU57" s="55">
        <f t="shared" si="21"/>
        <v>34</v>
      </c>
      <c r="GV57" s="55">
        <v>90</v>
      </c>
      <c r="GW57" s="52"/>
    </row>
    <row r="58" spans="1:205" x14ac:dyDescent="0.25">
      <c r="A58" s="2">
        <v>20</v>
      </c>
      <c r="B58" s="474"/>
      <c r="C58" s="370" t="s">
        <v>68</v>
      </c>
      <c r="D58" s="4" t="s">
        <v>19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62"/>
      <c r="AP58" s="160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01"/>
      <c r="BU58" s="101"/>
      <c r="BV58" s="101"/>
      <c r="BW58" s="101"/>
      <c r="BX58" s="101"/>
      <c r="BY58" s="101"/>
      <c r="BZ58" s="101"/>
      <c r="CA58" s="101"/>
      <c r="CB58" s="101"/>
      <c r="CC58" s="101"/>
      <c r="CD58" s="101"/>
      <c r="CE58" s="101"/>
      <c r="CF58" s="101"/>
      <c r="CG58" s="101"/>
      <c r="CH58" s="101"/>
      <c r="CI58" s="101"/>
      <c r="CJ58" s="101"/>
      <c r="CK58" s="101"/>
      <c r="CL58" s="101"/>
      <c r="CM58" s="101"/>
      <c r="CN58" s="101"/>
      <c r="CO58" s="101"/>
      <c r="CP58" s="101"/>
      <c r="CQ58" s="101"/>
      <c r="CR58" s="101"/>
      <c r="CS58" s="101"/>
      <c r="CT58" s="101"/>
      <c r="CU58" s="101"/>
      <c r="CV58" s="101"/>
      <c r="CW58" s="101"/>
      <c r="CX58" s="101"/>
      <c r="CY58" s="101"/>
      <c r="CZ58" s="101"/>
      <c r="DA58" s="101"/>
      <c r="DB58" s="101"/>
      <c r="DC58" s="101"/>
      <c r="DD58" s="101"/>
      <c r="DE58" s="101"/>
      <c r="DF58" s="101"/>
      <c r="DG58" s="101"/>
      <c r="DH58" s="101"/>
      <c r="DI58" s="101"/>
      <c r="DJ58" s="101"/>
      <c r="DK58" s="101"/>
      <c r="DL58" s="101"/>
      <c r="DM58" s="101"/>
      <c r="DN58" s="101"/>
      <c r="DO58" s="101"/>
      <c r="DP58" s="101"/>
      <c r="DQ58" s="101"/>
      <c r="DR58" s="101"/>
      <c r="DS58" s="101"/>
      <c r="DT58" s="101"/>
      <c r="DU58" s="101"/>
      <c r="DV58" s="101"/>
      <c r="DW58" s="101"/>
      <c r="DX58" s="101"/>
      <c r="DY58" s="101"/>
      <c r="DZ58" s="101"/>
      <c r="EA58" s="101"/>
      <c r="EB58" s="101"/>
      <c r="EC58" s="101"/>
      <c r="ED58" s="160"/>
      <c r="EE58" s="101">
        <v>0</v>
      </c>
      <c r="EF58" s="101">
        <v>0</v>
      </c>
      <c r="EG58" s="101">
        <v>0</v>
      </c>
      <c r="EH58" s="101">
        <v>0</v>
      </c>
      <c r="EI58" s="101">
        <v>0</v>
      </c>
      <c r="EJ58" s="101">
        <v>0</v>
      </c>
      <c r="EK58" s="101">
        <v>0</v>
      </c>
      <c r="EL58" s="101">
        <v>0</v>
      </c>
      <c r="EM58" s="101">
        <v>0</v>
      </c>
      <c r="EN58" s="101">
        <v>0</v>
      </c>
      <c r="EO58" s="101">
        <v>0</v>
      </c>
      <c r="EP58" s="101">
        <v>0</v>
      </c>
      <c r="EQ58" s="101">
        <v>0</v>
      </c>
      <c r="ER58" s="101">
        <v>0</v>
      </c>
      <c r="ES58" s="101">
        <v>0</v>
      </c>
      <c r="ET58" s="101">
        <v>0</v>
      </c>
      <c r="EU58" s="101">
        <v>0</v>
      </c>
      <c r="EV58" s="101">
        <v>0</v>
      </c>
      <c r="EW58" s="101">
        <v>0</v>
      </c>
      <c r="EX58" s="101">
        <v>0</v>
      </c>
      <c r="EY58" s="101">
        <v>0</v>
      </c>
      <c r="EZ58" s="101">
        <v>0</v>
      </c>
      <c r="FA58" s="101">
        <v>0</v>
      </c>
      <c r="FB58" s="101">
        <v>0</v>
      </c>
      <c r="FC58" s="101">
        <v>0</v>
      </c>
      <c r="FD58" s="101">
        <v>0</v>
      </c>
      <c r="FE58" s="101">
        <v>0</v>
      </c>
      <c r="FF58" s="101">
        <v>0</v>
      </c>
      <c r="FG58" s="101">
        <v>0</v>
      </c>
      <c r="FH58" s="7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01">
        <v>0</v>
      </c>
      <c r="GM58" s="73">
        <v>0</v>
      </c>
      <c r="GN58" s="13">
        <v>0</v>
      </c>
      <c r="GO58" s="13">
        <v>0</v>
      </c>
      <c r="GP58" s="155"/>
      <c r="GQ58" s="155"/>
      <c r="GR58" s="155"/>
      <c r="GS58" s="155"/>
      <c r="GT58" s="72"/>
      <c r="GU58" s="55">
        <f t="shared" si="21"/>
        <v>0</v>
      </c>
      <c r="GV58" s="56">
        <v>60</v>
      </c>
      <c r="GW58" s="63"/>
    </row>
    <row r="59" spans="1:205" ht="15.75" thickBot="1" x14ac:dyDescent="0.3">
      <c r="A59" s="9">
        <v>21</v>
      </c>
      <c r="B59" s="474"/>
      <c r="C59" s="370" t="s">
        <v>69</v>
      </c>
      <c r="D59" s="4" t="s">
        <v>19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62"/>
      <c r="AP59" s="160"/>
      <c r="AQ59" s="101"/>
      <c r="AR59" s="101"/>
      <c r="AS59" s="101"/>
      <c r="AT59" s="101"/>
      <c r="AU59" s="101"/>
      <c r="AV59" s="101"/>
      <c r="AW59" s="101"/>
      <c r="AX59" s="101"/>
      <c r="AY59" s="122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  <c r="CU59" s="101"/>
      <c r="CV59" s="101"/>
      <c r="CW59" s="101"/>
      <c r="CX59" s="101"/>
      <c r="CY59" s="101"/>
      <c r="CZ59" s="101"/>
      <c r="DA59" s="101"/>
      <c r="DB59" s="101"/>
      <c r="DC59" s="101"/>
      <c r="DD59" s="101"/>
      <c r="DE59" s="101"/>
      <c r="DF59" s="101"/>
      <c r="DG59" s="101"/>
      <c r="DH59" s="101"/>
      <c r="DI59" s="101"/>
      <c r="DJ59" s="101"/>
      <c r="DK59" s="101"/>
      <c r="DL59" s="101"/>
      <c r="DM59" s="101"/>
      <c r="DN59" s="101"/>
      <c r="DO59" s="101"/>
      <c r="DP59" s="101"/>
      <c r="DQ59" s="101"/>
      <c r="DR59" s="101"/>
      <c r="DS59" s="101"/>
      <c r="DT59" s="101"/>
      <c r="DU59" s="101"/>
      <c r="DV59" s="101"/>
      <c r="DW59" s="101"/>
      <c r="DX59" s="101"/>
      <c r="DY59" s="101"/>
      <c r="DZ59" s="101"/>
      <c r="EA59" s="101"/>
      <c r="EB59" s="101"/>
      <c r="EC59" s="101"/>
      <c r="ED59" s="160"/>
      <c r="EE59" s="101">
        <v>0</v>
      </c>
      <c r="EF59" s="101">
        <v>0</v>
      </c>
      <c r="EG59" s="101">
        <v>0</v>
      </c>
      <c r="EH59" s="101">
        <v>0</v>
      </c>
      <c r="EI59" s="101">
        <v>0</v>
      </c>
      <c r="EJ59" s="101">
        <v>0</v>
      </c>
      <c r="EK59" s="101">
        <v>0</v>
      </c>
      <c r="EL59" s="101">
        <v>0</v>
      </c>
      <c r="EM59" s="101">
        <v>0</v>
      </c>
      <c r="EN59" s="101">
        <v>0</v>
      </c>
      <c r="EO59" s="101">
        <v>0</v>
      </c>
      <c r="EP59" s="101">
        <v>0</v>
      </c>
      <c r="EQ59" s="101">
        <v>0</v>
      </c>
      <c r="ER59" s="101">
        <v>0</v>
      </c>
      <c r="ES59" s="101">
        <v>0</v>
      </c>
      <c r="ET59" s="101">
        <v>0</v>
      </c>
      <c r="EU59" s="101">
        <v>0</v>
      </c>
      <c r="EV59" s="101">
        <v>0</v>
      </c>
      <c r="EW59" s="101">
        <v>0</v>
      </c>
      <c r="EX59" s="101">
        <v>0</v>
      </c>
      <c r="EY59" s="101">
        <v>0</v>
      </c>
      <c r="EZ59" s="101">
        <v>0</v>
      </c>
      <c r="FA59" s="101">
        <v>0</v>
      </c>
      <c r="FB59" s="101">
        <v>0</v>
      </c>
      <c r="FC59" s="101">
        <v>0</v>
      </c>
      <c r="FD59" s="101">
        <v>0</v>
      </c>
      <c r="FE59" s="101">
        <v>0</v>
      </c>
      <c r="FF59" s="101">
        <v>0</v>
      </c>
      <c r="FG59" s="101">
        <v>0</v>
      </c>
      <c r="FH59" s="403">
        <v>0</v>
      </c>
      <c r="FI59" s="404">
        <v>0</v>
      </c>
      <c r="FJ59" s="404">
        <v>0</v>
      </c>
      <c r="FK59" s="404">
        <v>0</v>
      </c>
      <c r="FL59" s="404">
        <v>0</v>
      </c>
      <c r="FM59" s="404">
        <v>0</v>
      </c>
      <c r="FN59" s="404">
        <v>0</v>
      </c>
      <c r="FO59" s="404">
        <v>0</v>
      </c>
      <c r="FP59" s="404">
        <v>0</v>
      </c>
      <c r="FQ59" s="404">
        <v>0</v>
      </c>
      <c r="FR59" s="404">
        <v>0</v>
      </c>
      <c r="FS59" s="404">
        <v>0</v>
      </c>
      <c r="FT59" s="404">
        <v>0</v>
      </c>
      <c r="FU59" s="404">
        <v>0</v>
      </c>
      <c r="FV59" s="404">
        <v>0</v>
      </c>
      <c r="FW59" s="404">
        <v>0</v>
      </c>
      <c r="FX59" s="404">
        <v>0</v>
      </c>
      <c r="FY59" s="404">
        <v>0</v>
      </c>
      <c r="FZ59" s="404">
        <v>0</v>
      </c>
      <c r="GA59" s="404">
        <v>0</v>
      </c>
      <c r="GB59" s="404">
        <v>0</v>
      </c>
      <c r="GC59" s="404">
        <v>0</v>
      </c>
      <c r="GD59" s="404">
        <v>0</v>
      </c>
      <c r="GE59" s="404">
        <v>0</v>
      </c>
      <c r="GF59" s="404">
        <v>0</v>
      </c>
      <c r="GG59" s="404">
        <v>0</v>
      </c>
      <c r="GH59" s="404">
        <v>0</v>
      </c>
      <c r="GI59" s="404">
        <v>0</v>
      </c>
      <c r="GJ59" s="404">
        <v>0</v>
      </c>
      <c r="GK59" s="404">
        <v>0</v>
      </c>
      <c r="GL59" s="428">
        <v>0</v>
      </c>
      <c r="GM59" s="403">
        <v>0</v>
      </c>
      <c r="GN59" s="404">
        <v>0</v>
      </c>
      <c r="GO59" s="404">
        <v>0</v>
      </c>
      <c r="GP59" s="425"/>
      <c r="GQ59" s="425"/>
      <c r="GR59" s="425"/>
      <c r="GS59" s="425"/>
      <c r="GT59" s="429"/>
      <c r="GU59" s="55">
        <f t="shared" si="21"/>
        <v>0</v>
      </c>
      <c r="GV59" s="186">
        <v>90</v>
      </c>
      <c r="GW59" s="187"/>
    </row>
    <row r="60" spans="1:205" ht="16.5" thickBot="1" x14ac:dyDescent="0.3">
      <c r="A60" s="15"/>
      <c r="B60" s="15"/>
      <c r="C60" s="16" t="s">
        <v>12</v>
      </c>
      <c r="D60" s="17" t="s">
        <v>19</v>
      </c>
      <c r="E60" s="20">
        <f t="shared" ref="E60:AN60" si="22">SUM(E39:E59)</f>
        <v>0</v>
      </c>
      <c r="F60" s="20">
        <f t="shared" si="22"/>
        <v>0</v>
      </c>
      <c r="G60" s="20">
        <f t="shared" si="22"/>
        <v>0</v>
      </c>
      <c r="H60" s="20">
        <f t="shared" si="22"/>
        <v>0</v>
      </c>
      <c r="I60" s="20">
        <f t="shared" si="22"/>
        <v>0</v>
      </c>
      <c r="J60" s="20">
        <f t="shared" si="22"/>
        <v>0</v>
      </c>
      <c r="K60" s="20">
        <f t="shared" si="22"/>
        <v>0</v>
      </c>
      <c r="L60" s="20">
        <f t="shared" si="22"/>
        <v>0</v>
      </c>
      <c r="M60" s="20">
        <f t="shared" si="22"/>
        <v>0</v>
      </c>
      <c r="N60" s="20">
        <f t="shared" si="22"/>
        <v>0</v>
      </c>
      <c r="O60" s="20">
        <f t="shared" si="22"/>
        <v>0</v>
      </c>
      <c r="P60" s="20">
        <f t="shared" si="22"/>
        <v>0</v>
      </c>
      <c r="Q60" s="20">
        <f t="shared" si="22"/>
        <v>0</v>
      </c>
      <c r="R60" s="20">
        <f t="shared" si="22"/>
        <v>0</v>
      </c>
      <c r="S60" s="20">
        <f t="shared" si="22"/>
        <v>0</v>
      </c>
      <c r="T60" s="20">
        <f t="shared" si="22"/>
        <v>0</v>
      </c>
      <c r="U60" s="20">
        <f t="shared" si="22"/>
        <v>0</v>
      </c>
      <c r="V60" s="20">
        <f t="shared" si="22"/>
        <v>0</v>
      </c>
      <c r="W60" s="20">
        <f t="shared" si="22"/>
        <v>0</v>
      </c>
      <c r="X60" s="20">
        <f t="shared" si="22"/>
        <v>0</v>
      </c>
      <c r="Y60" s="20">
        <f t="shared" si="22"/>
        <v>0</v>
      </c>
      <c r="Z60" s="20">
        <f t="shared" si="22"/>
        <v>0</v>
      </c>
      <c r="AA60" s="20">
        <f t="shared" si="22"/>
        <v>0</v>
      </c>
      <c r="AB60" s="20">
        <f t="shared" si="22"/>
        <v>0</v>
      </c>
      <c r="AC60" s="20">
        <f t="shared" si="22"/>
        <v>0</v>
      </c>
      <c r="AD60" s="20">
        <f t="shared" si="22"/>
        <v>0</v>
      </c>
      <c r="AE60" s="20">
        <f t="shared" si="22"/>
        <v>0</v>
      </c>
      <c r="AF60" s="20">
        <f t="shared" si="22"/>
        <v>0</v>
      </c>
      <c r="AG60" s="20">
        <f t="shared" si="22"/>
        <v>0</v>
      </c>
      <c r="AH60" s="20">
        <f t="shared" si="22"/>
        <v>0</v>
      </c>
      <c r="AI60" s="20">
        <f t="shared" si="22"/>
        <v>0</v>
      </c>
      <c r="AJ60" s="20">
        <f t="shared" si="22"/>
        <v>0</v>
      </c>
      <c r="AK60" s="20">
        <f t="shared" si="22"/>
        <v>0</v>
      </c>
      <c r="AL60" s="20">
        <f t="shared" si="22"/>
        <v>0</v>
      </c>
      <c r="AM60" s="20">
        <f t="shared" si="22"/>
        <v>0</v>
      </c>
      <c r="AN60" s="159">
        <f t="shared" si="22"/>
        <v>0</v>
      </c>
      <c r="AO60" s="177"/>
      <c r="AP60" s="83">
        <f t="shared" ref="AP60:BO60" si="23">SUM(AP39:AP59)</f>
        <v>0</v>
      </c>
      <c r="AQ60" s="20">
        <f t="shared" si="23"/>
        <v>0</v>
      </c>
      <c r="AR60" s="20">
        <f t="shared" si="23"/>
        <v>0</v>
      </c>
      <c r="AS60" s="20">
        <f t="shared" si="23"/>
        <v>0</v>
      </c>
      <c r="AT60" s="20">
        <f t="shared" si="23"/>
        <v>0</v>
      </c>
      <c r="AU60" s="20">
        <f t="shared" si="23"/>
        <v>0</v>
      </c>
      <c r="AV60" s="20">
        <f t="shared" si="23"/>
        <v>0</v>
      </c>
      <c r="AW60" s="20">
        <f t="shared" si="23"/>
        <v>0</v>
      </c>
      <c r="AX60" s="20">
        <f t="shared" si="23"/>
        <v>0</v>
      </c>
      <c r="AY60" s="20">
        <f t="shared" si="23"/>
        <v>0</v>
      </c>
      <c r="AZ60" s="20">
        <f t="shared" si="23"/>
        <v>0</v>
      </c>
      <c r="BA60" s="20">
        <f t="shared" si="23"/>
        <v>0</v>
      </c>
      <c r="BB60" s="20">
        <f t="shared" si="23"/>
        <v>0</v>
      </c>
      <c r="BC60" s="20">
        <f t="shared" si="23"/>
        <v>0</v>
      </c>
      <c r="BD60" s="20">
        <f t="shared" si="23"/>
        <v>0</v>
      </c>
      <c r="BE60" s="20">
        <f t="shared" si="23"/>
        <v>0</v>
      </c>
      <c r="BF60" s="20">
        <f t="shared" si="23"/>
        <v>0</v>
      </c>
      <c r="BG60" s="20">
        <f t="shared" si="23"/>
        <v>0</v>
      </c>
      <c r="BH60" s="20">
        <f t="shared" si="23"/>
        <v>0</v>
      </c>
      <c r="BI60" s="20">
        <f t="shared" si="23"/>
        <v>0</v>
      </c>
      <c r="BJ60" s="20">
        <f t="shared" si="23"/>
        <v>0</v>
      </c>
      <c r="BK60" s="20">
        <f t="shared" si="23"/>
        <v>0</v>
      </c>
      <c r="BL60" s="20">
        <f t="shared" si="23"/>
        <v>0</v>
      </c>
      <c r="BM60" s="20">
        <f t="shared" si="23"/>
        <v>0</v>
      </c>
      <c r="BN60" s="20">
        <f t="shared" si="23"/>
        <v>0</v>
      </c>
      <c r="BO60" s="20">
        <f t="shared" si="23"/>
        <v>0</v>
      </c>
      <c r="BP60" s="20"/>
      <c r="BQ60" s="20"/>
      <c r="BR60" s="20"/>
      <c r="BS60" s="20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159"/>
      <c r="DJ60" s="159"/>
      <c r="DK60" s="159"/>
      <c r="DL60" s="159"/>
      <c r="DM60" s="159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  <c r="ED60" s="371"/>
      <c r="EE60" s="20">
        <f t="shared" ref="EE60:EG60" si="24">SUM(EE39:EE59)</f>
        <v>34</v>
      </c>
      <c r="EF60" s="20">
        <f t="shared" si="24"/>
        <v>0</v>
      </c>
      <c r="EG60" s="18">
        <f t="shared" si="24"/>
        <v>102</v>
      </c>
      <c r="EH60" s="20">
        <f t="shared" ref="EH60:EM60" si="25">SUM(EH39:EH59)</f>
        <v>0</v>
      </c>
      <c r="EI60" s="20">
        <f t="shared" si="25"/>
        <v>0</v>
      </c>
      <c r="EJ60" s="20">
        <f t="shared" si="25"/>
        <v>0</v>
      </c>
      <c r="EK60" s="20">
        <f t="shared" si="25"/>
        <v>0</v>
      </c>
      <c r="EL60" s="20">
        <f t="shared" si="25"/>
        <v>0</v>
      </c>
      <c r="EM60" s="20">
        <f t="shared" si="25"/>
        <v>0</v>
      </c>
      <c r="EN60" s="20">
        <f t="shared" ref="EN60:EQ60" si="26">SUM(EN39:EN59)</f>
        <v>0</v>
      </c>
      <c r="EO60" s="20">
        <f t="shared" si="26"/>
        <v>0</v>
      </c>
      <c r="EP60" s="20">
        <f t="shared" si="26"/>
        <v>0</v>
      </c>
      <c r="EQ60" s="20">
        <f t="shared" si="26"/>
        <v>29</v>
      </c>
      <c r="ER60" s="20">
        <f t="shared" ref="ER60:EZ60" si="27">SUM(ER39:ER59)</f>
        <v>0</v>
      </c>
      <c r="ES60" s="20">
        <f t="shared" si="27"/>
        <v>0</v>
      </c>
      <c r="ET60" s="20">
        <f t="shared" si="27"/>
        <v>0</v>
      </c>
      <c r="EU60" s="20">
        <f t="shared" si="27"/>
        <v>0</v>
      </c>
      <c r="EV60" s="20">
        <f t="shared" si="27"/>
        <v>0</v>
      </c>
      <c r="EW60" s="20">
        <f t="shared" si="27"/>
        <v>0</v>
      </c>
      <c r="EX60" s="20">
        <f t="shared" si="27"/>
        <v>0</v>
      </c>
      <c r="EY60" s="20">
        <f t="shared" si="27"/>
        <v>0</v>
      </c>
      <c r="EZ60" s="20">
        <f t="shared" si="27"/>
        <v>0</v>
      </c>
      <c r="FA60" s="20">
        <f t="shared" ref="FA60:FG60" si="28">SUM(FA39:FA59)</f>
        <v>0</v>
      </c>
      <c r="FB60" s="20">
        <f t="shared" si="28"/>
        <v>0</v>
      </c>
      <c r="FC60" s="20">
        <f t="shared" si="28"/>
        <v>0</v>
      </c>
      <c r="FD60" s="20">
        <f t="shared" si="28"/>
        <v>0</v>
      </c>
      <c r="FE60" s="20">
        <f t="shared" si="28"/>
        <v>0</v>
      </c>
      <c r="FF60" s="20">
        <f t="shared" si="28"/>
        <v>0</v>
      </c>
      <c r="FG60" s="20">
        <f t="shared" si="28"/>
        <v>93</v>
      </c>
      <c r="FH60" s="320">
        <f t="shared" ref="FH60:FN60" si="29">SUM(FH39:FH59)</f>
        <v>0</v>
      </c>
      <c r="FI60" s="321">
        <f t="shared" si="29"/>
        <v>0</v>
      </c>
      <c r="FJ60" s="321">
        <f t="shared" si="29"/>
        <v>0</v>
      </c>
      <c r="FK60" s="321">
        <f t="shared" si="29"/>
        <v>0</v>
      </c>
      <c r="FL60" s="321">
        <f t="shared" si="29"/>
        <v>0</v>
      </c>
      <c r="FM60" s="321">
        <f t="shared" si="29"/>
        <v>0</v>
      </c>
      <c r="FN60" s="321">
        <f t="shared" si="29"/>
        <v>23</v>
      </c>
      <c r="FO60" s="321">
        <f t="shared" ref="FO60:FR60" si="30">SUM(FO39:FO59)</f>
        <v>0</v>
      </c>
      <c r="FP60" s="321">
        <f t="shared" si="30"/>
        <v>0</v>
      </c>
      <c r="FQ60" s="321">
        <f t="shared" si="30"/>
        <v>0</v>
      </c>
      <c r="FR60" s="321">
        <f t="shared" si="30"/>
        <v>78</v>
      </c>
      <c r="FS60" s="321">
        <f t="shared" ref="FS60:FT60" si="31">SUM(FS39:FS59)</f>
        <v>37</v>
      </c>
      <c r="FT60" s="321">
        <f t="shared" si="31"/>
        <v>0</v>
      </c>
      <c r="FU60" s="321">
        <f t="shared" ref="FU60:GA60" si="32">SUM(FU39:FU59)</f>
        <v>0</v>
      </c>
      <c r="FV60" s="321">
        <f t="shared" si="32"/>
        <v>0</v>
      </c>
      <c r="FW60" s="321">
        <f t="shared" si="32"/>
        <v>0</v>
      </c>
      <c r="FX60" s="321">
        <f t="shared" si="32"/>
        <v>0</v>
      </c>
      <c r="FY60" s="321">
        <f t="shared" si="32"/>
        <v>0</v>
      </c>
      <c r="FZ60" s="321">
        <f t="shared" si="32"/>
        <v>0</v>
      </c>
      <c r="GA60" s="321">
        <f t="shared" si="32"/>
        <v>0</v>
      </c>
      <c r="GB60" s="321">
        <f t="shared" ref="GB60:GC60" si="33">SUM(GB39:GB59)</f>
        <v>0</v>
      </c>
      <c r="GC60" s="321">
        <f t="shared" si="33"/>
        <v>0</v>
      </c>
      <c r="GD60" s="321">
        <f t="shared" ref="GD60:GE60" si="34">SUM(GD39:GD59)</f>
        <v>0</v>
      </c>
      <c r="GE60" s="321">
        <f t="shared" si="34"/>
        <v>0</v>
      </c>
      <c r="GF60" s="321">
        <f t="shared" ref="GF60:GN60" si="35">SUM(GF39:GF59)</f>
        <v>0</v>
      </c>
      <c r="GG60" s="321">
        <f t="shared" si="35"/>
        <v>0</v>
      </c>
      <c r="GH60" s="321">
        <f t="shared" si="35"/>
        <v>0</v>
      </c>
      <c r="GI60" s="321">
        <f t="shared" si="35"/>
        <v>0</v>
      </c>
      <c r="GJ60" s="321">
        <f t="shared" si="35"/>
        <v>0</v>
      </c>
      <c r="GK60" s="321">
        <f t="shared" si="35"/>
        <v>0</v>
      </c>
      <c r="GL60" s="322">
        <f t="shared" si="35"/>
        <v>0</v>
      </c>
      <c r="GM60" s="320">
        <f t="shared" si="35"/>
        <v>0</v>
      </c>
      <c r="GN60" s="321">
        <f t="shared" si="35"/>
        <v>0</v>
      </c>
      <c r="GO60" s="321">
        <f t="shared" ref="GO60" si="36">SUM(GO39:GO59)</f>
        <v>0</v>
      </c>
      <c r="GP60" s="426"/>
      <c r="GQ60" s="426"/>
      <c r="GR60" s="426"/>
      <c r="GS60" s="426"/>
      <c r="GT60" s="430"/>
      <c r="GU60" s="401">
        <f>SUM(E60:GL60)</f>
        <v>396</v>
      </c>
      <c r="GV60" s="53"/>
      <c r="GW60" s="7"/>
    </row>
    <row r="61" spans="1:205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7"/>
    </row>
    <row r="62" spans="1:205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7"/>
    </row>
    <row r="63" spans="1:205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7"/>
    </row>
    <row r="64" spans="1:205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7"/>
    </row>
    <row r="65" spans="1:205" ht="15.75" thickBot="1" x14ac:dyDescent="0.3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7"/>
    </row>
    <row r="66" spans="1:205" ht="21.75" thickBot="1" x14ac:dyDescent="0.3">
      <c r="A66" s="456" t="s">
        <v>18</v>
      </c>
      <c r="B66" s="458" t="s">
        <v>14</v>
      </c>
      <c r="C66" s="458" t="s">
        <v>13</v>
      </c>
      <c r="D66" s="503" t="s">
        <v>0</v>
      </c>
      <c r="E66" s="490" t="s">
        <v>25</v>
      </c>
      <c r="F66" s="463"/>
      <c r="G66" s="463"/>
      <c r="H66" s="463"/>
      <c r="I66" s="463"/>
      <c r="J66" s="463"/>
      <c r="K66" s="463"/>
      <c r="L66" s="463"/>
      <c r="M66" s="490" t="s">
        <v>73</v>
      </c>
      <c r="N66" s="463"/>
      <c r="O66" s="463"/>
      <c r="P66" s="463"/>
      <c r="Q66" s="463"/>
      <c r="R66" s="463"/>
      <c r="S66" s="463"/>
      <c r="T66" s="463"/>
      <c r="U66" s="463"/>
      <c r="V66" s="463"/>
      <c r="W66" s="463"/>
      <c r="X66" s="463"/>
      <c r="Y66" s="463"/>
      <c r="Z66" s="463"/>
      <c r="AA66" s="463"/>
      <c r="AB66" s="463"/>
      <c r="AC66" s="463"/>
      <c r="AD66" s="463"/>
      <c r="AE66" s="463"/>
      <c r="AF66" s="463"/>
      <c r="AG66" s="463"/>
      <c r="AH66" s="463"/>
      <c r="AI66" s="463"/>
      <c r="AJ66" s="463"/>
      <c r="AK66" s="463"/>
      <c r="AL66" s="463"/>
      <c r="AM66" s="463"/>
      <c r="AN66" s="463"/>
      <c r="AO66" s="127"/>
      <c r="AP66" s="490" t="s">
        <v>76</v>
      </c>
      <c r="AQ66" s="463"/>
      <c r="AR66" s="463"/>
      <c r="AS66" s="463"/>
      <c r="AT66" s="463"/>
      <c r="AU66" s="463"/>
      <c r="AV66" s="463"/>
      <c r="AW66" s="463"/>
      <c r="AX66" s="463"/>
      <c r="AY66" s="463"/>
      <c r="AZ66" s="463"/>
      <c r="BA66" s="463"/>
      <c r="BB66" s="463"/>
      <c r="BC66" s="463"/>
      <c r="BD66" s="463"/>
      <c r="BE66" s="463"/>
      <c r="BF66" s="463"/>
      <c r="BG66" s="463"/>
      <c r="BH66" s="463"/>
      <c r="BI66" s="463"/>
      <c r="BJ66" s="463"/>
      <c r="BK66" s="463"/>
      <c r="BL66" s="463"/>
      <c r="BM66" s="463"/>
      <c r="BN66" s="463"/>
      <c r="BO66" s="463"/>
      <c r="BP66" s="463"/>
      <c r="BQ66" s="463"/>
      <c r="BR66" s="463"/>
      <c r="BS66" s="463"/>
      <c r="BT66" s="463"/>
      <c r="BU66" s="490" t="s">
        <v>105</v>
      </c>
      <c r="BV66" s="463"/>
      <c r="BW66" s="463"/>
      <c r="BX66" s="463"/>
      <c r="BY66" s="463"/>
      <c r="BZ66" s="463"/>
      <c r="CA66" s="463"/>
      <c r="CB66" s="463"/>
      <c r="CC66" s="463"/>
      <c r="CD66" s="463"/>
      <c r="CE66" s="463"/>
      <c r="CF66" s="463"/>
      <c r="CG66" s="463"/>
      <c r="CH66" s="463"/>
      <c r="CI66" s="463"/>
      <c r="CJ66" s="463"/>
      <c r="CK66" s="463"/>
      <c r="CL66" s="463"/>
      <c r="CM66" s="463"/>
      <c r="CN66" s="463"/>
      <c r="CO66" s="463"/>
      <c r="CP66" s="463"/>
      <c r="CQ66" s="463"/>
      <c r="CR66" s="463"/>
      <c r="CS66" s="463"/>
      <c r="CT66" s="463"/>
      <c r="CU66" s="463"/>
      <c r="CV66" s="463"/>
      <c r="CW66" s="463"/>
      <c r="CX66" s="491"/>
      <c r="CY66" s="490" t="s">
        <v>111</v>
      </c>
      <c r="CZ66" s="463"/>
      <c r="DA66" s="463"/>
      <c r="DB66" s="463"/>
      <c r="DC66" s="463"/>
      <c r="DD66" s="463"/>
      <c r="DE66" s="463"/>
      <c r="DF66" s="463"/>
      <c r="DG66" s="463"/>
      <c r="DH66" s="463"/>
      <c r="DI66" s="463"/>
      <c r="DJ66" s="463"/>
      <c r="DK66" s="463"/>
      <c r="DL66" s="463"/>
      <c r="DM66" s="463"/>
      <c r="DN66" s="463"/>
      <c r="DO66" s="463"/>
      <c r="DP66" s="463"/>
      <c r="DQ66" s="463"/>
      <c r="DR66" s="463"/>
      <c r="DS66" s="463"/>
      <c r="DT66" s="463"/>
      <c r="DU66" s="463"/>
      <c r="DV66" s="463"/>
      <c r="DW66" s="463"/>
      <c r="DX66" s="463"/>
      <c r="DY66" s="463"/>
      <c r="DZ66" s="463"/>
      <c r="EA66" s="463"/>
      <c r="EB66" s="463"/>
      <c r="EC66" s="463"/>
      <c r="ED66" s="490" t="s">
        <v>117</v>
      </c>
      <c r="EE66" s="463"/>
      <c r="EF66" s="463"/>
      <c r="EG66" s="463"/>
      <c r="EH66" s="463"/>
      <c r="EI66" s="463"/>
      <c r="EJ66" s="463"/>
      <c r="EK66" s="463"/>
      <c r="EL66" s="463"/>
      <c r="EM66" s="463"/>
      <c r="EN66" s="463"/>
      <c r="EO66" s="463"/>
      <c r="EP66" s="463"/>
      <c r="EQ66" s="463"/>
      <c r="ER66" s="463"/>
      <c r="ES66" s="463"/>
      <c r="ET66" s="463"/>
      <c r="EU66" s="463"/>
      <c r="EV66" s="463"/>
      <c r="EW66" s="463"/>
      <c r="EX66" s="463"/>
      <c r="EY66" s="463"/>
      <c r="EZ66" s="463"/>
      <c r="FA66" s="463"/>
      <c r="FB66" s="463"/>
      <c r="FC66" s="463"/>
      <c r="FD66" s="463"/>
      <c r="FE66" s="463"/>
      <c r="FF66" s="463"/>
      <c r="FG66" s="463"/>
      <c r="FH66" s="490" t="s">
        <v>133</v>
      </c>
      <c r="FI66" s="463"/>
      <c r="FJ66" s="463"/>
      <c r="FK66" s="463"/>
      <c r="FL66" s="463"/>
      <c r="FM66" s="463"/>
      <c r="FN66" s="463"/>
      <c r="FO66" s="463"/>
      <c r="FP66" s="463"/>
      <c r="FQ66" s="463"/>
      <c r="FR66" s="463"/>
      <c r="FS66" s="463"/>
      <c r="FT66" s="463"/>
      <c r="FU66" s="463"/>
      <c r="FV66" s="463"/>
      <c r="FW66" s="463"/>
      <c r="FX66" s="463"/>
      <c r="FY66" s="463"/>
      <c r="FZ66" s="463"/>
      <c r="GA66" s="463"/>
      <c r="GB66" s="463"/>
      <c r="GC66" s="463"/>
      <c r="GD66" s="463"/>
      <c r="GE66" s="463"/>
      <c r="GF66" s="463"/>
      <c r="GG66" s="463"/>
      <c r="GH66" s="463"/>
      <c r="GI66" s="463"/>
      <c r="GJ66" s="463"/>
      <c r="GK66" s="463"/>
      <c r="GL66" s="463"/>
      <c r="GM66" s="514" t="s">
        <v>142</v>
      </c>
      <c r="GN66" s="515"/>
      <c r="GO66" s="515"/>
      <c r="GP66" s="515"/>
      <c r="GQ66" s="515"/>
      <c r="GR66" s="515"/>
      <c r="GS66" s="515"/>
      <c r="GT66" s="516"/>
      <c r="GU66" s="410"/>
      <c r="GV66" s="509" t="s">
        <v>39</v>
      </c>
      <c r="GW66" s="511" t="s">
        <v>40</v>
      </c>
    </row>
    <row r="67" spans="1:205" ht="15.75" thickBot="1" x14ac:dyDescent="0.3">
      <c r="A67" s="457"/>
      <c r="B67" s="459"/>
      <c r="C67" s="459"/>
      <c r="D67" s="504"/>
      <c r="E67" s="19">
        <v>24</v>
      </c>
      <c r="F67" s="12">
        <v>46047</v>
      </c>
      <c r="G67" s="12">
        <v>46048</v>
      </c>
      <c r="H67" s="12">
        <v>46049</v>
      </c>
      <c r="I67" s="12">
        <v>46050</v>
      </c>
      <c r="J67" s="12">
        <v>46051</v>
      </c>
      <c r="K67" s="12">
        <v>46052</v>
      </c>
      <c r="L67" s="12">
        <v>46053</v>
      </c>
      <c r="M67" s="12">
        <v>46054</v>
      </c>
      <c r="N67" s="12">
        <v>46055</v>
      </c>
      <c r="O67" s="12">
        <v>46056</v>
      </c>
      <c r="P67" s="12">
        <v>46057</v>
      </c>
      <c r="Q67" s="12">
        <v>46058</v>
      </c>
      <c r="R67" s="12">
        <v>46059</v>
      </c>
      <c r="S67" s="12">
        <v>46060</v>
      </c>
      <c r="T67" s="12">
        <v>46061</v>
      </c>
      <c r="U67" s="12">
        <v>46062</v>
      </c>
      <c r="V67" s="12">
        <v>46063</v>
      </c>
      <c r="W67" s="12">
        <v>46064</v>
      </c>
      <c r="X67" s="12">
        <v>46065</v>
      </c>
      <c r="Y67" s="12">
        <v>46066</v>
      </c>
      <c r="Z67" s="12">
        <v>46067</v>
      </c>
      <c r="AA67" s="12">
        <v>46068</v>
      </c>
      <c r="AB67" s="12">
        <v>46069</v>
      </c>
      <c r="AC67" s="12">
        <v>46070</v>
      </c>
      <c r="AD67" s="12">
        <v>46071</v>
      </c>
      <c r="AE67" s="12">
        <v>46072</v>
      </c>
      <c r="AF67" s="12">
        <v>46073</v>
      </c>
      <c r="AG67" s="12">
        <v>46074</v>
      </c>
      <c r="AH67" s="12">
        <v>46075</v>
      </c>
      <c r="AI67" s="12">
        <v>46076</v>
      </c>
      <c r="AJ67" s="12">
        <v>46077</v>
      </c>
      <c r="AK67" s="12">
        <v>46078</v>
      </c>
      <c r="AL67" s="12">
        <v>46079</v>
      </c>
      <c r="AM67" s="12">
        <v>46080</v>
      </c>
      <c r="AN67" s="51">
        <v>46081</v>
      </c>
      <c r="AO67" s="145"/>
      <c r="AP67" s="70">
        <v>46082</v>
      </c>
      <c r="AQ67" s="14">
        <v>46083</v>
      </c>
      <c r="AR67" s="70">
        <v>46084</v>
      </c>
      <c r="AS67" s="14">
        <v>46085</v>
      </c>
      <c r="AT67" s="70">
        <v>46086</v>
      </c>
      <c r="AU67" s="14">
        <v>46087</v>
      </c>
      <c r="AV67" s="70">
        <v>46088</v>
      </c>
      <c r="AW67" s="14">
        <v>46089</v>
      </c>
      <c r="AX67" s="70">
        <v>46090</v>
      </c>
      <c r="AY67" s="14">
        <v>46091</v>
      </c>
      <c r="AZ67" s="70">
        <v>46092</v>
      </c>
      <c r="BA67" s="14">
        <v>46093</v>
      </c>
      <c r="BB67" s="70">
        <v>46094</v>
      </c>
      <c r="BC67" s="14">
        <v>46095</v>
      </c>
      <c r="BD67" s="70">
        <v>46096</v>
      </c>
      <c r="BE67" s="14">
        <v>46097</v>
      </c>
      <c r="BF67" s="70">
        <v>46098</v>
      </c>
      <c r="BG67" s="14">
        <v>46099</v>
      </c>
      <c r="BH67" s="70">
        <v>46100</v>
      </c>
      <c r="BI67" s="14">
        <v>46101</v>
      </c>
      <c r="BJ67" s="70">
        <v>46102</v>
      </c>
      <c r="BK67" s="14">
        <v>46103</v>
      </c>
      <c r="BL67" s="70">
        <v>46104</v>
      </c>
      <c r="BM67" s="14">
        <v>46105</v>
      </c>
      <c r="BN67" s="70">
        <v>46106</v>
      </c>
      <c r="BO67" s="14">
        <v>46107</v>
      </c>
      <c r="BP67" s="70">
        <v>46108</v>
      </c>
      <c r="BQ67" s="14">
        <v>46109</v>
      </c>
      <c r="BR67" s="70">
        <v>46110</v>
      </c>
      <c r="BS67" s="14">
        <v>46111</v>
      </c>
      <c r="BT67" s="70">
        <v>46112</v>
      </c>
      <c r="BU67" s="14">
        <v>46113</v>
      </c>
      <c r="BV67" s="70">
        <v>46114</v>
      </c>
      <c r="BW67" s="14">
        <v>46115</v>
      </c>
      <c r="BX67" s="70">
        <v>46116</v>
      </c>
      <c r="BY67" s="14">
        <v>46117</v>
      </c>
      <c r="BZ67" s="70">
        <v>46118</v>
      </c>
      <c r="CA67" s="14">
        <v>46119</v>
      </c>
      <c r="CB67" s="70">
        <v>46120</v>
      </c>
      <c r="CC67" s="14">
        <v>46121</v>
      </c>
      <c r="CD67" s="70">
        <v>46122</v>
      </c>
      <c r="CE67" s="14">
        <v>46123</v>
      </c>
      <c r="CF67" s="70">
        <v>46124</v>
      </c>
      <c r="CG67" s="14">
        <v>46125</v>
      </c>
      <c r="CH67" s="70">
        <v>46126</v>
      </c>
      <c r="CI67" s="14">
        <v>46127</v>
      </c>
      <c r="CJ67" s="70">
        <v>46128</v>
      </c>
      <c r="CK67" s="14">
        <v>46129</v>
      </c>
      <c r="CL67" s="70">
        <v>46130</v>
      </c>
      <c r="CM67" s="14">
        <v>46131</v>
      </c>
      <c r="CN67" s="70">
        <v>46132</v>
      </c>
      <c r="CO67" s="14">
        <v>46133</v>
      </c>
      <c r="CP67" s="70">
        <v>46134</v>
      </c>
      <c r="CQ67" s="14">
        <v>46135</v>
      </c>
      <c r="CR67" s="70">
        <v>46136</v>
      </c>
      <c r="CS67" s="14">
        <v>46137</v>
      </c>
      <c r="CT67" s="70">
        <v>46138</v>
      </c>
      <c r="CU67" s="14">
        <v>46139</v>
      </c>
      <c r="CV67" s="70">
        <v>46140</v>
      </c>
      <c r="CW67" s="14">
        <v>46141</v>
      </c>
      <c r="CX67" s="70">
        <v>46142</v>
      </c>
      <c r="CY67" s="14">
        <v>46143</v>
      </c>
      <c r="CZ67" s="70">
        <v>46144</v>
      </c>
      <c r="DA67" s="14">
        <v>46145</v>
      </c>
      <c r="DB67" s="70">
        <v>46146</v>
      </c>
      <c r="DC67" s="14">
        <v>46147</v>
      </c>
      <c r="DD67" s="70">
        <v>46148</v>
      </c>
      <c r="DE67" s="14">
        <v>46149</v>
      </c>
      <c r="DF67" s="70">
        <v>46150</v>
      </c>
      <c r="DG67" s="14">
        <v>46151</v>
      </c>
      <c r="DH67" s="70">
        <v>46152</v>
      </c>
      <c r="DI67" s="14">
        <v>46153</v>
      </c>
      <c r="DJ67" s="70">
        <v>46154</v>
      </c>
      <c r="DK67" s="14">
        <v>46155</v>
      </c>
      <c r="DL67" s="70">
        <v>46156</v>
      </c>
      <c r="DM67" s="14">
        <v>46157</v>
      </c>
      <c r="DN67" s="70">
        <v>46158</v>
      </c>
      <c r="DO67" s="14">
        <v>46159</v>
      </c>
      <c r="DP67" s="70">
        <v>46160</v>
      </c>
      <c r="DQ67" s="14">
        <v>46161</v>
      </c>
      <c r="DR67" s="70">
        <v>46162</v>
      </c>
      <c r="DS67" s="14">
        <v>46163</v>
      </c>
      <c r="DT67" s="70">
        <v>46164</v>
      </c>
      <c r="DU67" s="14">
        <v>46165</v>
      </c>
      <c r="DV67" s="70">
        <v>46166</v>
      </c>
      <c r="DW67" s="14">
        <v>46167</v>
      </c>
      <c r="DX67" s="70">
        <v>46168</v>
      </c>
      <c r="DY67" s="14">
        <v>46169</v>
      </c>
      <c r="DZ67" s="70">
        <v>46170</v>
      </c>
      <c r="EA67" s="14">
        <v>46171</v>
      </c>
      <c r="EB67" s="70">
        <v>46172</v>
      </c>
      <c r="EC67" s="51">
        <v>46173</v>
      </c>
      <c r="ED67" s="70">
        <v>46174</v>
      </c>
      <c r="EE67" s="14">
        <v>46175</v>
      </c>
      <c r="EF67" s="70">
        <v>46176</v>
      </c>
      <c r="EG67" s="14">
        <v>46177</v>
      </c>
      <c r="EH67" s="70">
        <v>46178</v>
      </c>
      <c r="EI67" s="14">
        <v>46179</v>
      </c>
      <c r="EJ67" s="70">
        <v>46180</v>
      </c>
      <c r="EK67" s="14">
        <v>46181</v>
      </c>
      <c r="EL67" s="70">
        <v>46182</v>
      </c>
      <c r="EM67" s="14">
        <v>46183</v>
      </c>
      <c r="EN67" s="70">
        <v>46184</v>
      </c>
      <c r="EO67" s="14">
        <v>46185</v>
      </c>
      <c r="EP67" s="70">
        <v>46186</v>
      </c>
      <c r="EQ67" s="14">
        <v>46187</v>
      </c>
      <c r="ER67" s="70">
        <v>46188</v>
      </c>
      <c r="ES67" s="14">
        <v>46189</v>
      </c>
      <c r="ET67" s="70">
        <v>46190</v>
      </c>
      <c r="EU67" s="14">
        <v>46191</v>
      </c>
      <c r="EV67" s="70">
        <v>46192</v>
      </c>
      <c r="EW67" s="14">
        <v>46193</v>
      </c>
      <c r="EX67" s="70">
        <v>46194</v>
      </c>
      <c r="EY67" s="14">
        <v>46195</v>
      </c>
      <c r="EZ67" s="70">
        <v>46196</v>
      </c>
      <c r="FA67" s="14">
        <v>46197</v>
      </c>
      <c r="FB67" s="70">
        <v>46198</v>
      </c>
      <c r="FC67" s="14">
        <v>46199</v>
      </c>
      <c r="FD67" s="70">
        <v>46200</v>
      </c>
      <c r="FE67" s="14">
        <v>46201</v>
      </c>
      <c r="FF67" s="70">
        <v>46202</v>
      </c>
      <c r="FG67" s="51">
        <v>46203</v>
      </c>
      <c r="FH67" s="70">
        <v>46204</v>
      </c>
      <c r="FI67" s="12">
        <v>46205</v>
      </c>
      <c r="FJ67" s="12">
        <v>46206</v>
      </c>
      <c r="FK67" s="12">
        <v>46207</v>
      </c>
      <c r="FL67" s="12">
        <v>46208</v>
      </c>
      <c r="FM67" s="12">
        <v>46209</v>
      </c>
      <c r="FN67" s="12">
        <v>46210</v>
      </c>
      <c r="FO67" s="12">
        <v>46211</v>
      </c>
      <c r="FP67" s="12">
        <v>46212</v>
      </c>
      <c r="FQ67" s="12">
        <v>46213</v>
      </c>
      <c r="FR67" s="12">
        <v>46214</v>
      </c>
      <c r="FS67" s="12">
        <v>46215</v>
      </c>
      <c r="FT67" s="12">
        <v>46216</v>
      </c>
      <c r="FU67" s="12">
        <v>46217</v>
      </c>
      <c r="FV67" s="14">
        <v>46218</v>
      </c>
      <c r="FW67" s="12">
        <v>46219</v>
      </c>
      <c r="FX67" s="14">
        <v>46220</v>
      </c>
      <c r="FY67" s="12">
        <v>46221</v>
      </c>
      <c r="FZ67" s="14">
        <v>46222</v>
      </c>
      <c r="GA67" s="12">
        <v>46223</v>
      </c>
      <c r="GB67" s="14">
        <v>46224</v>
      </c>
      <c r="GC67" s="12">
        <v>46225</v>
      </c>
      <c r="GD67" s="14">
        <v>46226</v>
      </c>
      <c r="GE67" s="12">
        <v>46227</v>
      </c>
      <c r="GF67" s="14">
        <v>46228</v>
      </c>
      <c r="GG67" s="12">
        <v>46229</v>
      </c>
      <c r="GH67" s="14">
        <v>46230</v>
      </c>
      <c r="GI67" s="12">
        <v>46231</v>
      </c>
      <c r="GJ67" s="14">
        <v>46232</v>
      </c>
      <c r="GK67" s="12">
        <v>46233</v>
      </c>
      <c r="GL67" s="51">
        <v>46234</v>
      </c>
      <c r="GM67" s="405">
        <v>46235</v>
      </c>
      <c r="GN67" s="406">
        <v>46236</v>
      </c>
      <c r="GO67" s="406">
        <v>46237</v>
      </c>
      <c r="GP67" s="406">
        <v>46238</v>
      </c>
      <c r="GQ67" s="406">
        <v>46239</v>
      </c>
      <c r="GR67" s="406">
        <v>46240</v>
      </c>
      <c r="GS67" s="406">
        <v>46241</v>
      </c>
      <c r="GT67" s="407">
        <v>46242</v>
      </c>
      <c r="GU67" s="398" t="s">
        <v>26</v>
      </c>
      <c r="GV67" s="510"/>
      <c r="GW67" s="512"/>
    </row>
    <row r="68" spans="1:205" x14ac:dyDescent="0.25">
      <c r="A68" s="9">
        <v>1</v>
      </c>
      <c r="B68" s="502" t="s">
        <v>130</v>
      </c>
      <c r="C68" s="370" t="s">
        <v>131</v>
      </c>
      <c r="D68" s="11" t="s">
        <v>19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62"/>
      <c r="AP68" s="160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  <c r="CU68" s="101"/>
      <c r="CV68" s="101"/>
      <c r="CW68" s="101"/>
      <c r="CX68" s="101"/>
      <c r="CY68" s="101"/>
      <c r="CZ68" s="101"/>
      <c r="DA68" s="101"/>
      <c r="DB68" s="101"/>
      <c r="DC68" s="101"/>
      <c r="DD68" s="101"/>
      <c r="DE68" s="101"/>
      <c r="DF68" s="101"/>
      <c r="DG68" s="101"/>
      <c r="DH68" s="101"/>
      <c r="DI68" s="101"/>
      <c r="DJ68" s="101"/>
      <c r="DK68" s="101"/>
      <c r="DL68" s="101"/>
      <c r="DM68" s="101"/>
      <c r="DN68" s="101"/>
      <c r="DO68" s="101"/>
      <c r="DP68" s="101"/>
      <c r="DQ68" s="101"/>
      <c r="DR68" s="101"/>
      <c r="DS68" s="101"/>
      <c r="DT68" s="101"/>
      <c r="DU68" s="101"/>
      <c r="DV68" s="101"/>
      <c r="DW68" s="101"/>
      <c r="DX68" s="101"/>
      <c r="DY68" s="101"/>
      <c r="DZ68" s="101"/>
      <c r="EA68" s="101"/>
      <c r="EB68" s="101"/>
      <c r="EC68" s="101"/>
      <c r="ED68" s="160"/>
      <c r="EE68" s="101"/>
      <c r="EF68" s="101"/>
      <c r="EG68" s="101"/>
      <c r="EH68" s="101"/>
      <c r="EI68" s="101"/>
      <c r="EJ68" s="101"/>
      <c r="EK68" s="101"/>
      <c r="EL68" s="101"/>
      <c r="EM68" s="101"/>
      <c r="EN68" s="101"/>
      <c r="EO68" s="101"/>
      <c r="EP68" s="101"/>
      <c r="EQ68" s="101"/>
      <c r="ER68" s="101"/>
      <c r="ES68" s="101"/>
      <c r="ET68" s="101"/>
      <c r="EU68" s="101"/>
      <c r="EV68" s="101"/>
      <c r="EW68" s="101"/>
      <c r="EX68" s="101"/>
      <c r="EY68" s="101"/>
      <c r="EZ68" s="269">
        <v>57</v>
      </c>
      <c r="FA68" s="101">
        <v>0</v>
      </c>
      <c r="FB68" s="101">
        <v>0</v>
      </c>
      <c r="FC68" s="101">
        <v>0</v>
      </c>
      <c r="FD68" s="101">
        <v>0</v>
      </c>
      <c r="FE68" s="101">
        <v>0</v>
      </c>
      <c r="FF68" s="101">
        <v>0</v>
      </c>
      <c r="FG68" s="101">
        <v>0</v>
      </c>
      <c r="FH68" s="160">
        <v>0</v>
      </c>
      <c r="FI68" s="101">
        <v>0</v>
      </c>
      <c r="FJ68" s="101">
        <v>0</v>
      </c>
      <c r="FK68" s="101">
        <v>0</v>
      </c>
      <c r="FL68" s="101">
        <v>0</v>
      </c>
      <c r="FM68" s="101">
        <v>0</v>
      </c>
      <c r="FN68" s="101">
        <v>0</v>
      </c>
      <c r="FO68" s="101">
        <v>0</v>
      </c>
      <c r="FP68" s="101">
        <v>0</v>
      </c>
      <c r="FQ68" s="101">
        <v>0</v>
      </c>
      <c r="FR68" s="101">
        <v>0</v>
      </c>
      <c r="FS68" s="101">
        <v>0</v>
      </c>
      <c r="FT68" s="101">
        <v>0</v>
      </c>
      <c r="FU68" s="101">
        <v>0</v>
      </c>
      <c r="FV68" s="101">
        <v>0</v>
      </c>
      <c r="FW68" s="101">
        <v>0</v>
      </c>
      <c r="FX68" s="101">
        <v>0</v>
      </c>
      <c r="FY68" s="101">
        <v>0</v>
      </c>
      <c r="FZ68" s="101">
        <v>0</v>
      </c>
      <c r="GA68" s="101">
        <v>0</v>
      </c>
      <c r="GB68" s="101">
        <v>0</v>
      </c>
      <c r="GC68" s="101">
        <v>0</v>
      </c>
      <c r="GD68" s="101">
        <v>0</v>
      </c>
      <c r="GE68" s="101">
        <v>0</v>
      </c>
      <c r="GF68" s="101">
        <v>0</v>
      </c>
      <c r="GG68" s="101">
        <v>0</v>
      </c>
      <c r="GH68" s="101">
        <v>0</v>
      </c>
      <c r="GI68" s="101">
        <v>0</v>
      </c>
      <c r="GJ68" s="101">
        <v>0</v>
      </c>
      <c r="GK68" s="101">
        <v>0</v>
      </c>
      <c r="GL68" s="101">
        <v>0</v>
      </c>
      <c r="GM68" s="88">
        <v>0</v>
      </c>
      <c r="GN68" s="68">
        <v>0</v>
      </c>
      <c r="GO68" s="101">
        <v>0</v>
      </c>
      <c r="GP68" s="68"/>
      <c r="GQ68" s="68"/>
      <c r="GR68" s="68"/>
      <c r="GS68" s="68"/>
      <c r="GT68" s="427"/>
      <c r="GU68" s="55">
        <f>SUM(E68:GL68)</f>
        <v>57</v>
      </c>
      <c r="GV68" s="61">
        <v>90</v>
      </c>
      <c r="GW68" s="62"/>
    </row>
    <row r="69" spans="1:205" x14ac:dyDescent="0.25">
      <c r="A69" s="2">
        <v>2</v>
      </c>
      <c r="B69" s="474"/>
      <c r="C69" s="193" t="s">
        <v>131</v>
      </c>
      <c r="D69" s="4" t="s">
        <v>19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22"/>
      <c r="AO69" s="185"/>
      <c r="AP69" s="160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  <c r="CU69" s="101"/>
      <c r="CV69" s="101"/>
      <c r="CW69" s="101"/>
      <c r="CX69" s="101"/>
      <c r="CY69" s="101"/>
      <c r="CZ69" s="101"/>
      <c r="DA69" s="101"/>
      <c r="DB69" s="101"/>
      <c r="DC69" s="101"/>
      <c r="DD69" s="101"/>
      <c r="DE69" s="101"/>
      <c r="DF69" s="101"/>
      <c r="DG69" s="101"/>
      <c r="DH69" s="101"/>
      <c r="DI69" s="101"/>
      <c r="DJ69" s="101"/>
      <c r="DK69" s="101"/>
      <c r="DL69" s="101"/>
      <c r="DM69" s="101"/>
      <c r="DN69" s="101"/>
      <c r="DO69" s="101"/>
      <c r="DP69" s="101"/>
      <c r="DQ69" s="101"/>
      <c r="DR69" s="101"/>
      <c r="DS69" s="101"/>
      <c r="DT69" s="101"/>
      <c r="DU69" s="101"/>
      <c r="DV69" s="101"/>
      <c r="DW69" s="101"/>
      <c r="DX69" s="101"/>
      <c r="DY69" s="101"/>
      <c r="DZ69" s="101"/>
      <c r="EA69" s="101"/>
      <c r="EB69" s="101"/>
      <c r="EC69" s="101"/>
      <c r="ED69" s="160"/>
      <c r="EE69" s="101"/>
      <c r="EF69" s="101"/>
      <c r="EG69" s="101"/>
      <c r="EH69" s="101"/>
      <c r="EI69" s="101"/>
      <c r="EJ69" s="101"/>
      <c r="EK69" s="101"/>
      <c r="EL69" s="101"/>
      <c r="EM69" s="101"/>
      <c r="EN69" s="101"/>
      <c r="EO69" s="101"/>
      <c r="EP69" s="101"/>
      <c r="EQ69" s="101"/>
      <c r="ER69" s="101"/>
      <c r="ES69" s="101"/>
      <c r="ET69" s="101"/>
      <c r="EU69" s="101"/>
      <c r="EV69" s="101"/>
      <c r="EW69" s="101"/>
      <c r="EX69" s="101"/>
      <c r="EY69" s="101"/>
      <c r="EZ69" s="101">
        <v>0</v>
      </c>
      <c r="FA69" s="101">
        <v>0</v>
      </c>
      <c r="FB69" s="101">
        <v>0</v>
      </c>
      <c r="FC69" s="101">
        <v>0</v>
      </c>
      <c r="FD69" s="101">
        <v>0</v>
      </c>
      <c r="FE69" s="101">
        <v>0</v>
      </c>
      <c r="FF69" s="101">
        <v>0</v>
      </c>
      <c r="FG69" s="101">
        <v>0</v>
      </c>
      <c r="FH69" s="160">
        <v>0</v>
      </c>
      <c r="FI69" s="101">
        <v>0</v>
      </c>
      <c r="FJ69" s="101">
        <v>0</v>
      </c>
      <c r="FK69" s="101">
        <v>0</v>
      </c>
      <c r="FL69" s="101">
        <v>0</v>
      </c>
      <c r="FM69" s="101">
        <v>0</v>
      </c>
      <c r="FN69" s="101">
        <v>0</v>
      </c>
      <c r="FO69" s="101">
        <v>0</v>
      </c>
      <c r="FP69" s="101">
        <v>0</v>
      </c>
      <c r="FQ69" s="101">
        <v>0</v>
      </c>
      <c r="FR69" s="101">
        <v>0</v>
      </c>
      <c r="FS69" s="101">
        <v>0</v>
      </c>
      <c r="FT69" s="101">
        <v>0</v>
      </c>
      <c r="FU69" s="101">
        <v>0</v>
      </c>
      <c r="FV69" s="101">
        <v>0</v>
      </c>
      <c r="FW69" s="101">
        <v>0</v>
      </c>
      <c r="FX69" s="101">
        <v>0</v>
      </c>
      <c r="FY69" s="101">
        <v>0</v>
      </c>
      <c r="FZ69" s="101">
        <v>0</v>
      </c>
      <c r="GA69" s="101">
        <v>0</v>
      </c>
      <c r="GB69" s="101">
        <v>0</v>
      </c>
      <c r="GC69" s="101">
        <v>0</v>
      </c>
      <c r="GD69" s="101">
        <v>0</v>
      </c>
      <c r="GE69" s="101">
        <v>0</v>
      </c>
      <c r="GF69" s="101">
        <v>0</v>
      </c>
      <c r="GG69" s="101">
        <v>0</v>
      </c>
      <c r="GH69" s="101">
        <v>0</v>
      </c>
      <c r="GI69" s="101">
        <v>0</v>
      </c>
      <c r="GJ69" s="101">
        <v>0</v>
      </c>
      <c r="GK69" s="101">
        <v>0</v>
      </c>
      <c r="GL69" s="101">
        <v>0</v>
      </c>
      <c r="GM69" s="73">
        <v>0</v>
      </c>
      <c r="GN69" s="13">
        <v>0</v>
      </c>
      <c r="GO69" s="101">
        <v>0</v>
      </c>
      <c r="GP69" s="13"/>
      <c r="GQ69" s="13"/>
      <c r="GR69" s="13"/>
      <c r="GS69" s="13"/>
      <c r="GT69" s="274"/>
      <c r="GU69" s="55">
        <f t="shared" ref="GU69:GU88" si="37">SUM(E69:GL69)</f>
        <v>0</v>
      </c>
      <c r="GV69" s="56">
        <v>90</v>
      </c>
      <c r="GW69" s="63"/>
    </row>
    <row r="70" spans="1:205" x14ac:dyDescent="0.25">
      <c r="A70" s="9">
        <v>3</v>
      </c>
      <c r="B70" s="474"/>
      <c r="C70" s="193" t="s">
        <v>141</v>
      </c>
      <c r="D70" s="4" t="s">
        <v>19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62"/>
      <c r="AP70" s="160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  <c r="CU70" s="101"/>
      <c r="CV70" s="101"/>
      <c r="CW70" s="101"/>
      <c r="CX70" s="101"/>
      <c r="CY70" s="101"/>
      <c r="CZ70" s="101"/>
      <c r="DA70" s="101"/>
      <c r="DB70" s="101"/>
      <c r="DC70" s="101"/>
      <c r="DD70" s="101"/>
      <c r="DE70" s="101"/>
      <c r="DF70" s="101"/>
      <c r="DG70" s="101"/>
      <c r="DH70" s="101"/>
      <c r="DI70" s="101"/>
      <c r="DJ70" s="101"/>
      <c r="DK70" s="101"/>
      <c r="DL70" s="101"/>
      <c r="DM70" s="101"/>
      <c r="DN70" s="101"/>
      <c r="DO70" s="101"/>
      <c r="DP70" s="101"/>
      <c r="DQ70" s="101"/>
      <c r="DR70" s="101"/>
      <c r="DS70" s="101"/>
      <c r="DT70" s="101"/>
      <c r="DU70" s="101"/>
      <c r="DV70" s="101"/>
      <c r="DW70" s="101"/>
      <c r="DX70" s="101"/>
      <c r="DY70" s="101"/>
      <c r="DZ70" s="101"/>
      <c r="EA70" s="101"/>
      <c r="EB70" s="101"/>
      <c r="EC70" s="101"/>
      <c r="ED70" s="160"/>
      <c r="EE70" s="101"/>
      <c r="EF70" s="101"/>
      <c r="EG70" s="101"/>
      <c r="EH70" s="101"/>
      <c r="EI70" s="101"/>
      <c r="EJ70" s="101"/>
      <c r="EK70" s="101"/>
      <c r="EL70" s="101"/>
      <c r="EM70" s="101"/>
      <c r="EN70" s="101"/>
      <c r="EO70" s="101"/>
      <c r="EP70" s="101"/>
      <c r="EQ70" s="101"/>
      <c r="ER70" s="101"/>
      <c r="ES70" s="101"/>
      <c r="ET70" s="101"/>
      <c r="EU70" s="101"/>
      <c r="EV70" s="101"/>
      <c r="EW70" s="101"/>
      <c r="EX70" s="101"/>
      <c r="EY70" s="101"/>
      <c r="EZ70" s="101">
        <v>0</v>
      </c>
      <c r="FA70" s="101">
        <v>0</v>
      </c>
      <c r="FB70" s="101">
        <v>0</v>
      </c>
      <c r="FC70" s="101">
        <v>0</v>
      </c>
      <c r="FD70" s="101">
        <v>0</v>
      </c>
      <c r="FE70" s="101">
        <v>0</v>
      </c>
      <c r="FF70" s="101">
        <v>0</v>
      </c>
      <c r="FG70" s="101">
        <v>0</v>
      </c>
      <c r="FH70" s="160">
        <v>0</v>
      </c>
      <c r="FI70" s="101">
        <v>0</v>
      </c>
      <c r="FJ70" s="101">
        <v>0</v>
      </c>
      <c r="FK70" s="101">
        <v>0</v>
      </c>
      <c r="FL70" s="101">
        <v>0</v>
      </c>
      <c r="FM70" s="101">
        <v>0</v>
      </c>
      <c r="FN70" s="101">
        <v>0</v>
      </c>
      <c r="FO70" s="101">
        <v>0</v>
      </c>
      <c r="FP70" s="101">
        <v>0</v>
      </c>
      <c r="FQ70" s="101">
        <v>0</v>
      </c>
      <c r="FR70" s="101">
        <v>0</v>
      </c>
      <c r="FS70" s="101">
        <v>0</v>
      </c>
      <c r="FT70" s="101">
        <v>0</v>
      </c>
      <c r="FU70" s="101">
        <v>0</v>
      </c>
      <c r="FV70" s="101">
        <v>0</v>
      </c>
      <c r="FW70" s="101">
        <v>0</v>
      </c>
      <c r="FX70" s="101">
        <v>0</v>
      </c>
      <c r="FY70" s="101">
        <v>0</v>
      </c>
      <c r="FZ70" s="101">
        <v>0</v>
      </c>
      <c r="GA70" s="101">
        <v>0</v>
      </c>
      <c r="GB70" s="269">
        <v>44</v>
      </c>
      <c r="GC70" s="101">
        <v>0</v>
      </c>
      <c r="GD70" s="101">
        <v>0</v>
      </c>
      <c r="GE70" s="101">
        <v>0</v>
      </c>
      <c r="GF70" s="101">
        <v>0</v>
      </c>
      <c r="GG70" s="101">
        <v>0</v>
      </c>
      <c r="GH70" s="101">
        <v>0</v>
      </c>
      <c r="GI70" s="101">
        <v>0</v>
      </c>
      <c r="GJ70" s="101">
        <v>0</v>
      </c>
      <c r="GK70" s="101">
        <v>0</v>
      </c>
      <c r="GL70" s="101">
        <v>0</v>
      </c>
      <c r="GM70" s="73">
        <v>0</v>
      </c>
      <c r="GN70" s="13">
        <v>0</v>
      </c>
      <c r="GO70" s="101">
        <v>0</v>
      </c>
      <c r="GP70" s="13"/>
      <c r="GQ70" s="13"/>
      <c r="GR70" s="13"/>
      <c r="GS70" s="13"/>
      <c r="GT70" s="274"/>
      <c r="GU70" s="55">
        <f t="shared" si="37"/>
        <v>44</v>
      </c>
      <c r="GV70" s="56">
        <v>90</v>
      </c>
      <c r="GW70" s="63"/>
    </row>
    <row r="71" spans="1:205" x14ac:dyDescent="0.25">
      <c r="A71" s="2">
        <v>4</v>
      </c>
      <c r="B71" s="474"/>
      <c r="C71" s="193" t="s">
        <v>140</v>
      </c>
      <c r="D71" s="4" t="s">
        <v>19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62"/>
      <c r="AP71" s="160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  <c r="CU71" s="101"/>
      <c r="CV71" s="101"/>
      <c r="CW71" s="101"/>
      <c r="CX71" s="101"/>
      <c r="CY71" s="101"/>
      <c r="CZ71" s="101"/>
      <c r="DA71" s="101"/>
      <c r="DB71" s="101"/>
      <c r="DC71" s="101"/>
      <c r="DD71" s="101"/>
      <c r="DE71" s="101"/>
      <c r="DF71" s="101"/>
      <c r="DG71" s="101"/>
      <c r="DH71" s="101"/>
      <c r="DI71" s="101"/>
      <c r="DJ71" s="101"/>
      <c r="DK71" s="101"/>
      <c r="DL71" s="101"/>
      <c r="DM71" s="101"/>
      <c r="DN71" s="101"/>
      <c r="DO71" s="101"/>
      <c r="DP71" s="101"/>
      <c r="DQ71" s="101"/>
      <c r="DR71" s="101"/>
      <c r="DS71" s="101"/>
      <c r="DT71" s="101"/>
      <c r="DU71" s="101"/>
      <c r="DV71" s="101"/>
      <c r="DW71" s="101"/>
      <c r="DX71" s="101"/>
      <c r="DY71" s="101"/>
      <c r="DZ71" s="101"/>
      <c r="EA71" s="101"/>
      <c r="EB71" s="101"/>
      <c r="EC71" s="101"/>
      <c r="ED71" s="160"/>
      <c r="EE71" s="101"/>
      <c r="EF71" s="101"/>
      <c r="EG71" s="101"/>
      <c r="EH71" s="101"/>
      <c r="EI71" s="101"/>
      <c r="EJ71" s="101"/>
      <c r="EK71" s="101"/>
      <c r="EL71" s="101"/>
      <c r="EM71" s="101"/>
      <c r="EN71" s="101"/>
      <c r="EO71" s="101"/>
      <c r="EP71" s="101"/>
      <c r="EQ71" s="101"/>
      <c r="ER71" s="101"/>
      <c r="ES71" s="101"/>
      <c r="ET71" s="101"/>
      <c r="EU71" s="101"/>
      <c r="EV71" s="101"/>
      <c r="EW71" s="101"/>
      <c r="EX71" s="101"/>
      <c r="EY71" s="101"/>
      <c r="EZ71" s="101">
        <v>0</v>
      </c>
      <c r="FA71" s="101">
        <v>0</v>
      </c>
      <c r="FB71" s="101">
        <v>0</v>
      </c>
      <c r="FC71" s="101">
        <v>0</v>
      </c>
      <c r="FD71" s="101">
        <v>0</v>
      </c>
      <c r="FE71" s="101">
        <v>0</v>
      </c>
      <c r="FF71" s="101">
        <v>0</v>
      </c>
      <c r="FG71" s="101">
        <v>0</v>
      </c>
      <c r="FH71" s="160">
        <v>0</v>
      </c>
      <c r="FI71" s="101">
        <v>0</v>
      </c>
      <c r="FJ71" s="101">
        <v>0</v>
      </c>
      <c r="FK71" s="101">
        <v>0</v>
      </c>
      <c r="FL71" s="101">
        <v>0</v>
      </c>
      <c r="FM71" s="101">
        <v>0</v>
      </c>
      <c r="FN71" s="101">
        <v>0</v>
      </c>
      <c r="FO71" s="101">
        <v>0</v>
      </c>
      <c r="FP71" s="101">
        <v>0</v>
      </c>
      <c r="FQ71" s="101">
        <v>0</v>
      </c>
      <c r="FR71" s="101">
        <v>0</v>
      </c>
      <c r="FS71" s="101">
        <v>0</v>
      </c>
      <c r="FT71" s="101">
        <v>0</v>
      </c>
      <c r="FU71" s="101">
        <v>0</v>
      </c>
      <c r="FV71" s="101">
        <v>0</v>
      </c>
      <c r="FW71" s="101">
        <v>0</v>
      </c>
      <c r="FX71" s="101">
        <v>0</v>
      </c>
      <c r="FY71" s="101">
        <v>0</v>
      </c>
      <c r="FZ71" s="101">
        <v>0</v>
      </c>
      <c r="GA71" s="101">
        <v>46</v>
      </c>
      <c r="GB71" s="101">
        <v>0</v>
      </c>
      <c r="GC71" s="101">
        <v>0</v>
      </c>
      <c r="GD71" s="101">
        <v>0</v>
      </c>
      <c r="GE71" s="101">
        <v>0</v>
      </c>
      <c r="GF71" s="101">
        <v>0</v>
      </c>
      <c r="GG71" s="101">
        <v>0</v>
      </c>
      <c r="GH71" s="101">
        <v>0</v>
      </c>
      <c r="GI71" s="101">
        <v>0</v>
      </c>
      <c r="GJ71" s="101">
        <v>0</v>
      </c>
      <c r="GK71" s="101">
        <v>0</v>
      </c>
      <c r="GL71" s="101">
        <v>0</v>
      </c>
      <c r="GM71" s="73">
        <v>0</v>
      </c>
      <c r="GN71" s="13">
        <v>0</v>
      </c>
      <c r="GO71" s="101">
        <v>0</v>
      </c>
      <c r="GP71" s="13"/>
      <c r="GQ71" s="13"/>
      <c r="GR71" s="13"/>
      <c r="GS71" s="13"/>
      <c r="GT71" s="274"/>
      <c r="GU71" s="55">
        <f t="shared" si="37"/>
        <v>46</v>
      </c>
      <c r="GV71" s="56">
        <v>90</v>
      </c>
      <c r="GW71" s="63"/>
    </row>
    <row r="72" spans="1:205" x14ac:dyDescent="0.25">
      <c r="A72" s="9">
        <v>5</v>
      </c>
      <c r="B72" s="474"/>
      <c r="C72" s="193" t="s">
        <v>144</v>
      </c>
      <c r="D72" s="4" t="s">
        <v>19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62"/>
      <c r="AP72" s="160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  <c r="CU72" s="101"/>
      <c r="CV72" s="101"/>
      <c r="CW72" s="101"/>
      <c r="CX72" s="101"/>
      <c r="CY72" s="101"/>
      <c r="CZ72" s="101"/>
      <c r="DA72" s="101"/>
      <c r="DB72" s="101"/>
      <c r="DC72" s="101"/>
      <c r="DD72" s="101"/>
      <c r="DE72" s="101"/>
      <c r="DF72" s="101"/>
      <c r="DG72" s="101"/>
      <c r="DH72" s="101"/>
      <c r="DI72" s="101"/>
      <c r="DJ72" s="101"/>
      <c r="DK72" s="101"/>
      <c r="DL72" s="101"/>
      <c r="DM72" s="101"/>
      <c r="DN72" s="101"/>
      <c r="DO72" s="101"/>
      <c r="DP72" s="101"/>
      <c r="DQ72" s="101"/>
      <c r="DR72" s="101"/>
      <c r="DS72" s="101"/>
      <c r="DT72" s="101"/>
      <c r="DU72" s="101"/>
      <c r="DV72" s="101"/>
      <c r="DW72" s="101"/>
      <c r="DX72" s="101"/>
      <c r="DY72" s="101"/>
      <c r="DZ72" s="101"/>
      <c r="EA72" s="101"/>
      <c r="EB72" s="101"/>
      <c r="EC72" s="101"/>
      <c r="ED72" s="160"/>
      <c r="EE72" s="101"/>
      <c r="EF72" s="101"/>
      <c r="EG72" s="101"/>
      <c r="EH72" s="101"/>
      <c r="EI72" s="101"/>
      <c r="EJ72" s="101"/>
      <c r="EK72" s="101"/>
      <c r="EL72" s="101"/>
      <c r="EM72" s="101"/>
      <c r="EN72" s="101"/>
      <c r="EO72" s="101"/>
      <c r="EP72" s="101"/>
      <c r="EQ72" s="101"/>
      <c r="ER72" s="101"/>
      <c r="ES72" s="101"/>
      <c r="ET72" s="101"/>
      <c r="EU72" s="101"/>
      <c r="EV72" s="101"/>
      <c r="EW72" s="101"/>
      <c r="EX72" s="101"/>
      <c r="EY72" s="101"/>
      <c r="EZ72" s="101">
        <v>0</v>
      </c>
      <c r="FA72" s="101">
        <v>0</v>
      </c>
      <c r="FB72" s="101">
        <v>0</v>
      </c>
      <c r="FC72" s="101">
        <v>0</v>
      </c>
      <c r="FD72" s="101">
        <v>0</v>
      </c>
      <c r="FE72" s="101">
        <v>0</v>
      </c>
      <c r="FF72" s="101">
        <v>0</v>
      </c>
      <c r="FG72" s="101">
        <v>0</v>
      </c>
      <c r="FH72" s="160">
        <v>0</v>
      </c>
      <c r="FI72" s="101">
        <v>0</v>
      </c>
      <c r="FJ72" s="101">
        <v>0</v>
      </c>
      <c r="FK72" s="101">
        <v>0</v>
      </c>
      <c r="FL72" s="101">
        <v>0</v>
      </c>
      <c r="FM72" s="101">
        <v>0</v>
      </c>
      <c r="FN72" s="101">
        <v>0</v>
      </c>
      <c r="FO72" s="101">
        <v>0</v>
      </c>
      <c r="FP72" s="101">
        <v>0</v>
      </c>
      <c r="FQ72" s="101">
        <v>0</v>
      </c>
      <c r="FR72" s="101">
        <v>0</v>
      </c>
      <c r="FS72" s="101">
        <v>0</v>
      </c>
      <c r="FT72" s="101">
        <v>0</v>
      </c>
      <c r="FU72" s="101">
        <v>0</v>
      </c>
      <c r="FV72" s="101">
        <v>0</v>
      </c>
      <c r="FW72" s="101">
        <v>0</v>
      </c>
      <c r="FX72" s="101">
        <v>0</v>
      </c>
      <c r="FY72" s="101">
        <v>0</v>
      </c>
      <c r="FZ72" s="101">
        <v>0</v>
      </c>
      <c r="GA72" s="101">
        <v>0</v>
      </c>
      <c r="GB72" s="101">
        <v>0</v>
      </c>
      <c r="GC72" s="101">
        <v>0</v>
      </c>
      <c r="GD72" s="101">
        <v>0</v>
      </c>
      <c r="GE72" s="101">
        <v>0</v>
      </c>
      <c r="GF72" s="101">
        <v>0</v>
      </c>
      <c r="GG72" s="101">
        <v>0</v>
      </c>
      <c r="GH72" s="101">
        <v>0</v>
      </c>
      <c r="GI72" s="101">
        <v>0</v>
      </c>
      <c r="GJ72" s="101">
        <v>0</v>
      </c>
      <c r="GK72" s="101">
        <v>0</v>
      </c>
      <c r="GL72" s="101">
        <v>0</v>
      </c>
      <c r="GM72" s="73">
        <v>0</v>
      </c>
      <c r="GN72" s="265">
        <v>35</v>
      </c>
      <c r="GO72" s="101">
        <v>0</v>
      </c>
      <c r="GP72" s="13"/>
      <c r="GQ72" s="13"/>
      <c r="GR72" s="13"/>
      <c r="GS72" s="13"/>
      <c r="GT72" s="274"/>
      <c r="GU72" s="55">
        <f t="shared" si="37"/>
        <v>0</v>
      </c>
      <c r="GV72" s="56">
        <v>60</v>
      </c>
      <c r="GW72" s="63"/>
    </row>
    <row r="73" spans="1:205" x14ac:dyDescent="0.25">
      <c r="A73" s="2">
        <v>6</v>
      </c>
      <c r="B73" s="474"/>
      <c r="C73" s="370" t="s">
        <v>49</v>
      </c>
      <c r="D73" s="4" t="s">
        <v>19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22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62"/>
      <c r="AP73" s="160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  <c r="CU73" s="101"/>
      <c r="CV73" s="101"/>
      <c r="CW73" s="101"/>
      <c r="CX73" s="101"/>
      <c r="CY73" s="101"/>
      <c r="CZ73" s="101"/>
      <c r="DA73" s="101"/>
      <c r="DB73" s="101"/>
      <c r="DC73" s="101"/>
      <c r="DD73" s="101"/>
      <c r="DE73" s="101"/>
      <c r="DF73" s="101"/>
      <c r="DG73" s="101"/>
      <c r="DH73" s="101"/>
      <c r="DI73" s="101"/>
      <c r="DJ73" s="101"/>
      <c r="DK73" s="101"/>
      <c r="DL73" s="101"/>
      <c r="DM73" s="101"/>
      <c r="DN73" s="101"/>
      <c r="DO73" s="101"/>
      <c r="DP73" s="101"/>
      <c r="DQ73" s="101"/>
      <c r="DR73" s="101"/>
      <c r="DS73" s="101"/>
      <c r="DT73" s="101"/>
      <c r="DU73" s="101"/>
      <c r="DV73" s="101"/>
      <c r="DW73" s="101"/>
      <c r="DX73" s="101"/>
      <c r="DY73" s="101"/>
      <c r="DZ73" s="101"/>
      <c r="EA73" s="101"/>
      <c r="EB73" s="101"/>
      <c r="EC73" s="101"/>
      <c r="ED73" s="160"/>
      <c r="EE73" s="101"/>
      <c r="EF73" s="101"/>
      <c r="EG73" s="101"/>
      <c r="EH73" s="101"/>
      <c r="EI73" s="101"/>
      <c r="EJ73" s="101"/>
      <c r="EK73" s="101"/>
      <c r="EL73" s="101"/>
      <c r="EM73" s="101"/>
      <c r="EN73" s="101"/>
      <c r="EO73" s="101"/>
      <c r="EP73" s="101"/>
      <c r="EQ73" s="101"/>
      <c r="ER73" s="101"/>
      <c r="ES73" s="101"/>
      <c r="ET73" s="101"/>
      <c r="EU73" s="101"/>
      <c r="EV73" s="101"/>
      <c r="EW73" s="101"/>
      <c r="EX73" s="101"/>
      <c r="EY73" s="101"/>
      <c r="EZ73" s="101">
        <v>0</v>
      </c>
      <c r="FA73" s="101">
        <v>0</v>
      </c>
      <c r="FB73" s="101">
        <v>0</v>
      </c>
      <c r="FC73" s="101">
        <v>0</v>
      </c>
      <c r="FD73" s="101">
        <v>0</v>
      </c>
      <c r="FE73" s="101">
        <v>0</v>
      </c>
      <c r="FF73" s="101">
        <v>0</v>
      </c>
      <c r="FG73" s="101">
        <v>0</v>
      </c>
      <c r="FH73" s="160">
        <v>0</v>
      </c>
      <c r="FI73" s="101">
        <v>0</v>
      </c>
      <c r="FJ73" s="101">
        <v>0</v>
      </c>
      <c r="FK73" s="101">
        <v>0</v>
      </c>
      <c r="FL73" s="101">
        <v>0</v>
      </c>
      <c r="FM73" s="101">
        <v>0</v>
      </c>
      <c r="FN73" s="101">
        <v>0</v>
      </c>
      <c r="FO73" s="101">
        <v>0</v>
      </c>
      <c r="FP73" s="101">
        <v>0</v>
      </c>
      <c r="FQ73" s="101">
        <v>0</v>
      </c>
      <c r="FR73" s="101">
        <v>0</v>
      </c>
      <c r="FS73" s="101">
        <v>0</v>
      </c>
      <c r="FT73" s="101">
        <v>0</v>
      </c>
      <c r="FU73" s="101">
        <v>0</v>
      </c>
      <c r="FV73" s="101">
        <v>0</v>
      </c>
      <c r="FW73" s="101">
        <v>0</v>
      </c>
      <c r="FX73" s="101">
        <v>0</v>
      </c>
      <c r="FY73" s="101">
        <v>0</v>
      </c>
      <c r="FZ73" s="101">
        <v>0</v>
      </c>
      <c r="GA73" s="101">
        <v>0</v>
      </c>
      <c r="GB73" s="101">
        <v>0</v>
      </c>
      <c r="GC73" s="101">
        <v>0</v>
      </c>
      <c r="GD73" s="101">
        <v>0</v>
      </c>
      <c r="GE73" s="101">
        <v>0</v>
      </c>
      <c r="GF73" s="101">
        <v>0</v>
      </c>
      <c r="GG73" s="101">
        <v>0</v>
      </c>
      <c r="GH73" s="101">
        <v>0</v>
      </c>
      <c r="GI73" s="101">
        <v>0</v>
      </c>
      <c r="GJ73" s="101">
        <v>0</v>
      </c>
      <c r="GK73" s="101">
        <v>0</v>
      </c>
      <c r="GL73" s="101">
        <v>0</v>
      </c>
      <c r="GM73" s="73">
        <v>0</v>
      </c>
      <c r="GN73" s="13">
        <v>0</v>
      </c>
      <c r="GO73" s="101">
        <v>0</v>
      </c>
      <c r="GP73" s="13"/>
      <c r="GQ73" s="13"/>
      <c r="GR73" s="13"/>
      <c r="GS73" s="13"/>
      <c r="GT73" s="274"/>
      <c r="GU73" s="55">
        <f t="shared" si="37"/>
        <v>0</v>
      </c>
      <c r="GV73" s="56">
        <v>90</v>
      </c>
      <c r="GW73" s="63"/>
    </row>
    <row r="74" spans="1:205" x14ac:dyDescent="0.25">
      <c r="A74" s="9">
        <v>7</v>
      </c>
      <c r="B74" s="474"/>
      <c r="C74" s="370" t="s">
        <v>50</v>
      </c>
      <c r="D74" s="4" t="s">
        <v>19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22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62"/>
      <c r="AP74" s="160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  <c r="CU74" s="101"/>
      <c r="CV74" s="101"/>
      <c r="CW74" s="101"/>
      <c r="CX74" s="101"/>
      <c r="CY74" s="101"/>
      <c r="CZ74" s="101"/>
      <c r="DA74" s="101"/>
      <c r="DB74" s="101"/>
      <c r="DC74" s="101"/>
      <c r="DD74" s="101"/>
      <c r="DE74" s="101"/>
      <c r="DF74" s="101"/>
      <c r="DG74" s="101"/>
      <c r="DH74" s="101"/>
      <c r="DI74" s="101"/>
      <c r="DJ74" s="101"/>
      <c r="DK74" s="101"/>
      <c r="DL74" s="101"/>
      <c r="DM74" s="101"/>
      <c r="DN74" s="101"/>
      <c r="DO74" s="101"/>
      <c r="DP74" s="101"/>
      <c r="DQ74" s="101"/>
      <c r="DR74" s="101"/>
      <c r="DS74" s="101"/>
      <c r="DT74" s="101"/>
      <c r="DU74" s="101"/>
      <c r="DV74" s="101"/>
      <c r="DW74" s="101"/>
      <c r="DX74" s="101"/>
      <c r="DY74" s="101"/>
      <c r="DZ74" s="101"/>
      <c r="EA74" s="101"/>
      <c r="EB74" s="101"/>
      <c r="EC74" s="101"/>
      <c r="ED74" s="160"/>
      <c r="EE74" s="101"/>
      <c r="EF74" s="101"/>
      <c r="EG74" s="101"/>
      <c r="EH74" s="101"/>
      <c r="EI74" s="101"/>
      <c r="EJ74" s="101"/>
      <c r="EK74" s="101"/>
      <c r="EL74" s="101"/>
      <c r="EM74" s="101"/>
      <c r="EN74" s="101"/>
      <c r="EO74" s="101"/>
      <c r="EP74" s="101"/>
      <c r="EQ74" s="101"/>
      <c r="ER74" s="101"/>
      <c r="ES74" s="101"/>
      <c r="ET74" s="101"/>
      <c r="EU74" s="101"/>
      <c r="EV74" s="101"/>
      <c r="EW74" s="101"/>
      <c r="EX74" s="101"/>
      <c r="EY74" s="101"/>
      <c r="EZ74" s="101">
        <v>0</v>
      </c>
      <c r="FA74" s="101">
        <v>0</v>
      </c>
      <c r="FB74" s="101">
        <v>0</v>
      </c>
      <c r="FC74" s="101">
        <v>0</v>
      </c>
      <c r="FD74" s="101">
        <v>0</v>
      </c>
      <c r="FE74" s="101">
        <v>0</v>
      </c>
      <c r="FF74" s="101">
        <v>0</v>
      </c>
      <c r="FG74" s="101">
        <v>0</v>
      </c>
      <c r="FH74" s="160">
        <v>0</v>
      </c>
      <c r="FI74" s="101">
        <v>0</v>
      </c>
      <c r="FJ74" s="101">
        <v>0</v>
      </c>
      <c r="FK74" s="101">
        <v>0</v>
      </c>
      <c r="FL74" s="101">
        <v>0</v>
      </c>
      <c r="FM74" s="101">
        <v>0</v>
      </c>
      <c r="FN74" s="101">
        <v>0</v>
      </c>
      <c r="FO74" s="101">
        <v>0</v>
      </c>
      <c r="FP74" s="101">
        <v>0</v>
      </c>
      <c r="FQ74" s="101">
        <v>0</v>
      </c>
      <c r="FR74" s="101">
        <v>0</v>
      </c>
      <c r="FS74" s="101">
        <v>0</v>
      </c>
      <c r="FT74" s="101">
        <v>0</v>
      </c>
      <c r="FU74" s="101">
        <v>0</v>
      </c>
      <c r="FV74" s="101">
        <v>0</v>
      </c>
      <c r="FW74" s="101">
        <v>0</v>
      </c>
      <c r="FX74" s="101">
        <v>0</v>
      </c>
      <c r="FY74" s="101">
        <v>0</v>
      </c>
      <c r="FZ74" s="101">
        <v>0</v>
      </c>
      <c r="GA74" s="101">
        <v>0</v>
      </c>
      <c r="GB74" s="101">
        <v>0</v>
      </c>
      <c r="GC74" s="101">
        <v>0</v>
      </c>
      <c r="GD74" s="101">
        <v>0</v>
      </c>
      <c r="GE74" s="101">
        <v>0</v>
      </c>
      <c r="GF74" s="101">
        <v>0</v>
      </c>
      <c r="GG74" s="101">
        <v>0</v>
      </c>
      <c r="GH74" s="101">
        <v>0</v>
      </c>
      <c r="GI74" s="101">
        <v>0</v>
      </c>
      <c r="GJ74" s="101">
        <v>0</v>
      </c>
      <c r="GK74" s="101">
        <v>0</v>
      </c>
      <c r="GL74" s="101">
        <v>0</v>
      </c>
      <c r="GM74" s="73">
        <v>0</v>
      </c>
      <c r="GN74" s="13">
        <v>0</v>
      </c>
      <c r="GO74" s="101">
        <v>0</v>
      </c>
      <c r="GP74" s="13"/>
      <c r="GQ74" s="13"/>
      <c r="GR74" s="13"/>
      <c r="GS74" s="13"/>
      <c r="GT74" s="274"/>
      <c r="GU74" s="55">
        <f t="shared" si="37"/>
        <v>0</v>
      </c>
      <c r="GV74" s="56">
        <v>90</v>
      </c>
      <c r="GW74" s="63"/>
    </row>
    <row r="75" spans="1:205" x14ac:dyDescent="0.25">
      <c r="A75" s="2">
        <v>8</v>
      </c>
      <c r="B75" s="474"/>
      <c r="C75" s="370" t="s">
        <v>51</v>
      </c>
      <c r="D75" s="4" t="s">
        <v>19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62"/>
      <c r="AP75" s="160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  <c r="CU75" s="101"/>
      <c r="CV75" s="101"/>
      <c r="CW75" s="101"/>
      <c r="CX75" s="101"/>
      <c r="CY75" s="101"/>
      <c r="CZ75" s="101"/>
      <c r="DA75" s="101"/>
      <c r="DB75" s="101"/>
      <c r="DC75" s="101"/>
      <c r="DD75" s="101"/>
      <c r="DE75" s="101"/>
      <c r="DF75" s="101"/>
      <c r="DG75" s="101"/>
      <c r="DH75" s="101"/>
      <c r="DI75" s="101"/>
      <c r="DJ75" s="101"/>
      <c r="DK75" s="101"/>
      <c r="DL75" s="101"/>
      <c r="DM75" s="101"/>
      <c r="DN75" s="101"/>
      <c r="DO75" s="101"/>
      <c r="DP75" s="101"/>
      <c r="DQ75" s="101"/>
      <c r="DR75" s="101"/>
      <c r="DS75" s="101"/>
      <c r="DT75" s="101"/>
      <c r="DU75" s="101"/>
      <c r="DV75" s="101"/>
      <c r="DW75" s="101"/>
      <c r="DX75" s="101"/>
      <c r="DY75" s="101"/>
      <c r="DZ75" s="101"/>
      <c r="EA75" s="101"/>
      <c r="EB75" s="101"/>
      <c r="EC75" s="101"/>
      <c r="ED75" s="160"/>
      <c r="EE75" s="101"/>
      <c r="EF75" s="101"/>
      <c r="EG75" s="101"/>
      <c r="EH75" s="101"/>
      <c r="EI75" s="101"/>
      <c r="EJ75" s="101"/>
      <c r="EK75" s="101"/>
      <c r="EL75" s="101"/>
      <c r="EM75" s="101"/>
      <c r="EN75" s="101"/>
      <c r="EO75" s="101"/>
      <c r="EP75" s="101"/>
      <c r="EQ75" s="101"/>
      <c r="ER75" s="101"/>
      <c r="ES75" s="101"/>
      <c r="ET75" s="101"/>
      <c r="EU75" s="101"/>
      <c r="EV75" s="101"/>
      <c r="EW75" s="101"/>
      <c r="EX75" s="101"/>
      <c r="EY75" s="101"/>
      <c r="EZ75" s="101">
        <v>0</v>
      </c>
      <c r="FA75" s="101">
        <v>0</v>
      </c>
      <c r="FB75" s="101">
        <v>0</v>
      </c>
      <c r="FC75" s="101">
        <v>0</v>
      </c>
      <c r="FD75" s="101">
        <v>0</v>
      </c>
      <c r="FE75" s="101">
        <v>0</v>
      </c>
      <c r="FF75" s="101">
        <v>0</v>
      </c>
      <c r="FG75" s="101">
        <v>0</v>
      </c>
      <c r="FH75" s="160">
        <v>0</v>
      </c>
      <c r="FI75" s="101">
        <v>0</v>
      </c>
      <c r="FJ75" s="101">
        <v>0</v>
      </c>
      <c r="FK75" s="101">
        <v>0</v>
      </c>
      <c r="FL75" s="101">
        <v>0</v>
      </c>
      <c r="FM75" s="101">
        <v>0</v>
      </c>
      <c r="FN75" s="101">
        <v>0</v>
      </c>
      <c r="FO75" s="101">
        <v>0</v>
      </c>
      <c r="FP75" s="101">
        <v>0</v>
      </c>
      <c r="FQ75" s="101">
        <v>0</v>
      </c>
      <c r="FR75" s="101">
        <v>0</v>
      </c>
      <c r="FS75" s="101">
        <v>0</v>
      </c>
      <c r="FT75" s="101">
        <v>0</v>
      </c>
      <c r="FU75" s="101">
        <v>0</v>
      </c>
      <c r="FV75" s="101">
        <v>0</v>
      </c>
      <c r="FW75" s="101">
        <v>0</v>
      </c>
      <c r="FX75" s="101">
        <v>0</v>
      </c>
      <c r="FY75" s="101">
        <v>0</v>
      </c>
      <c r="FZ75" s="101">
        <v>0</v>
      </c>
      <c r="GA75" s="101">
        <v>0</v>
      </c>
      <c r="GB75" s="101">
        <v>0</v>
      </c>
      <c r="GC75" s="101">
        <v>0</v>
      </c>
      <c r="GD75" s="101">
        <v>0</v>
      </c>
      <c r="GE75" s="101">
        <v>0</v>
      </c>
      <c r="GF75" s="101">
        <v>0</v>
      </c>
      <c r="GG75" s="101">
        <v>0</v>
      </c>
      <c r="GH75" s="101">
        <v>0</v>
      </c>
      <c r="GI75" s="101">
        <v>0</v>
      </c>
      <c r="GJ75" s="101">
        <v>0</v>
      </c>
      <c r="GK75" s="101">
        <v>0</v>
      </c>
      <c r="GL75" s="101">
        <v>0</v>
      </c>
      <c r="GM75" s="73">
        <v>0</v>
      </c>
      <c r="GN75" s="13">
        <v>0</v>
      </c>
      <c r="GO75" s="101">
        <v>0</v>
      </c>
      <c r="GP75" s="13"/>
      <c r="GQ75" s="13"/>
      <c r="GR75" s="13"/>
      <c r="GS75" s="13"/>
      <c r="GT75" s="274"/>
      <c r="GU75" s="55">
        <f t="shared" si="37"/>
        <v>0</v>
      </c>
      <c r="GV75" s="56">
        <v>90</v>
      </c>
      <c r="GW75" s="63"/>
    </row>
    <row r="76" spans="1:205" x14ac:dyDescent="0.25">
      <c r="A76" s="9">
        <v>9</v>
      </c>
      <c r="B76" s="474"/>
      <c r="C76" s="370" t="s">
        <v>52</v>
      </c>
      <c r="D76" s="4" t="s">
        <v>19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62"/>
      <c r="AP76" s="160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  <c r="CU76" s="101"/>
      <c r="CV76" s="101"/>
      <c r="CW76" s="101"/>
      <c r="CX76" s="101"/>
      <c r="CY76" s="101"/>
      <c r="CZ76" s="101"/>
      <c r="DA76" s="101"/>
      <c r="DB76" s="101"/>
      <c r="DC76" s="101"/>
      <c r="DD76" s="101"/>
      <c r="DE76" s="101"/>
      <c r="DF76" s="101"/>
      <c r="DG76" s="101"/>
      <c r="DH76" s="101"/>
      <c r="DI76" s="101"/>
      <c r="DJ76" s="101"/>
      <c r="DK76" s="101"/>
      <c r="DL76" s="101"/>
      <c r="DM76" s="101"/>
      <c r="DN76" s="101"/>
      <c r="DO76" s="101"/>
      <c r="DP76" s="101"/>
      <c r="DQ76" s="101"/>
      <c r="DR76" s="101"/>
      <c r="DS76" s="101"/>
      <c r="DT76" s="101"/>
      <c r="DU76" s="101"/>
      <c r="DV76" s="101"/>
      <c r="DW76" s="101"/>
      <c r="DX76" s="101"/>
      <c r="DY76" s="101"/>
      <c r="DZ76" s="101"/>
      <c r="EA76" s="101"/>
      <c r="EB76" s="101"/>
      <c r="EC76" s="101"/>
      <c r="ED76" s="160"/>
      <c r="EE76" s="101"/>
      <c r="EF76" s="101"/>
      <c r="EG76" s="101"/>
      <c r="EH76" s="101"/>
      <c r="EI76" s="101"/>
      <c r="EJ76" s="101"/>
      <c r="EK76" s="101"/>
      <c r="EL76" s="101"/>
      <c r="EM76" s="101"/>
      <c r="EN76" s="101"/>
      <c r="EO76" s="101"/>
      <c r="EP76" s="101"/>
      <c r="EQ76" s="101"/>
      <c r="ER76" s="101"/>
      <c r="ES76" s="101"/>
      <c r="ET76" s="101"/>
      <c r="EU76" s="101"/>
      <c r="EV76" s="101"/>
      <c r="EW76" s="101"/>
      <c r="EX76" s="101"/>
      <c r="EY76" s="101"/>
      <c r="EZ76" s="101">
        <v>0</v>
      </c>
      <c r="FA76" s="101">
        <v>0</v>
      </c>
      <c r="FB76" s="101">
        <v>0</v>
      </c>
      <c r="FC76" s="101">
        <v>0</v>
      </c>
      <c r="FD76" s="101">
        <v>0</v>
      </c>
      <c r="FE76" s="101">
        <v>0</v>
      </c>
      <c r="FF76" s="101">
        <v>0</v>
      </c>
      <c r="FG76" s="101">
        <v>0</v>
      </c>
      <c r="FH76" s="160">
        <v>0</v>
      </c>
      <c r="FI76" s="101">
        <v>0</v>
      </c>
      <c r="FJ76" s="101">
        <v>0</v>
      </c>
      <c r="FK76" s="101">
        <v>0</v>
      </c>
      <c r="FL76" s="101">
        <v>0</v>
      </c>
      <c r="FM76" s="101">
        <v>0</v>
      </c>
      <c r="FN76" s="101">
        <v>0</v>
      </c>
      <c r="FO76" s="101">
        <v>0</v>
      </c>
      <c r="FP76" s="101">
        <v>0</v>
      </c>
      <c r="FQ76" s="101">
        <v>0</v>
      </c>
      <c r="FR76" s="101">
        <v>0</v>
      </c>
      <c r="FS76" s="101">
        <v>0</v>
      </c>
      <c r="FT76" s="101">
        <v>0</v>
      </c>
      <c r="FU76" s="101">
        <v>0</v>
      </c>
      <c r="FV76" s="101">
        <v>0</v>
      </c>
      <c r="FW76" s="101">
        <v>0</v>
      </c>
      <c r="FX76" s="101">
        <v>0</v>
      </c>
      <c r="FY76" s="101">
        <v>0</v>
      </c>
      <c r="FZ76" s="101">
        <v>0</v>
      </c>
      <c r="GA76" s="101">
        <v>0</v>
      </c>
      <c r="GB76" s="101">
        <v>0</v>
      </c>
      <c r="GC76" s="101">
        <v>0</v>
      </c>
      <c r="GD76" s="101">
        <v>0</v>
      </c>
      <c r="GE76" s="101">
        <v>0</v>
      </c>
      <c r="GF76" s="101">
        <v>0</v>
      </c>
      <c r="GG76" s="101">
        <v>0</v>
      </c>
      <c r="GH76" s="101">
        <v>0</v>
      </c>
      <c r="GI76" s="101">
        <v>0</v>
      </c>
      <c r="GJ76" s="101">
        <v>0</v>
      </c>
      <c r="GK76" s="101">
        <v>0</v>
      </c>
      <c r="GL76" s="101">
        <v>0</v>
      </c>
      <c r="GM76" s="73">
        <v>0</v>
      </c>
      <c r="GN76" s="13">
        <v>0</v>
      </c>
      <c r="GO76" s="101">
        <v>0</v>
      </c>
      <c r="GP76" s="13"/>
      <c r="GQ76" s="13"/>
      <c r="GR76" s="13"/>
      <c r="GS76" s="13"/>
      <c r="GT76" s="274"/>
      <c r="GU76" s="55">
        <f t="shared" si="37"/>
        <v>0</v>
      </c>
      <c r="GV76" s="56">
        <v>90</v>
      </c>
      <c r="GW76" s="372"/>
    </row>
    <row r="77" spans="1:205" x14ac:dyDescent="0.25">
      <c r="A77" s="2">
        <v>10</v>
      </c>
      <c r="B77" s="474"/>
      <c r="C77" s="370" t="s">
        <v>54</v>
      </c>
      <c r="D77" s="4" t="s">
        <v>19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62"/>
      <c r="AP77" s="160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  <c r="CU77" s="101"/>
      <c r="CV77" s="101"/>
      <c r="CW77" s="101"/>
      <c r="CX77" s="101"/>
      <c r="CY77" s="101"/>
      <c r="CZ77" s="101"/>
      <c r="DA77" s="101"/>
      <c r="DB77" s="101"/>
      <c r="DC77" s="101"/>
      <c r="DD77" s="101"/>
      <c r="DE77" s="101"/>
      <c r="DF77" s="101"/>
      <c r="DG77" s="101"/>
      <c r="DH77" s="101"/>
      <c r="DI77" s="101"/>
      <c r="DJ77" s="101"/>
      <c r="DK77" s="101"/>
      <c r="DL77" s="101"/>
      <c r="DM77" s="101"/>
      <c r="DN77" s="101"/>
      <c r="DO77" s="101"/>
      <c r="DP77" s="101"/>
      <c r="DQ77" s="101"/>
      <c r="DR77" s="101"/>
      <c r="DS77" s="101"/>
      <c r="DT77" s="101"/>
      <c r="DU77" s="101"/>
      <c r="DV77" s="101"/>
      <c r="DW77" s="101"/>
      <c r="DX77" s="101"/>
      <c r="DY77" s="101"/>
      <c r="DZ77" s="101"/>
      <c r="EA77" s="101"/>
      <c r="EB77" s="101"/>
      <c r="EC77" s="101"/>
      <c r="ED77" s="160"/>
      <c r="EE77" s="101"/>
      <c r="EF77" s="101"/>
      <c r="EG77" s="101"/>
      <c r="EH77" s="101"/>
      <c r="EI77" s="101"/>
      <c r="EJ77" s="101"/>
      <c r="EK77" s="101"/>
      <c r="EL77" s="101"/>
      <c r="EM77" s="101"/>
      <c r="EN77" s="101"/>
      <c r="EO77" s="101"/>
      <c r="EP77" s="101"/>
      <c r="EQ77" s="101"/>
      <c r="ER77" s="101"/>
      <c r="ES77" s="101"/>
      <c r="ET77" s="101"/>
      <c r="EU77" s="101"/>
      <c r="EV77" s="101"/>
      <c r="EW77" s="101"/>
      <c r="EX77" s="101"/>
      <c r="EY77" s="101"/>
      <c r="EZ77" s="101">
        <v>0</v>
      </c>
      <c r="FA77" s="101">
        <v>0</v>
      </c>
      <c r="FB77" s="101">
        <v>0</v>
      </c>
      <c r="FC77" s="101">
        <v>0</v>
      </c>
      <c r="FD77" s="101">
        <v>0</v>
      </c>
      <c r="FE77" s="101">
        <v>0</v>
      </c>
      <c r="FF77" s="101">
        <v>0</v>
      </c>
      <c r="FG77" s="101">
        <v>0</v>
      </c>
      <c r="FH77" s="160">
        <v>0</v>
      </c>
      <c r="FI77" s="101">
        <v>0</v>
      </c>
      <c r="FJ77" s="101">
        <v>0</v>
      </c>
      <c r="FK77" s="101">
        <v>0</v>
      </c>
      <c r="FL77" s="101">
        <v>0</v>
      </c>
      <c r="FM77" s="101">
        <v>0</v>
      </c>
      <c r="FN77" s="101">
        <v>0</v>
      </c>
      <c r="FO77" s="101">
        <v>0</v>
      </c>
      <c r="FP77" s="101">
        <v>0</v>
      </c>
      <c r="FQ77" s="101">
        <v>0</v>
      </c>
      <c r="FR77" s="101">
        <v>0</v>
      </c>
      <c r="FS77" s="101">
        <v>0</v>
      </c>
      <c r="FT77" s="101">
        <v>0</v>
      </c>
      <c r="FU77" s="101">
        <v>0</v>
      </c>
      <c r="FV77" s="101">
        <v>0</v>
      </c>
      <c r="FW77" s="101">
        <v>0</v>
      </c>
      <c r="FX77" s="101">
        <v>0</v>
      </c>
      <c r="FY77" s="101">
        <v>0</v>
      </c>
      <c r="FZ77" s="101">
        <v>0</v>
      </c>
      <c r="GA77" s="101">
        <v>0</v>
      </c>
      <c r="GB77" s="101">
        <v>0</v>
      </c>
      <c r="GC77" s="101">
        <v>0</v>
      </c>
      <c r="GD77" s="101">
        <v>0</v>
      </c>
      <c r="GE77" s="101">
        <v>0</v>
      </c>
      <c r="GF77" s="101">
        <v>0</v>
      </c>
      <c r="GG77" s="101">
        <v>0</v>
      </c>
      <c r="GH77" s="101">
        <v>0</v>
      </c>
      <c r="GI77" s="101">
        <v>0</v>
      </c>
      <c r="GJ77" s="101">
        <v>0</v>
      </c>
      <c r="GK77" s="101">
        <v>0</v>
      </c>
      <c r="GL77" s="101">
        <v>0</v>
      </c>
      <c r="GM77" s="73">
        <v>0</v>
      </c>
      <c r="GN77" s="13">
        <v>0</v>
      </c>
      <c r="GO77" s="101">
        <v>0</v>
      </c>
      <c r="GP77" s="13"/>
      <c r="GQ77" s="13"/>
      <c r="GR77" s="13"/>
      <c r="GS77" s="13"/>
      <c r="GT77" s="274"/>
      <c r="GU77" s="55">
        <f t="shared" si="37"/>
        <v>0</v>
      </c>
      <c r="GV77" s="56">
        <v>90</v>
      </c>
      <c r="GW77" s="63"/>
    </row>
    <row r="78" spans="1:205" x14ac:dyDescent="0.25">
      <c r="A78" s="9">
        <v>11</v>
      </c>
      <c r="B78" s="474"/>
      <c r="C78" s="370" t="s">
        <v>55</v>
      </c>
      <c r="D78" s="4" t="s">
        <v>19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62"/>
      <c r="AP78" s="160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  <c r="CU78" s="101"/>
      <c r="CV78" s="101"/>
      <c r="CW78" s="101"/>
      <c r="CX78" s="101"/>
      <c r="CY78" s="101"/>
      <c r="CZ78" s="101"/>
      <c r="DA78" s="101"/>
      <c r="DB78" s="101"/>
      <c r="DC78" s="101"/>
      <c r="DD78" s="101"/>
      <c r="DE78" s="101"/>
      <c r="DF78" s="101"/>
      <c r="DG78" s="101"/>
      <c r="DH78" s="101"/>
      <c r="DI78" s="101"/>
      <c r="DJ78" s="101"/>
      <c r="DK78" s="101"/>
      <c r="DL78" s="101"/>
      <c r="DM78" s="101"/>
      <c r="DN78" s="101"/>
      <c r="DO78" s="101"/>
      <c r="DP78" s="101"/>
      <c r="DQ78" s="101"/>
      <c r="DR78" s="101"/>
      <c r="DS78" s="101"/>
      <c r="DT78" s="101"/>
      <c r="DU78" s="101"/>
      <c r="DV78" s="101"/>
      <c r="DW78" s="101"/>
      <c r="DX78" s="101"/>
      <c r="DY78" s="101"/>
      <c r="DZ78" s="101"/>
      <c r="EA78" s="101"/>
      <c r="EB78" s="101"/>
      <c r="EC78" s="101"/>
      <c r="ED78" s="160"/>
      <c r="EE78" s="101"/>
      <c r="EF78" s="101"/>
      <c r="EG78" s="101"/>
      <c r="EH78" s="101"/>
      <c r="EI78" s="101"/>
      <c r="EJ78" s="101"/>
      <c r="EK78" s="101"/>
      <c r="EL78" s="101"/>
      <c r="EM78" s="101"/>
      <c r="EN78" s="101"/>
      <c r="EO78" s="101"/>
      <c r="EP78" s="101"/>
      <c r="EQ78" s="101"/>
      <c r="ER78" s="101"/>
      <c r="ES78" s="101"/>
      <c r="ET78" s="101"/>
      <c r="EU78" s="101"/>
      <c r="EV78" s="101"/>
      <c r="EW78" s="101"/>
      <c r="EX78" s="101"/>
      <c r="EY78" s="101"/>
      <c r="EZ78" s="101">
        <v>0</v>
      </c>
      <c r="FA78" s="101">
        <v>0</v>
      </c>
      <c r="FB78" s="101">
        <v>0</v>
      </c>
      <c r="FC78" s="101">
        <v>0</v>
      </c>
      <c r="FD78" s="101">
        <v>0</v>
      </c>
      <c r="FE78" s="101">
        <v>0</v>
      </c>
      <c r="FF78" s="101">
        <v>0</v>
      </c>
      <c r="FG78" s="101">
        <v>0</v>
      </c>
      <c r="FH78" s="160">
        <v>0</v>
      </c>
      <c r="FI78" s="101">
        <v>0</v>
      </c>
      <c r="FJ78" s="101">
        <v>0</v>
      </c>
      <c r="FK78" s="101">
        <v>0</v>
      </c>
      <c r="FL78" s="101">
        <v>0</v>
      </c>
      <c r="FM78" s="101">
        <v>0</v>
      </c>
      <c r="FN78" s="101">
        <v>0</v>
      </c>
      <c r="FO78" s="101">
        <v>0</v>
      </c>
      <c r="FP78" s="101">
        <v>0</v>
      </c>
      <c r="FQ78" s="101">
        <v>0</v>
      </c>
      <c r="FR78" s="101">
        <v>0</v>
      </c>
      <c r="FS78" s="101">
        <v>0</v>
      </c>
      <c r="FT78" s="101">
        <v>0</v>
      </c>
      <c r="FU78" s="101">
        <v>0</v>
      </c>
      <c r="FV78" s="101">
        <v>0</v>
      </c>
      <c r="FW78" s="101">
        <v>0</v>
      </c>
      <c r="FX78" s="101">
        <v>0</v>
      </c>
      <c r="FY78" s="101">
        <v>0</v>
      </c>
      <c r="FZ78" s="101">
        <v>0</v>
      </c>
      <c r="GA78" s="101">
        <v>0</v>
      </c>
      <c r="GB78" s="101">
        <v>0</v>
      </c>
      <c r="GC78" s="101">
        <v>0</v>
      </c>
      <c r="GD78" s="101">
        <v>0</v>
      </c>
      <c r="GE78" s="101">
        <v>0</v>
      </c>
      <c r="GF78" s="101">
        <v>0</v>
      </c>
      <c r="GG78" s="101">
        <v>0</v>
      </c>
      <c r="GH78" s="101">
        <v>0</v>
      </c>
      <c r="GI78" s="101">
        <v>0</v>
      </c>
      <c r="GJ78" s="101">
        <v>0</v>
      </c>
      <c r="GK78" s="101">
        <v>0</v>
      </c>
      <c r="GL78" s="101">
        <v>0</v>
      </c>
      <c r="GM78" s="73">
        <v>0</v>
      </c>
      <c r="GN78" s="13">
        <v>0</v>
      </c>
      <c r="GO78" s="101">
        <v>0</v>
      </c>
      <c r="GP78" s="13"/>
      <c r="GQ78" s="13"/>
      <c r="GR78" s="13"/>
      <c r="GS78" s="13"/>
      <c r="GT78" s="274"/>
      <c r="GU78" s="55">
        <f t="shared" si="37"/>
        <v>0</v>
      </c>
      <c r="GV78" s="57">
        <v>90</v>
      </c>
      <c r="GW78" s="60"/>
    </row>
    <row r="79" spans="1:205" x14ac:dyDescent="0.25">
      <c r="A79" s="2">
        <v>12</v>
      </c>
      <c r="B79" s="474"/>
      <c r="C79" s="370" t="s">
        <v>57</v>
      </c>
      <c r="D79" s="4" t="s">
        <v>19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62"/>
      <c r="AP79" s="160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1"/>
      <c r="CW79" s="101"/>
      <c r="CX79" s="101"/>
      <c r="CY79" s="101"/>
      <c r="CZ79" s="101"/>
      <c r="DA79" s="101"/>
      <c r="DB79" s="101"/>
      <c r="DC79" s="101"/>
      <c r="DD79" s="101"/>
      <c r="DE79" s="101"/>
      <c r="DF79" s="101"/>
      <c r="DG79" s="101"/>
      <c r="DH79" s="101"/>
      <c r="DI79" s="101"/>
      <c r="DJ79" s="101"/>
      <c r="DK79" s="101"/>
      <c r="DL79" s="101"/>
      <c r="DM79" s="101"/>
      <c r="DN79" s="101"/>
      <c r="DO79" s="101"/>
      <c r="DP79" s="101"/>
      <c r="DQ79" s="101"/>
      <c r="DR79" s="101"/>
      <c r="DS79" s="101"/>
      <c r="DT79" s="101"/>
      <c r="DU79" s="101"/>
      <c r="DV79" s="101"/>
      <c r="DW79" s="101"/>
      <c r="DX79" s="101"/>
      <c r="DY79" s="101"/>
      <c r="DZ79" s="101"/>
      <c r="EA79" s="101"/>
      <c r="EB79" s="101"/>
      <c r="EC79" s="101"/>
      <c r="ED79" s="160"/>
      <c r="EE79" s="101"/>
      <c r="EF79" s="101"/>
      <c r="EG79" s="101"/>
      <c r="EH79" s="101"/>
      <c r="EI79" s="101"/>
      <c r="EJ79" s="101"/>
      <c r="EK79" s="101"/>
      <c r="EL79" s="101"/>
      <c r="EM79" s="101"/>
      <c r="EN79" s="101"/>
      <c r="EO79" s="101"/>
      <c r="EP79" s="101"/>
      <c r="EQ79" s="101"/>
      <c r="ER79" s="101"/>
      <c r="ES79" s="101"/>
      <c r="ET79" s="101"/>
      <c r="EU79" s="101"/>
      <c r="EV79" s="101"/>
      <c r="EW79" s="101"/>
      <c r="EX79" s="101"/>
      <c r="EY79" s="101"/>
      <c r="EZ79" s="101">
        <v>0</v>
      </c>
      <c r="FA79" s="101">
        <v>0</v>
      </c>
      <c r="FB79" s="101">
        <v>0</v>
      </c>
      <c r="FC79" s="101">
        <v>0</v>
      </c>
      <c r="FD79" s="101">
        <v>0</v>
      </c>
      <c r="FE79" s="101">
        <v>0</v>
      </c>
      <c r="FF79" s="101">
        <v>0</v>
      </c>
      <c r="FG79" s="101">
        <v>0</v>
      </c>
      <c r="FH79" s="160">
        <v>0</v>
      </c>
      <c r="FI79" s="101">
        <v>0</v>
      </c>
      <c r="FJ79" s="101">
        <v>0</v>
      </c>
      <c r="FK79" s="101">
        <v>0</v>
      </c>
      <c r="FL79" s="101">
        <v>0</v>
      </c>
      <c r="FM79" s="101">
        <v>0</v>
      </c>
      <c r="FN79" s="101">
        <v>0</v>
      </c>
      <c r="FO79" s="101">
        <v>0</v>
      </c>
      <c r="FP79" s="101">
        <v>0</v>
      </c>
      <c r="FQ79" s="101">
        <v>0</v>
      </c>
      <c r="FR79" s="101">
        <v>0</v>
      </c>
      <c r="FS79" s="101">
        <v>0</v>
      </c>
      <c r="FT79" s="101">
        <v>0</v>
      </c>
      <c r="FU79" s="101">
        <v>0</v>
      </c>
      <c r="FV79" s="101">
        <v>0</v>
      </c>
      <c r="FW79" s="101">
        <v>0</v>
      </c>
      <c r="FX79" s="101">
        <v>0</v>
      </c>
      <c r="FY79" s="101">
        <v>0</v>
      </c>
      <c r="FZ79" s="101">
        <v>0</v>
      </c>
      <c r="GA79" s="101">
        <v>0</v>
      </c>
      <c r="GB79" s="101">
        <v>0</v>
      </c>
      <c r="GC79" s="101">
        <v>0</v>
      </c>
      <c r="GD79" s="101">
        <v>0</v>
      </c>
      <c r="GE79" s="101">
        <v>0</v>
      </c>
      <c r="GF79" s="101">
        <v>0</v>
      </c>
      <c r="GG79" s="101">
        <v>0</v>
      </c>
      <c r="GH79" s="101">
        <v>0</v>
      </c>
      <c r="GI79" s="101">
        <v>0</v>
      </c>
      <c r="GJ79" s="101">
        <v>0</v>
      </c>
      <c r="GK79" s="101">
        <v>0</v>
      </c>
      <c r="GL79" s="101">
        <v>0</v>
      </c>
      <c r="GM79" s="73">
        <v>0</v>
      </c>
      <c r="GN79" s="13">
        <v>0</v>
      </c>
      <c r="GO79" s="101">
        <v>0</v>
      </c>
      <c r="GP79" s="13"/>
      <c r="GQ79" s="13"/>
      <c r="GR79" s="13"/>
      <c r="GS79" s="13"/>
      <c r="GT79" s="274"/>
      <c r="GU79" s="55">
        <f t="shared" si="37"/>
        <v>0</v>
      </c>
      <c r="GV79" s="55">
        <v>90</v>
      </c>
      <c r="GW79" s="52"/>
    </row>
    <row r="80" spans="1:205" x14ac:dyDescent="0.25">
      <c r="A80" s="9">
        <v>13</v>
      </c>
      <c r="B80" s="474"/>
      <c r="C80" s="370" t="s">
        <v>58</v>
      </c>
      <c r="D80" s="4" t="s">
        <v>19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62"/>
      <c r="AP80" s="160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1"/>
      <c r="CW80" s="101"/>
      <c r="CX80" s="101"/>
      <c r="CY80" s="101"/>
      <c r="CZ80" s="101"/>
      <c r="DA80" s="101"/>
      <c r="DB80" s="101"/>
      <c r="DC80" s="101"/>
      <c r="DD80" s="101"/>
      <c r="DE80" s="101"/>
      <c r="DF80" s="101"/>
      <c r="DG80" s="101"/>
      <c r="DH80" s="101"/>
      <c r="DI80" s="101"/>
      <c r="DJ80" s="101"/>
      <c r="DK80" s="101"/>
      <c r="DL80" s="101"/>
      <c r="DM80" s="101"/>
      <c r="DN80" s="101"/>
      <c r="DO80" s="101"/>
      <c r="DP80" s="101"/>
      <c r="DQ80" s="101"/>
      <c r="DR80" s="101"/>
      <c r="DS80" s="101"/>
      <c r="DT80" s="101"/>
      <c r="DU80" s="101"/>
      <c r="DV80" s="101"/>
      <c r="DW80" s="101"/>
      <c r="DX80" s="101"/>
      <c r="DY80" s="101"/>
      <c r="DZ80" s="101"/>
      <c r="EA80" s="101"/>
      <c r="EB80" s="101"/>
      <c r="EC80" s="101"/>
      <c r="ED80" s="160"/>
      <c r="EE80" s="101"/>
      <c r="EF80" s="101"/>
      <c r="EG80" s="101"/>
      <c r="EH80" s="101"/>
      <c r="EI80" s="101"/>
      <c r="EJ80" s="101"/>
      <c r="EK80" s="101"/>
      <c r="EL80" s="101"/>
      <c r="EM80" s="101"/>
      <c r="EN80" s="101"/>
      <c r="EO80" s="101"/>
      <c r="EP80" s="101"/>
      <c r="EQ80" s="101"/>
      <c r="ER80" s="101"/>
      <c r="ES80" s="101"/>
      <c r="ET80" s="101"/>
      <c r="EU80" s="101"/>
      <c r="EV80" s="101"/>
      <c r="EW80" s="101"/>
      <c r="EX80" s="101"/>
      <c r="EY80" s="101"/>
      <c r="EZ80" s="101">
        <v>0</v>
      </c>
      <c r="FA80" s="101">
        <v>0</v>
      </c>
      <c r="FB80" s="101">
        <v>0</v>
      </c>
      <c r="FC80" s="101">
        <v>0</v>
      </c>
      <c r="FD80" s="101">
        <v>0</v>
      </c>
      <c r="FE80" s="101">
        <v>0</v>
      </c>
      <c r="FF80" s="101">
        <v>0</v>
      </c>
      <c r="FG80" s="101">
        <v>0</v>
      </c>
      <c r="FH80" s="160">
        <v>0</v>
      </c>
      <c r="FI80" s="101">
        <v>0</v>
      </c>
      <c r="FJ80" s="101">
        <v>0</v>
      </c>
      <c r="FK80" s="101">
        <v>0</v>
      </c>
      <c r="FL80" s="101">
        <v>0</v>
      </c>
      <c r="FM80" s="101">
        <v>0</v>
      </c>
      <c r="FN80" s="101">
        <v>0</v>
      </c>
      <c r="FO80" s="101">
        <v>0</v>
      </c>
      <c r="FP80" s="101">
        <v>0</v>
      </c>
      <c r="FQ80" s="101">
        <v>0</v>
      </c>
      <c r="FR80" s="101">
        <v>0</v>
      </c>
      <c r="FS80" s="101">
        <v>0</v>
      </c>
      <c r="FT80" s="101">
        <v>0</v>
      </c>
      <c r="FU80" s="101">
        <v>0</v>
      </c>
      <c r="FV80" s="101">
        <v>0</v>
      </c>
      <c r="FW80" s="101">
        <v>0</v>
      </c>
      <c r="FX80" s="101">
        <v>0</v>
      </c>
      <c r="FY80" s="101">
        <v>0</v>
      </c>
      <c r="FZ80" s="101">
        <v>0</v>
      </c>
      <c r="GA80" s="101">
        <v>0</v>
      </c>
      <c r="GB80" s="101">
        <v>0</v>
      </c>
      <c r="GC80" s="101">
        <v>0</v>
      </c>
      <c r="GD80" s="101">
        <v>0</v>
      </c>
      <c r="GE80" s="101">
        <v>0</v>
      </c>
      <c r="GF80" s="101">
        <v>0</v>
      </c>
      <c r="GG80" s="101">
        <v>0</v>
      </c>
      <c r="GH80" s="101">
        <v>0</v>
      </c>
      <c r="GI80" s="101">
        <v>0</v>
      </c>
      <c r="GJ80" s="101">
        <v>0</v>
      </c>
      <c r="GK80" s="101">
        <v>0</v>
      </c>
      <c r="GL80" s="101">
        <v>0</v>
      </c>
      <c r="GM80" s="73">
        <v>0</v>
      </c>
      <c r="GN80" s="13">
        <v>0</v>
      </c>
      <c r="GO80" s="101">
        <v>0</v>
      </c>
      <c r="GP80" s="13"/>
      <c r="GQ80" s="13"/>
      <c r="GR80" s="13"/>
      <c r="GS80" s="13"/>
      <c r="GT80" s="274"/>
      <c r="GU80" s="55">
        <f t="shared" si="37"/>
        <v>0</v>
      </c>
      <c r="GV80" s="57">
        <v>90</v>
      </c>
      <c r="GW80" s="60"/>
    </row>
    <row r="81" spans="1:205" x14ac:dyDescent="0.25">
      <c r="A81" s="2">
        <v>14</v>
      </c>
      <c r="B81" s="474"/>
      <c r="C81" s="370" t="s">
        <v>60</v>
      </c>
      <c r="D81" s="4" t="s">
        <v>19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62"/>
      <c r="AP81" s="160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1"/>
      <c r="CW81" s="101"/>
      <c r="CX81" s="101"/>
      <c r="CY81" s="101"/>
      <c r="CZ81" s="101"/>
      <c r="DA81" s="101"/>
      <c r="DB81" s="101"/>
      <c r="DC81" s="101"/>
      <c r="DD81" s="101"/>
      <c r="DE81" s="101"/>
      <c r="DF81" s="101"/>
      <c r="DG81" s="101"/>
      <c r="DH81" s="101"/>
      <c r="DI81" s="101"/>
      <c r="DJ81" s="101"/>
      <c r="DK81" s="101"/>
      <c r="DL81" s="101"/>
      <c r="DM81" s="101"/>
      <c r="DN81" s="101"/>
      <c r="DO81" s="101"/>
      <c r="DP81" s="101"/>
      <c r="DQ81" s="101"/>
      <c r="DR81" s="101"/>
      <c r="DS81" s="101"/>
      <c r="DT81" s="101"/>
      <c r="DU81" s="101"/>
      <c r="DV81" s="101"/>
      <c r="DW81" s="101"/>
      <c r="DX81" s="101"/>
      <c r="DY81" s="101"/>
      <c r="DZ81" s="101"/>
      <c r="EA81" s="101"/>
      <c r="EB81" s="101"/>
      <c r="EC81" s="101"/>
      <c r="ED81" s="160"/>
      <c r="EE81" s="101"/>
      <c r="EF81" s="101"/>
      <c r="EG81" s="101"/>
      <c r="EH81" s="101"/>
      <c r="EI81" s="101"/>
      <c r="EJ81" s="101"/>
      <c r="EK81" s="101"/>
      <c r="EL81" s="101"/>
      <c r="EM81" s="101"/>
      <c r="EN81" s="101"/>
      <c r="EO81" s="101"/>
      <c r="EP81" s="101"/>
      <c r="EQ81" s="101"/>
      <c r="ER81" s="101"/>
      <c r="ES81" s="101"/>
      <c r="ET81" s="101"/>
      <c r="EU81" s="101"/>
      <c r="EV81" s="101"/>
      <c r="EW81" s="101"/>
      <c r="EX81" s="101"/>
      <c r="EY81" s="101"/>
      <c r="EZ81" s="101">
        <v>0</v>
      </c>
      <c r="FA81" s="101">
        <v>0</v>
      </c>
      <c r="FB81" s="101">
        <v>0</v>
      </c>
      <c r="FC81" s="101">
        <v>0</v>
      </c>
      <c r="FD81" s="101">
        <v>0</v>
      </c>
      <c r="FE81" s="101">
        <v>0</v>
      </c>
      <c r="FF81" s="101">
        <v>0</v>
      </c>
      <c r="FG81" s="101">
        <v>0</v>
      </c>
      <c r="FH81" s="160">
        <v>0</v>
      </c>
      <c r="FI81" s="101">
        <v>0</v>
      </c>
      <c r="FJ81" s="101">
        <v>0</v>
      </c>
      <c r="FK81" s="101">
        <v>0</v>
      </c>
      <c r="FL81" s="101">
        <v>0</v>
      </c>
      <c r="FM81" s="101">
        <v>0</v>
      </c>
      <c r="FN81" s="101">
        <v>0</v>
      </c>
      <c r="FO81" s="101">
        <v>0</v>
      </c>
      <c r="FP81" s="101">
        <v>0</v>
      </c>
      <c r="FQ81" s="101">
        <v>0</v>
      </c>
      <c r="FR81" s="101">
        <v>0</v>
      </c>
      <c r="FS81" s="101">
        <v>0</v>
      </c>
      <c r="FT81" s="101">
        <v>0</v>
      </c>
      <c r="FU81" s="101">
        <v>0</v>
      </c>
      <c r="FV81" s="101">
        <v>0</v>
      </c>
      <c r="FW81" s="101">
        <v>0</v>
      </c>
      <c r="FX81" s="101">
        <v>0</v>
      </c>
      <c r="FY81" s="101">
        <v>0</v>
      </c>
      <c r="FZ81" s="101">
        <v>0</v>
      </c>
      <c r="GA81" s="101">
        <v>0</v>
      </c>
      <c r="GB81" s="101">
        <v>0</v>
      </c>
      <c r="GC81" s="101">
        <v>0</v>
      </c>
      <c r="GD81" s="101">
        <v>0</v>
      </c>
      <c r="GE81" s="101">
        <v>0</v>
      </c>
      <c r="GF81" s="101">
        <v>0</v>
      </c>
      <c r="GG81" s="101">
        <v>0</v>
      </c>
      <c r="GH81" s="101">
        <v>0</v>
      </c>
      <c r="GI81" s="101">
        <v>0</v>
      </c>
      <c r="GJ81" s="101">
        <v>0</v>
      </c>
      <c r="GK81" s="101">
        <v>0</v>
      </c>
      <c r="GL81" s="101">
        <v>0</v>
      </c>
      <c r="GM81" s="73">
        <v>0</v>
      </c>
      <c r="GN81" s="13">
        <v>0</v>
      </c>
      <c r="GO81" s="101">
        <v>0</v>
      </c>
      <c r="GP81" s="13"/>
      <c r="GQ81" s="13"/>
      <c r="GR81" s="13"/>
      <c r="GS81" s="13"/>
      <c r="GT81" s="274"/>
      <c r="GU81" s="55">
        <f t="shared" si="37"/>
        <v>0</v>
      </c>
      <c r="GV81" s="56">
        <v>90</v>
      </c>
      <c r="GW81" s="63"/>
    </row>
    <row r="82" spans="1:205" x14ac:dyDescent="0.25">
      <c r="A82" s="9">
        <v>15</v>
      </c>
      <c r="B82" s="474"/>
      <c r="C82" s="370" t="s">
        <v>61</v>
      </c>
      <c r="D82" s="4" t="s">
        <v>19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62"/>
      <c r="AP82" s="160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1"/>
      <c r="CW82" s="101"/>
      <c r="CX82" s="101"/>
      <c r="CY82" s="101"/>
      <c r="CZ82" s="101"/>
      <c r="DA82" s="101"/>
      <c r="DB82" s="101"/>
      <c r="DC82" s="101"/>
      <c r="DD82" s="101"/>
      <c r="DE82" s="101"/>
      <c r="DF82" s="101"/>
      <c r="DG82" s="101"/>
      <c r="DH82" s="101"/>
      <c r="DI82" s="101"/>
      <c r="DJ82" s="101"/>
      <c r="DK82" s="101"/>
      <c r="DL82" s="101"/>
      <c r="DM82" s="101"/>
      <c r="DN82" s="101"/>
      <c r="DO82" s="101"/>
      <c r="DP82" s="101"/>
      <c r="DQ82" s="101"/>
      <c r="DR82" s="101"/>
      <c r="DS82" s="101"/>
      <c r="DT82" s="101"/>
      <c r="DU82" s="101"/>
      <c r="DV82" s="101"/>
      <c r="DW82" s="101"/>
      <c r="DX82" s="101"/>
      <c r="DY82" s="101"/>
      <c r="DZ82" s="101"/>
      <c r="EA82" s="101"/>
      <c r="EB82" s="101"/>
      <c r="EC82" s="101"/>
      <c r="ED82" s="160"/>
      <c r="EE82" s="101"/>
      <c r="EF82" s="101"/>
      <c r="EG82" s="101"/>
      <c r="EH82" s="101"/>
      <c r="EI82" s="101"/>
      <c r="EJ82" s="101"/>
      <c r="EK82" s="101"/>
      <c r="EL82" s="101"/>
      <c r="EM82" s="101"/>
      <c r="EN82" s="101"/>
      <c r="EO82" s="101"/>
      <c r="EP82" s="101"/>
      <c r="EQ82" s="101"/>
      <c r="ER82" s="101"/>
      <c r="ES82" s="101"/>
      <c r="ET82" s="101"/>
      <c r="EU82" s="101"/>
      <c r="EV82" s="101"/>
      <c r="EW82" s="101"/>
      <c r="EX82" s="101"/>
      <c r="EY82" s="101"/>
      <c r="EZ82" s="101">
        <v>0</v>
      </c>
      <c r="FA82" s="101">
        <v>0</v>
      </c>
      <c r="FB82" s="101">
        <v>0</v>
      </c>
      <c r="FC82" s="101">
        <v>0</v>
      </c>
      <c r="FD82" s="101">
        <v>0</v>
      </c>
      <c r="FE82" s="101">
        <v>0</v>
      </c>
      <c r="FF82" s="101">
        <v>0</v>
      </c>
      <c r="FG82" s="101">
        <v>0</v>
      </c>
      <c r="FH82" s="160">
        <v>0</v>
      </c>
      <c r="FI82" s="101">
        <v>0</v>
      </c>
      <c r="FJ82" s="101">
        <v>0</v>
      </c>
      <c r="FK82" s="101">
        <v>0</v>
      </c>
      <c r="FL82" s="101">
        <v>0</v>
      </c>
      <c r="FM82" s="101">
        <v>0</v>
      </c>
      <c r="FN82" s="101">
        <v>0</v>
      </c>
      <c r="FO82" s="101">
        <v>0</v>
      </c>
      <c r="FP82" s="101">
        <v>0</v>
      </c>
      <c r="FQ82" s="101">
        <v>0</v>
      </c>
      <c r="FR82" s="101">
        <v>0</v>
      </c>
      <c r="FS82" s="101">
        <v>0</v>
      </c>
      <c r="FT82" s="101">
        <v>0</v>
      </c>
      <c r="FU82" s="101">
        <v>0</v>
      </c>
      <c r="FV82" s="101">
        <v>0</v>
      </c>
      <c r="FW82" s="101">
        <v>0</v>
      </c>
      <c r="FX82" s="101">
        <v>0</v>
      </c>
      <c r="FY82" s="101">
        <v>0</v>
      </c>
      <c r="FZ82" s="101">
        <v>0</v>
      </c>
      <c r="GA82" s="101">
        <v>0</v>
      </c>
      <c r="GB82" s="101">
        <v>0</v>
      </c>
      <c r="GC82" s="101">
        <v>0</v>
      </c>
      <c r="GD82" s="101">
        <v>0</v>
      </c>
      <c r="GE82" s="101">
        <v>0</v>
      </c>
      <c r="GF82" s="101">
        <v>0</v>
      </c>
      <c r="GG82" s="101">
        <v>0</v>
      </c>
      <c r="GH82" s="101">
        <v>0</v>
      </c>
      <c r="GI82" s="101">
        <v>0</v>
      </c>
      <c r="GJ82" s="101">
        <v>0</v>
      </c>
      <c r="GK82" s="101">
        <v>0</v>
      </c>
      <c r="GL82" s="101">
        <v>0</v>
      </c>
      <c r="GM82" s="73">
        <v>0</v>
      </c>
      <c r="GN82" s="13">
        <v>0</v>
      </c>
      <c r="GO82" s="101">
        <v>0</v>
      </c>
      <c r="GP82" s="13"/>
      <c r="GQ82" s="13"/>
      <c r="GR82" s="13"/>
      <c r="GS82" s="13"/>
      <c r="GT82" s="274"/>
      <c r="GU82" s="55">
        <f t="shared" si="37"/>
        <v>0</v>
      </c>
      <c r="GV82" s="56">
        <v>60</v>
      </c>
      <c r="GW82" s="63"/>
    </row>
    <row r="83" spans="1:205" x14ac:dyDescent="0.25">
      <c r="A83" s="2">
        <v>16</v>
      </c>
      <c r="B83" s="474"/>
      <c r="C83" s="370" t="s">
        <v>124</v>
      </c>
      <c r="D83" s="4" t="s">
        <v>19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62"/>
      <c r="AP83" s="160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1"/>
      <c r="CW83" s="101"/>
      <c r="CX83" s="101"/>
      <c r="CY83" s="101"/>
      <c r="CZ83" s="101"/>
      <c r="DA83" s="101"/>
      <c r="DB83" s="101"/>
      <c r="DC83" s="101"/>
      <c r="DD83" s="101"/>
      <c r="DE83" s="101"/>
      <c r="DF83" s="101"/>
      <c r="DG83" s="101"/>
      <c r="DH83" s="101"/>
      <c r="DI83" s="101"/>
      <c r="DJ83" s="101"/>
      <c r="DK83" s="101"/>
      <c r="DL83" s="101"/>
      <c r="DM83" s="101"/>
      <c r="DN83" s="101"/>
      <c r="DO83" s="101"/>
      <c r="DP83" s="101"/>
      <c r="DQ83" s="101"/>
      <c r="DR83" s="101"/>
      <c r="DS83" s="101"/>
      <c r="DT83" s="101"/>
      <c r="DU83" s="101"/>
      <c r="DV83" s="101"/>
      <c r="DW83" s="101"/>
      <c r="DX83" s="101"/>
      <c r="DY83" s="101"/>
      <c r="DZ83" s="101"/>
      <c r="EA83" s="101"/>
      <c r="EB83" s="101"/>
      <c r="EC83" s="101"/>
      <c r="ED83" s="160"/>
      <c r="EE83" s="101"/>
      <c r="EF83" s="101"/>
      <c r="EG83" s="101"/>
      <c r="EH83" s="101"/>
      <c r="EI83" s="101"/>
      <c r="EJ83" s="101"/>
      <c r="EK83" s="101"/>
      <c r="EL83" s="101"/>
      <c r="EM83" s="101"/>
      <c r="EN83" s="101"/>
      <c r="EO83" s="101"/>
      <c r="EP83" s="101"/>
      <c r="EQ83" s="101"/>
      <c r="ER83" s="101"/>
      <c r="ES83" s="101"/>
      <c r="ET83" s="101"/>
      <c r="EU83" s="101"/>
      <c r="EV83" s="101"/>
      <c r="EW83" s="101"/>
      <c r="EX83" s="101"/>
      <c r="EY83" s="101"/>
      <c r="EZ83" s="101">
        <v>0</v>
      </c>
      <c r="FA83" s="101">
        <v>0</v>
      </c>
      <c r="FB83" s="101">
        <v>0</v>
      </c>
      <c r="FC83" s="101">
        <v>0</v>
      </c>
      <c r="FD83" s="101">
        <v>0</v>
      </c>
      <c r="FE83" s="101">
        <v>0</v>
      </c>
      <c r="FF83" s="101">
        <v>0</v>
      </c>
      <c r="FG83" s="101">
        <v>0</v>
      </c>
      <c r="FH83" s="160">
        <v>0</v>
      </c>
      <c r="FI83" s="101">
        <v>0</v>
      </c>
      <c r="FJ83" s="101">
        <v>0</v>
      </c>
      <c r="FK83" s="101">
        <v>0</v>
      </c>
      <c r="FL83" s="101">
        <v>0</v>
      </c>
      <c r="FM83" s="101">
        <v>0</v>
      </c>
      <c r="FN83" s="101">
        <v>0</v>
      </c>
      <c r="FO83" s="101">
        <v>0</v>
      </c>
      <c r="FP83" s="101">
        <v>0</v>
      </c>
      <c r="FQ83" s="101">
        <v>0</v>
      </c>
      <c r="FR83" s="101">
        <v>0</v>
      </c>
      <c r="FS83" s="101">
        <v>0</v>
      </c>
      <c r="FT83" s="101">
        <v>0</v>
      </c>
      <c r="FU83" s="101">
        <v>0</v>
      </c>
      <c r="FV83" s="101">
        <v>0</v>
      </c>
      <c r="FW83" s="101">
        <v>0</v>
      </c>
      <c r="FX83" s="101">
        <v>0</v>
      </c>
      <c r="FY83" s="101">
        <v>0</v>
      </c>
      <c r="FZ83" s="101">
        <v>0</v>
      </c>
      <c r="GA83" s="101">
        <v>0</v>
      </c>
      <c r="GB83" s="101">
        <v>0</v>
      </c>
      <c r="GC83" s="101">
        <v>0</v>
      </c>
      <c r="GD83" s="101">
        <v>0</v>
      </c>
      <c r="GE83" s="101">
        <v>0</v>
      </c>
      <c r="GF83" s="101">
        <v>0</v>
      </c>
      <c r="GG83" s="101">
        <v>0</v>
      </c>
      <c r="GH83" s="101">
        <v>0</v>
      </c>
      <c r="GI83" s="101">
        <v>0</v>
      </c>
      <c r="GJ83" s="101">
        <v>0</v>
      </c>
      <c r="GK83" s="101">
        <v>0</v>
      </c>
      <c r="GL83" s="101">
        <v>0</v>
      </c>
      <c r="GM83" s="73">
        <v>0</v>
      </c>
      <c r="GN83" s="13">
        <v>0</v>
      </c>
      <c r="GO83" s="101">
        <v>0</v>
      </c>
      <c r="GP83" s="13"/>
      <c r="GQ83" s="13"/>
      <c r="GR83" s="13"/>
      <c r="GS83" s="13"/>
      <c r="GT83" s="274"/>
      <c r="GU83" s="55">
        <f t="shared" si="37"/>
        <v>0</v>
      </c>
      <c r="GV83" s="55">
        <v>90</v>
      </c>
      <c r="GW83" s="52"/>
    </row>
    <row r="84" spans="1:205" x14ac:dyDescent="0.25">
      <c r="A84" s="2">
        <v>17</v>
      </c>
      <c r="B84" s="474"/>
      <c r="C84" s="370" t="s">
        <v>125</v>
      </c>
      <c r="D84" s="4" t="s">
        <v>19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62"/>
      <c r="AP84" s="160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1"/>
      <c r="CW84" s="101"/>
      <c r="CX84" s="101"/>
      <c r="CY84" s="101"/>
      <c r="CZ84" s="101"/>
      <c r="DA84" s="101"/>
      <c r="DB84" s="101"/>
      <c r="DC84" s="101"/>
      <c r="DD84" s="101"/>
      <c r="DE84" s="101"/>
      <c r="DF84" s="101"/>
      <c r="DG84" s="101"/>
      <c r="DH84" s="101"/>
      <c r="DI84" s="101"/>
      <c r="DJ84" s="101"/>
      <c r="DK84" s="101"/>
      <c r="DL84" s="101"/>
      <c r="DM84" s="101"/>
      <c r="DN84" s="101"/>
      <c r="DO84" s="101"/>
      <c r="DP84" s="101"/>
      <c r="DQ84" s="101"/>
      <c r="DR84" s="101"/>
      <c r="DS84" s="101"/>
      <c r="DT84" s="101"/>
      <c r="DU84" s="101"/>
      <c r="DV84" s="101"/>
      <c r="DW84" s="101"/>
      <c r="DX84" s="101"/>
      <c r="DY84" s="101"/>
      <c r="DZ84" s="101"/>
      <c r="EA84" s="101"/>
      <c r="EB84" s="101"/>
      <c r="EC84" s="101"/>
      <c r="ED84" s="160"/>
      <c r="EE84" s="101"/>
      <c r="EF84" s="101"/>
      <c r="EG84" s="101"/>
      <c r="EH84" s="101"/>
      <c r="EI84" s="101"/>
      <c r="EJ84" s="101"/>
      <c r="EK84" s="101"/>
      <c r="EL84" s="101"/>
      <c r="EM84" s="101"/>
      <c r="EN84" s="101"/>
      <c r="EO84" s="101"/>
      <c r="EP84" s="101"/>
      <c r="EQ84" s="269"/>
      <c r="ER84" s="101"/>
      <c r="ES84" s="101"/>
      <c r="ET84" s="101"/>
      <c r="EU84" s="101"/>
      <c r="EV84" s="101"/>
      <c r="EW84" s="101"/>
      <c r="EX84" s="101"/>
      <c r="EY84" s="101"/>
      <c r="EZ84" s="101">
        <v>0</v>
      </c>
      <c r="FA84" s="101">
        <v>0</v>
      </c>
      <c r="FB84" s="101">
        <v>0</v>
      </c>
      <c r="FC84" s="101">
        <v>0</v>
      </c>
      <c r="FD84" s="101">
        <v>0</v>
      </c>
      <c r="FE84" s="101">
        <v>0</v>
      </c>
      <c r="FF84" s="101">
        <v>0</v>
      </c>
      <c r="FG84" s="101">
        <v>0</v>
      </c>
      <c r="FH84" s="160">
        <v>0</v>
      </c>
      <c r="FI84" s="101">
        <v>0</v>
      </c>
      <c r="FJ84" s="101">
        <v>0</v>
      </c>
      <c r="FK84" s="101">
        <v>0</v>
      </c>
      <c r="FL84" s="101">
        <v>0</v>
      </c>
      <c r="FM84" s="101">
        <v>0</v>
      </c>
      <c r="FN84" s="101">
        <v>0</v>
      </c>
      <c r="FO84" s="101">
        <v>0</v>
      </c>
      <c r="FP84" s="101">
        <v>0</v>
      </c>
      <c r="FQ84" s="101">
        <v>0</v>
      </c>
      <c r="FR84" s="101">
        <v>0</v>
      </c>
      <c r="FS84" s="101">
        <v>0</v>
      </c>
      <c r="FT84" s="101">
        <v>0</v>
      </c>
      <c r="FU84" s="101">
        <v>0</v>
      </c>
      <c r="FV84" s="101">
        <v>0</v>
      </c>
      <c r="FW84" s="101">
        <v>0</v>
      </c>
      <c r="FX84" s="101">
        <v>0</v>
      </c>
      <c r="FY84" s="101">
        <v>0</v>
      </c>
      <c r="FZ84" s="101">
        <v>0</v>
      </c>
      <c r="GA84" s="101">
        <v>0</v>
      </c>
      <c r="GB84" s="101">
        <v>0</v>
      </c>
      <c r="GC84" s="101">
        <v>0</v>
      </c>
      <c r="GD84" s="101">
        <v>0</v>
      </c>
      <c r="GE84" s="101">
        <v>0</v>
      </c>
      <c r="GF84" s="101">
        <v>0</v>
      </c>
      <c r="GG84" s="101">
        <v>0</v>
      </c>
      <c r="GH84" s="101">
        <v>0</v>
      </c>
      <c r="GI84" s="101">
        <v>0</v>
      </c>
      <c r="GJ84" s="101">
        <v>0</v>
      </c>
      <c r="GK84" s="101">
        <v>0</v>
      </c>
      <c r="GL84" s="101">
        <v>0</v>
      </c>
      <c r="GM84" s="73">
        <v>0</v>
      </c>
      <c r="GN84" s="13">
        <v>0</v>
      </c>
      <c r="GO84" s="101">
        <v>0</v>
      </c>
      <c r="GP84" s="13"/>
      <c r="GQ84" s="13"/>
      <c r="GR84" s="13"/>
      <c r="GS84" s="13"/>
      <c r="GT84" s="274"/>
      <c r="GU84" s="55">
        <f t="shared" si="37"/>
        <v>0</v>
      </c>
      <c r="GV84" s="55">
        <v>90</v>
      </c>
      <c r="GW84" s="52"/>
    </row>
    <row r="85" spans="1:205" x14ac:dyDescent="0.25">
      <c r="A85" s="9">
        <v>18</v>
      </c>
      <c r="B85" s="474"/>
      <c r="C85" s="370" t="s">
        <v>126</v>
      </c>
      <c r="D85" s="4" t="s">
        <v>19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62"/>
      <c r="AP85" s="160"/>
      <c r="AQ85" s="101"/>
      <c r="AR85" s="101"/>
      <c r="AS85" s="101"/>
      <c r="AT85" s="101"/>
      <c r="AU85" s="101"/>
      <c r="AV85" s="101"/>
      <c r="AW85" s="101"/>
      <c r="AX85" s="101"/>
      <c r="AY85" s="122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1"/>
      <c r="CW85" s="101"/>
      <c r="CX85" s="101"/>
      <c r="CY85" s="101"/>
      <c r="CZ85" s="101"/>
      <c r="DA85" s="101"/>
      <c r="DB85" s="101"/>
      <c r="DC85" s="101"/>
      <c r="DD85" s="101"/>
      <c r="DE85" s="101"/>
      <c r="DF85" s="101"/>
      <c r="DG85" s="101"/>
      <c r="DH85" s="101"/>
      <c r="DI85" s="101"/>
      <c r="DJ85" s="101"/>
      <c r="DK85" s="101"/>
      <c r="DL85" s="101"/>
      <c r="DM85" s="101"/>
      <c r="DN85" s="101"/>
      <c r="DO85" s="101"/>
      <c r="DP85" s="101"/>
      <c r="DQ85" s="101"/>
      <c r="DR85" s="101"/>
      <c r="DS85" s="101"/>
      <c r="DT85" s="101"/>
      <c r="DU85" s="101"/>
      <c r="DV85" s="101"/>
      <c r="DW85" s="101"/>
      <c r="DX85" s="101"/>
      <c r="DY85" s="101"/>
      <c r="DZ85" s="101"/>
      <c r="EA85" s="101"/>
      <c r="EB85" s="101"/>
      <c r="EC85" s="101"/>
      <c r="ED85" s="160"/>
      <c r="EE85" s="101"/>
      <c r="EF85" s="101"/>
      <c r="EG85" s="269"/>
      <c r="EH85" s="101"/>
      <c r="EI85" s="101"/>
      <c r="EJ85" s="101"/>
      <c r="EK85" s="101"/>
      <c r="EL85" s="101"/>
      <c r="EM85" s="101"/>
      <c r="EN85" s="101"/>
      <c r="EO85" s="101"/>
      <c r="EP85" s="101"/>
      <c r="EQ85" s="101"/>
      <c r="ER85" s="101"/>
      <c r="ES85" s="101"/>
      <c r="ET85" s="101"/>
      <c r="EU85" s="101"/>
      <c r="EV85" s="101"/>
      <c r="EW85" s="101"/>
      <c r="EX85" s="101"/>
      <c r="EY85" s="101"/>
      <c r="EZ85" s="101">
        <v>0</v>
      </c>
      <c r="FA85" s="101">
        <v>0</v>
      </c>
      <c r="FB85" s="101">
        <v>0</v>
      </c>
      <c r="FC85" s="101">
        <v>0</v>
      </c>
      <c r="FD85" s="101">
        <v>0</v>
      </c>
      <c r="FE85" s="101">
        <v>0</v>
      </c>
      <c r="FF85" s="101">
        <v>0</v>
      </c>
      <c r="FG85" s="101">
        <v>0</v>
      </c>
      <c r="FH85" s="160">
        <v>0</v>
      </c>
      <c r="FI85" s="101">
        <v>0</v>
      </c>
      <c r="FJ85" s="101">
        <v>0</v>
      </c>
      <c r="FK85" s="101">
        <v>0</v>
      </c>
      <c r="FL85" s="101">
        <v>0</v>
      </c>
      <c r="FM85" s="101">
        <v>0</v>
      </c>
      <c r="FN85" s="101">
        <v>0</v>
      </c>
      <c r="FO85" s="101">
        <v>0</v>
      </c>
      <c r="FP85" s="101">
        <v>0</v>
      </c>
      <c r="FQ85" s="101">
        <v>0</v>
      </c>
      <c r="FR85" s="101">
        <v>0</v>
      </c>
      <c r="FS85" s="101">
        <v>0</v>
      </c>
      <c r="FT85" s="101">
        <v>0</v>
      </c>
      <c r="FU85" s="101">
        <v>0</v>
      </c>
      <c r="FV85" s="101">
        <v>0</v>
      </c>
      <c r="FW85" s="101">
        <v>0</v>
      </c>
      <c r="FX85" s="101">
        <v>0</v>
      </c>
      <c r="FY85" s="101">
        <v>0</v>
      </c>
      <c r="FZ85" s="101">
        <v>0</v>
      </c>
      <c r="GA85" s="101">
        <v>0</v>
      </c>
      <c r="GB85" s="101">
        <v>0</v>
      </c>
      <c r="GC85" s="101">
        <v>0</v>
      </c>
      <c r="GD85" s="101">
        <v>0</v>
      </c>
      <c r="GE85" s="101">
        <v>0</v>
      </c>
      <c r="GF85" s="101">
        <v>0</v>
      </c>
      <c r="GG85" s="101">
        <v>0</v>
      </c>
      <c r="GH85" s="101">
        <v>0</v>
      </c>
      <c r="GI85" s="101">
        <v>0</v>
      </c>
      <c r="GJ85" s="101">
        <v>0</v>
      </c>
      <c r="GK85" s="101">
        <v>0</v>
      </c>
      <c r="GL85" s="101">
        <v>0</v>
      </c>
      <c r="GM85" s="73">
        <v>0</v>
      </c>
      <c r="GN85" s="13">
        <v>0</v>
      </c>
      <c r="GO85" s="101">
        <v>0</v>
      </c>
      <c r="GP85" s="13"/>
      <c r="GQ85" s="13"/>
      <c r="GR85" s="13"/>
      <c r="GS85" s="13"/>
      <c r="GT85" s="274"/>
      <c r="GU85" s="55">
        <f t="shared" si="37"/>
        <v>0</v>
      </c>
      <c r="GV85" s="55">
        <v>90</v>
      </c>
      <c r="GW85" s="52"/>
    </row>
    <row r="86" spans="1:205" x14ac:dyDescent="0.25">
      <c r="A86" s="2">
        <v>19</v>
      </c>
      <c r="B86" s="474"/>
      <c r="C86" s="370" t="s">
        <v>127</v>
      </c>
      <c r="D86" s="4" t="s">
        <v>19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62"/>
      <c r="AP86" s="160"/>
      <c r="AQ86" s="101"/>
      <c r="AR86" s="101"/>
      <c r="AS86" s="101"/>
      <c r="AT86" s="101"/>
      <c r="AU86" s="101"/>
      <c r="AV86" s="101"/>
      <c r="AW86" s="101"/>
      <c r="AX86" s="101"/>
      <c r="AY86" s="122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1"/>
      <c r="CW86" s="101"/>
      <c r="CX86" s="101"/>
      <c r="CY86" s="101"/>
      <c r="CZ86" s="101"/>
      <c r="DA86" s="101"/>
      <c r="DB86" s="101"/>
      <c r="DC86" s="101"/>
      <c r="DD86" s="101"/>
      <c r="DE86" s="101"/>
      <c r="DF86" s="101"/>
      <c r="DG86" s="101"/>
      <c r="DH86" s="101"/>
      <c r="DI86" s="101"/>
      <c r="DJ86" s="101"/>
      <c r="DK86" s="101"/>
      <c r="DL86" s="101"/>
      <c r="DM86" s="101"/>
      <c r="DN86" s="101"/>
      <c r="DO86" s="101"/>
      <c r="DP86" s="101"/>
      <c r="DQ86" s="101"/>
      <c r="DR86" s="101"/>
      <c r="DS86" s="101"/>
      <c r="DT86" s="101"/>
      <c r="DU86" s="101"/>
      <c r="DV86" s="101"/>
      <c r="DW86" s="101"/>
      <c r="DX86" s="101"/>
      <c r="DY86" s="101"/>
      <c r="DZ86" s="101"/>
      <c r="EA86" s="101"/>
      <c r="EB86" s="101"/>
      <c r="EC86" s="101"/>
      <c r="ED86" s="160"/>
      <c r="EE86" s="269"/>
      <c r="EF86" s="101"/>
      <c r="EG86" s="101"/>
      <c r="EH86" s="101"/>
      <c r="EI86" s="101"/>
      <c r="EJ86" s="101"/>
      <c r="EK86" s="101"/>
      <c r="EL86" s="101"/>
      <c r="EM86" s="101"/>
      <c r="EN86" s="101"/>
      <c r="EO86" s="101"/>
      <c r="EP86" s="101"/>
      <c r="EQ86" s="101"/>
      <c r="ER86" s="101"/>
      <c r="ES86" s="101"/>
      <c r="ET86" s="101"/>
      <c r="EU86" s="101"/>
      <c r="EV86" s="101"/>
      <c r="EW86" s="101"/>
      <c r="EX86" s="101"/>
      <c r="EY86" s="101"/>
      <c r="EZ86" s="101">
        <v>0</v>
      </c>
      <c r="FA86" s="101">
        <v>0</v>
      </c>
      <c r="FB86" s="101">
        <v>0</v>
      </c>
      <c r="FC86" s="101">
        <v>0</v>
      </c>
      <c r="FD86" s="101">
        <v>0</v>
      </c>
      <c r="FE86" s="101">
        <v>0</v>
      </c>
      <c r="FF86" s="101">
        <v>0</v>
      </c>
      <c r="FG86" s="101">
        <v>0</v>
      </c>
      <c r="FH86" s="160">
        <v>0</v>
      </c>
      <c r="FI86" s="101">
        <v>0</v>
      </c>
      <c r="FJ86" s="101">
        <v>0</v>
      </c>
      <c r="FK86" s="101">
        <v>0</v>
      </c>
      <c r="FL86" s="101">
        <v>0</v>
      </c>
      <c r="FM86" s="101">
        <v>0</v>
      </c>
      <c r="FN86" s="101">
        <v>0</v>
      </c>
      <c r="FO86" s="101">
        <v>0</v>
      </c>
      <c r="FP86" s="101">
        <v>0</v>
      </c>
      <c r="FQ86" s="101">
        <v>0</v>
      </c>
      <c r="FR86" s="101">
        <v>0</v>
      </c>
      <c r="FS86" s="101">
        <v>0</v>
      </c>
      <c r="FT86" s="101">
        <v>0</v>
      </c>
      <c r="FU86" s="101">
        <v>0</v>
      </c>
      <c r="FV86" s="101">
        <v>0</v>
      </c>
      <c r="FW86" s="101">
        <v>0</v>
      </c>
      <c r="FX86" s="101">
        <v>0</v>
      </c>
      <c r="FY86" s="101">
        <v>0</v>
      </c>
      <c r="FZ86" s="101">
        <v>0</v>
      </c>
      <c r="GA86" s="101">
        <v>0</v>
      </c>
      <c r="GB86" s="101">
        <v>0</v>
      </c>
      <c r="GC86" s="101">
        <v>0</v>
      </c>
      <c r="GD86" s="101">
        <v>0</v>
      </c>
      <c r="GE86" s="101">
        <v>0</v>
      </c>
      <c r="GF86" s="101">
        <v>0</v>
      </c>
      <c r="GG86" s="101">
        <v>0</v>
      </c>
      <c r="GH86" s="101">
        <v>0</v>
      </c>
      <c r="GI86" s="101">
        <v>0</v>
      </c>
      <c r="GJ86" s="101">
        <v>0</v>
      </c>
      <c r="GK86" s="101">
        <v>0</v>
      </c>
      <c r="GL86" s="101">
        <v>0</v>
      </c>
      <c r="GM86" s="73">
        <v>0</v>
      </c>
      <c r="GN86" s="13">
        <v>0</v>
      </c>
      <c r="GO86" s="101">
        <v>0</v>
      </c>
      <c r="GP86" s="13"/>
      <c r="GQ86" s="13"/>
      <c r="GR86" s="13"/>
      <c r="GS86" s="13"/>
      <c r="GT86" s="274"/>
      <c r="GU86" s="55">
        <f t="shared" si="37"/>
        <v>0</v>
      </c>
      <c r="GV86" s="55">
        <v>90</v>
      </c>
      <c r="GW86" s="52"/>
    </row>
    <row r="87" spans="1:205" x14ac:dyDescent="0.25">
      <c r="A87" s="2">
        <v>20</v>
      </c>
      <c r="B87" s="474"/>
      <c r="C87" s="370" t="s">
        <v>128</v>
      </c>
      <c r="D87" s="4" t="s">
        <v>19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62"/>
      <c r="AP87" s="160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1"/>
      <c r="CW87" s="101"/>
      <c r="CX87" s="101"/>
      <c r="CY87" s="101"/>
      <c r="CZ87" s="101"/>
      <c r="DA87" s="101"/>
      <c r="DB87" s="101"/>
      <c r="DC87" s="101"/>
      <c r="DD87" s="101"/>
      <c r="DE87" s="101"/>
      <c r="DF87" s="101"/>
      <c r="DG87" s="101"/>
      <c r="DH87" s="101"/>
      <c r="DI87" s="101"/>
      <c r="DJ87" s="101"/>
      <c r="DK87" s="101"/>
      <c r="DL87" s="101"/>
      <c r="DM87" s="101"/>
      <c r="DN87" s="101"/>
      <c r="DO87" s="101"/>
      <c r="DP87" s="101"/>
      <c r="DQ87" s="101"/>
      <c r="DR87" s="101"/>
      <c r="DS87" s="101"/>
      <c r="DT87" s="101"/>
      <c r="DU87" s="101"/>
      <c r="DV87" s="101"/>
      <c r="DW87" s="101"/>
      <c r="DX87" s="101"/>
      <c r="DY87" s="101"/>
      <c r="DZ87" s="101"/>
      <c r="EA87" s="101"/>
      <c r="EB87" s="101"/>
      <c r="EC87" s="101"/>
      <c r="ED87" s="160"/>
      <c r="EE87" s="101"/>
      <c r="EF87" s="101"/>
      <c r="EG87" s="101"/>
      <c r="EH87" s="101"/>
      <c r="EI87" s="101"/>
      <c r="EJ87" s="101"/>
      <c r="EK87" s="101"/>
      <c r="EL87" s="101"/>
      <c r="EM87" s="101"/>
      <c r="EN87" s="101"/>
      <c r="EO87" s="101"/>
      <c r="EP87" s="101"/>
      <c r="EQ87" s="101"/>
      <c r="ER87" s="101"/>
      <c r="ES87" s="101"/>
      <c r="ET87" s="101"/>
      <c r="EU87" s="101"/>
      <c r="EV87" s="101"/>
      <c r="EW87" s="101"/>
      <c r="EX87" s="101"/>
      <c r="EY87" s="101"/>
      <c r="EZ87" s="101">
        <v>0</v>
      </c>
      <c r="FA87" s="101">
        <v>0</v>
      </c>
      <c r="FB87" s="101">
        <v>0</v>
      </c>
      <c r="FC87" s="101">
        <v>0</v>
      </c>
      <c r="FD87" s="101">
        <v>0</v>
      </c>
      <c r="FE87" s="101">
        <v>0</v>
      </c>
      <c r="FF87" s="101">
        <v>0</v>
      </c>
      <c r="FG87" s="101">
        <v>0</v>
      </c>
      <c r="FH87" s="160">
        <v>0</v>
      </c>
      <c r="FI87" s="101">
        <v>0</v>
      </c>
      <c r="FJ87" s="101">
        <v>0</v>
      </c>
      <c r="FK87" s="101">
        <v>0</v>
      </c>
      <c r="FL87" s="101">
        <v>0</v>
      </c>
      <c r="FM87" s="101">
        <v>0</v>
      </c>
      <c r="FN87" s="101">
        <v>0</v>
      </c>
      <c r="FO87" s="101">
        <v>0</v>
      </c>
      <c r="FP87" s="101">
        <v>0</v>
      </c>
      <c r="FQ87" s="101">
        <v>0</v>
      </c>
      <c r="FR87" s="101">
        <v>0</v>
      </c>
      <c r="FS87" s="101">
        <v>0</v>
      </c>
      <c r="FT87" s="101">
        <v>0</v>
      </c>
      <c r="FU87" s="101">
        <v>0</v>
      </c>
      <c r="FV87" s="101">
        <v>0</v>
      </c>
      <c r="FW87" s="101">
        <v>0</v>
      </c>
      <c r="FX87" s="101">
        <v>0</v>
      </c>
      <c r="FY87" s="101">
        <v>0</v>
      </c>
      <c r="FZ87" s="101">
        <v>0</v>
      </c>
      <c r="GA87" s="101">
        <v>0</v>
      </c>
      <c r="GB87" s="101">
        <v>0</v>
      </c>
      <c r="GC87" s="101">
        <v>0</v>
      </c>
      <c r="GD87" s="101">
        <v>0</v>
      </c>
      <c r="GE87" s="101">
        <v>0</v>
      </c>
      <c r="GF87" s="101">
        <v>0</v>
      </c>
      <c r="GG87" s="101">
        <v>0</v>
      </c>
      <c r="GH87" s="101">
        <v>0</v>
      </c>
      <c r="GI87" s="101">
        <v>0</v>
      </c>
      <c r="GJ87" s="101">
        <v>0</v>
      </c>
      <c r="GK87" s="101">
        <v>0</v>
      </c>
      <c r="GL87" s="101">
        <v>0</v>
      </c>
      <c r="GM87" s="73">
        <v>0</v>
      </c>
      <c r="GN87" s="13">
        <v>0</v>
      </c>
      <c r="GO87" s="101">
        <v>0</v>
      </c>
      <c r="GP87" s="13"/>
      <c r="GQ87" s="13"/>
      <c r="GR87" s="13"/>
      <c r="GS87" s="13"/>
      <c r="GT87" s="274"/>
      <c r="GU87" s="55">
        <f t="shared" si="37"/>
        <v>0</v>
      </c>
      <c r="GV87" s="56">
        <v>60</v>
      </c>
      <c r="GW87" s="63"/>
    </row>
    <row r="88" spans="1:205" ht="15.75" thickBot="1" x14ac:dyDescent="0.3">
      <c r="A88" s="9">
        <v>21</v>
      </c>
      <c r="B88" s="474"/>
      <c r="C88" s="370" t="s">
        <v>129</v>
      </c>
      <c r="D88" s="4" t="s">
        <v>19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62"/>
      <c r="AP88" s="160"/>
      <c r="AQ88" s="101"/>
      <c r="AR88" s="101"/>
      <c r="AS88" s="101"/>
      <c r="AT88" s="101"/>
      <c r="AU88" s="101"/>
      <c r="AV88" s="101"/>
      <c r="AW88" s="101"/>
      <c r="AX88" s="101"/>
      <c r="AY88" s="122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1"/>
      <c r="CW88" s="101"/>
      <c r="CX88" s="101"/>
      <c r="CY88" s="101"/>
      <c r="CZ88" s="101"/>
      <c r="DA88" s="101"/>
      <c r="DB88" s="101"/>
      <c r="DC88" s="101"/>
      <c r="DD88" s="101"/>
      <c r="DE88" s="101"/>
      <c r="DF88" s="101"/>
      <c r="DG88" s="101"/>
      <c r="DH88" s="101"/>
      <c r="DI88" s="101"/>
      <c r="DJ88" s="101"/>
      <c r="DK88" s="101"/>
      <c r="DL88" s="101"/>
      <c r="DM88" s="101"/>
      <c r="DN88" s="101"/>
      <c r="DO88" s="101"/>
      <c r="DP88" s="101"/>
      <c r="DQ88" s="101"/>
      <c r="DR88" s="101"/>
      <c r="DS88" s="101"/>
      <c r="DT88" s="101"/>
      <c r="DU88" s="101"/>
      <c r="DV88" s="101"/>
      <c r="DW88" s="101"/>
      <c r="DX88" s="101"/>
      <c r="DY88" s="101"/>
      <c r="DZ88" s="101"/>
      <c r="EA88" s="101"/>
      <c r="EB88" s="101"/>
      <c r="EC88" s="101"/>
      <c r="ED88" s="160"/>
      <c r="EE88" s="101"/>
      <c r="EF88" s="101"/>
      <c r="EG88" s="101"/>
      <c r="EH88" s="101"/>
      <c r="EI88" s="101"/>
      <c r="EJ88" s="101"/>
      <c r="EK88" s="101"/>
      <c r="EL88" s="101"/>
      <c r="EM88" s="101"/>
      <c r="EN88" s="101"/>
      <c r="EO88" s="101"/>
      <c r="EP88" s="101"/>
      <c r="EQ88" s="101"/>
      <c r="ER88" s="101"/>
      <c r="ES88" s="101"/>
      <c r="ET88" s="101"/>
      <c r="EU88" s="101"/>
      <c r="EV88" s="101"/>
      <c r="EW88" s="101"/>
      <c r="EX88" s="101"/>
      <c r="EY88" s="101"/>
      <c r="EZ88" s="101">
        <v>0</v>
      </c>
      <c r="FA88" s="101">
        <v>0</v>
      </c>
      <c r="FB88" s="101">
        <v>0</v>
      </c>
      <c r="FC88" s="101">
        <v>0</v>
      </c>
      <c r="FD88" s="101">
        <v>0</v>
      </c>
      <c r="FE88" s="101">
        <v>0</v>
      </c>
      <c r="FF88" s="101">
        <v>0</v>
      </c>
      <c r="FG88" s="101">
        <v>0</v>
      </c>
      <c r="FH88" s="160">
        <v>0</v>
      </c>
      <c r="FI88" s="101">
        <v>0</v>
      </c>
      <c r="FJ88" s="101">
        <v>0</v>
      </c>
      <c r="FK88" s="101">
        <v>0</v>
      </c>
      <c r="FL88" s="101">
        <v>0</v>
      </c>
      <c r="FM88" s="101">
        <v>0</v>
      </c>
      <c r="FN88" s="101">
        <v>0</v>
      </c>
      <c r="FO88" s="101">
        <v>0</v>
      </c>
      <c r="FP88" s="101">
        <v>0</v>
      </c>
      <c r="FQ88" s="101">
        <v>0</v>
      </c>
      <c r="FR88" s="101">
        <v>0</v>
      </c>
      <c r="FS88" s="101">
        <v>0</v>
      </c>
      <c r="FT88" s="101">
        <v>0</v>
      </c>
      <c r="FU88" s="101">
        <v>0</v>
      </c>
      <c r="FV88" s="101">
        <v>0</v>
      </c>
      <c r="FW88" s="101">
        <v>0</v>
      </c>
      <c r="FX88" s="101">
        <v>0</v>
      </c>
      <c r="FY88" s="101">
        <v>0</v>
      </c>
      <c r="FZ88" s="101">
        <v>0</v>
      </c>
      <c r="GA88" s="101">
        <v>0</v>
      </c>
      <c r="GB88" s="101">
        <v>0</v>
      </c>
      <c r="GC88" s="101">
        <v>0</v>
      </c>
      <c r="GD88" s="101">
        <v>0</v>
      </c>
      <c r="GE88" s="101">
        <v>0</v>
      </c>
      <c r="GF88" s="101">
        <v>0</v>
      </c>
      <c r="GG88" s="101">
        <v>0</v>
      </c>
      <c r="GH88" s="101">
        <v>0</v>
      </c>
      <c r="GI88" s="101">
        <v>0</v>
      </c>
      <c r="GJ88" s="101">
        <v>0</v>
      </c>
      <c r="GK88" s="101">
        <v>0</v>
      </c>
      <c r="GL88" s="101">
        <v>0</v>
      </c>
      <c r="GM88" s="73">
        <v>0</v>
      </c>
      <c r="GN88" s="13">
        <v>0</v>
      </c>
      <c r="GO88" s="101">
        <v>0</v>
      </c>
      <c r="GP88" s="13"/>
      <c r="GQ88" s="13"/>
      <c r="GR88" s="13"/>
      <c r="GS88" s="13"/>
      <c r="GT88" s="274"/>
      <c r="GU88" s="55">
        <f t="shared" si="37"/>
        <v>0</v>
      </c>
      <c r="GV88" s="186">
        <v>90</v>
      </c>
      <c r="GW88" s="187"/>
    </row>
    <row r="89" spans="1:205" ht="16.5" thickBot="1" x14ac:dyDescent="0.3">
      <c r="A89" s="15"/>
      <c r="B89" s="15"/>
      <c r="C89" s="16" t="s">
        <v>12</v>
      </c>
      <c r="D89" s="17" t="s">
        <v>19</v>
      </c>
      <c r="E89" s="20">
        <f t="shared" ref="E89:AN89" si="38">SUM(E68:E88)</f>
        <v>0</v>
      </c>
      <c r="F89" s="20">
        <f t="shared" si="38"/>
        <v>0</v>
      </c>
      <c r="G89" s="20">
        <f t="shared" si="38"/>
        <v>0</v>
      </c>
      <c r="H89" s="20">
        <f t="shared" si="38"/>
        <v>0</v>
      </c>
      <c r="I89" s="20">
        <f t="shared" si="38"/>
        <v>0</v>
      </c>
      <c r="J89" s="20">
        <f t="shared" si="38"/>
        <v>0</v>
      </c>
      <c r="K89" s="20">
        <f t="shared" si="38"/>
        <v>0</v>
      </c>
      <c r="L89" s="20">
        <f t="shared" si="38"/>
        <v>0</v>
      </c>
      <c r="M89" s="20">
        <f t="shared" si="38"/>
        <v>0</v>
      </c>
      <c r="N89" s="20">
        <f t="shared" si="38"/>
        <v>0</v>
      </c>
      <c r="O89" s="20">
        <f t="shared" si="38"/>
        <v>0</v>
      </c>
      <c r="P89" s="20">
        <f t="shared" si="38"/>
        <v>0</v>
      </c>
      <c r="Q89" s="20">
        <f t="shared" si="38"/>
        <v>0</v>
      </c>
      <c r="R89" s="20">
        <f t="shared" si="38"/>
        <v>0</v>
      </c>
      <c r="S89" s="20">
        <f t="shared" si="38"/>
        <v>0</v>
      </c>
      <c r="T89" s="20">
        <f t="shared" si="38"/>
        <v>0</v>
      </c>
      <c r="U89" s="20">
        <f t="shared" si="38"/>
        <v>0</v>
      </c>
      <c r="V89" s="20">
        <f t="shared" si="38"/>
        <v>0</v>
      </c>
      <c r="W89" s="20">
        <f t="shared" si="38"/>
        <v>0</v>
      </c>
      <c r="X89" s="20">
        <f t="shared" si="38"/>
        <v>0</v>
      </c>
      <c r="Y89" s="20">
        <f t="shared" si="38"/>
        <v>0</v>
      </c>
      <c r="Z89" s="20">
        <f t="shared" si="38"/>
        <v>0</v>
      </c>
      <c r="AA89" s="20">
        <f t="shared" si="38"/>
        <v>0</v>
      </c>
      <c r="AB89" s="20">
        <f t="shared" si="38"/>
        <v>0</v>
      </c>
      <c r="AC89" s="20">
        <f t="shared" si="38"/>
        <v>0</v>
      </c>
      <c r="AD89" s="20">
        <f t="shared" si="38"/>
        <v>0</v>
      </c>
      <c r="AE89" s="20">
        <f t="shared" si="38"/>
        <v>0</v>
      </c>
      <c r="AF89" s="20">
        <f t="shared" si="38"/>
        <v>0</v>
      </c>
      <c r="AG89" s="20">
        <f t="shared" si="38"/>
        <v>0</v>
      </c>
      <c r="AH89" s="20">
        <f t="shared" si="38"/>
        <v>0</v>
      </c>
      <c r="AI89" s="20">
        <f t="shared" si="38"/>
        <v>0</v>
      </c>
      <c r="AJ89" s="20">
        <f t="shared" si="38"/>
        <v>0</v>
      </c>
      <c r="AK89" s="20">
        <f t="shared" si="38"/>
        <v>0</v>
      </c>
      <c r="AL89" s="20">
        <f t="shared" si="38"/>
        <v>0</v>
      </c>
      <c r="AM89" s="20">
        <f t="shared" si="38"/>
        <v>0</v>
      </c>
      <c r="AN89" s="159">
        <f t="shared" si="38"/>
        <v>0</v>
      </c>
      <c r="AO89" s="177"/>
      <c r="AP89" s="83">
        <f t="shared" ref="AP89:BO89" si="39">SUM(AP68:AP88)</f>
        <v>0</v>
      </c>
      <c r="AQ89" s="20">
        <f t="shared" si="39"/>
        <v>0</v>
      </c>
      <c r="AR89" s="20">
        <f t="shared" si="39"/>
        <v>0</v>
      </c>
      <c r="AS89" s="20">
        <f t="shared" si="39"/>
        <v>0</v>
      </c>
      <c r="AT89" s="20">
        <f t="shared" si="39"/>
        <v>0</v>
      </c>
      <c r="AU89" s="20">
        <f t="shared" si="39"/>
        <v>0</v>
      </c>
      <c r="AV89" s="20">
        <f t="shared" si="39"/>
        <v>0</v>
      </c>
      <c r="AW89" s="20">
        <f t="shared" si="39"/>
        <v>0</v>
      </c>
      <c r="AX89" s="20">
        <f t="shared" si="39"/>
        <v>0</v>
      </c>
      <c r="AY89" s="20">
        <f t="shared" si="39"/>
        <v>0</v>
      </c>
      <c r="AZ89" s="20">
        <f t="shared" si="39"/>
        <v>0</v>
      </c>
      <c r="BA89" s="20">
        <f t="shared" si="39"/>
        <v>0</v>
      </c>
      <c r="BB89" s="20">
        <f t="shared" si="39"/>
        <v>0</v>
      </c>
      <c r="BC89" s="20">
        <f t="shared" si="39"/>
        <v>0</v>
      </c>
      <c r="BD89" s="20">
        <f t="shared" si="39"/>
        <v>0</v>
      </c>
      <c r="BE89" s="20">
        <f t="shared" si="39"/>
        <v>0</v>
      </c>
      <c r="BF89" s="20">
        <f t="shared" si="39"/>
        <v>0</v>
      </c>
      <c r="BG89" s="20">
        <f t="shared" si="39"/>
        <v>0</v>
      </c>
      <c r="BH89" s="20">
        <f t="shared" si="39"/>
        <v>0</v>
      </c>
      <c r="BI89" s="20">
        <f t="shared" si="39"/>
        <v>0</v>
      </c>
      <c r="BJ89" s="20">
        <f t="shared" si="39"/>
        <v>0</v>
      </c>
      <c r="BK89" s="20">
        <f t="shared" si="39"/>
        <v>0</v>
      </c>
      <c r="BL89" s="20">
        <f t="shared" si="39"/>
        <v>0</v>
      </c>
      <c r="BM89" s="20">
        <f t="shared" si="39"/>
        <v>0</v>
      </c>
      <c r="BN89" s="20">
        <f t="shared" si="39"/>
        <v>0</v>
      </c>
      <c r="BO89" s="20">
        <f t="shared" si="39"/>
        <v>0</v>
      </c>
      <c r="BP89" s="20"/>
      <c r="BQ89" s="20"/>
      <c r="BR89" s="20"/>
      <c r="BS89" s="20"/>
      <c r="BT89" s="159"/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  <c r="CE89" s="159"/>
      <c r="CF89" s="159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59"/>
      <c r="CZ89" s="159"/>
      <c r="DA89" s="159"/>
      <c r="DB89" s="159"/>
      <c r="DC89" s="159"/>
      <c r="DD89" s="159"/>
      <c r="DE89" s="159"/>
      <c r="DF89" s="159"/>
      <c r="DG89" s="159"/>
      <c r="DH89" s="159"/>
      <c r="DI89" s="159"/>
      <c r="DJ89" s="159"/>
      <c r="DK89" s="159"/>
      <c r="DL89" s="159"/>
      <c r="DM89" s="159"/>
      <c r="DN89" s="159"/>
      <c r="DO89" s="159"/>
      <c r="DP89" s="159"/>
      <c r="DQ89" s="159"/>
      <c r="DR89" s="159"/>
      <c r="DS89" s="159"/>
      <c r="DT89" s="159"/>
      <c r="DU89" s="159"/>
      <c r="DV89" s="159"/>
      <c r="DW89" s="159"/>
      <c r="DX89" s="159"/>
      <c r="DY89" s="159"/>
      <c r="DZ89" s="159"/>
      <c r="EA89" s="159"/>
      <c r="EB89" s="159"/>
      <c r="EC89" s="159"/>
      <c r="ED89" s="371"/>
      <c r="EE89" s="20">
        <f t="shared" ref="EE89:EQ89" si="40">SUM(EE68:EE88)</f>
        <v>0</v>
      </c>
      <c r="EF89" s="20">
        <f t="shared" si="40"/>
        <v>0</v>
      </c>
      <c r="EG89" s="18">
        <f t="shared" si="40"/>
        <v>0</v>
      </c>
      <c r="EH89" s="20">
        <f t="shared" si="40"/>
        <v>0</v>
      </c>
      <c r="EI89" s="20">
        <f t="shared" si="40"/>
        <v>0</v>
      </c>
      <c r="EJ89" s="20">
        <f t="shared" si="40"/>
        <v>0</v>
      </c>
      <c r="EK89" s="20">
        <f t="shared" si="40"/>
        <v>0</v>
      </c>
      <c r="EL89" s="20">
        <f t="shared" si="40"/>
        <v>0</v>
      </c>
      <c r="EM89" s="20">
        <f t="shared" si="40"/>
        <v>0</v>
      </c>
      <c r="EN89" s="20">
        <f t="shared" si="40"/>
        <v>0</v>
      </c>
      <c r="EO89" s="20">
        <f t="shared" si="40"/>
        <v>0</v>
      </c>
      <c r="EP89" s="20">
        <f t="shared" si="40"/>
        <v>0</v>
      </c>
      <c r="EQ89" s="20">
        <f t="shared" si="40"/>
        <v>0</v>
      </c>
      <c r="ER89" s="20">
        <f t="shared" ref="ER89:EZ89" si="41">SUM(ER68:ER88)</f>
        <v>0</v>
      </c>
      <c r="ES89" s="20">
        <f t="shared" si="41"/>
        <v>0</v>
      </c>
      <c r="ET89" s="20">
        <f t="shared" si="41"/>
        <v>0</v>
      </c>
      <c r="EU89" s="20">
        <f t="shared" si="41"/>
        <v>0</v>
      </c>
      <c r="EV89" s="20">
        <f t="shared" si="41"/>
        <v>0</v>
      </c>
      <c r="EW89" s="20">
        <f t="shared" si="41"/>
        <v>0</v>
      </c>
      <c r="EX89" s="20">
        <f t="shared" si="41"/>
        <v>0</v>
      </c>
      <c r="EY89" s="20">
        <f t="shared" si="41"/>
        <v>0</v>
      </c>
      <c r="EZ89" s="20">
        <f t="shared" si="41"/>
        <v>57</v>
      </c>
      <c r="FA89" s="20">
        <f t="shared" ref="FA89:FG89" si="42">SUM(FA68:FA88)</f>
        <v>0</v>
      </c>
      <c r="FB89" s="20">
        <f t="shared" si="42"/>
        <v>0</v>
      </c>
      <c r="FC89" s="20">
        <f t="shared" si="42"/>
        <v>0</v>
      </c>
      <c r="FD89" s="20">
        <f t="shared" si="42"/>
        <v>0</v>
      </c>
      <c r="FE89" s="20">
        <f t="shared" si="42"/>
        <v>0</v>
      </c>
      <c r="FF89" s="20">
        <f t="shared" si="42"/>
        <v>0</v>
      </c>
      <c r="FG89" s="159">
        <f t="shared" si="42"/>
        <v>0</v>
      </c>
      <c r="FH89" s="83">
        <f t="shared" ref="FH89:FN89" si="43">SUM(FH68:FH88)</f>
        <v>0</v>
      </c>
      <c r="FI89" s="20">
        <f t="shared" si="43"/>
        <v>0</v>
      </c>
      <c r="FJ89" s="20">
        <f t="shared" si="43"/>
        <v>0</v>
      </c>
      <c r="FK89" s="20">
        <f t="shared" si="43"/>
        <v>0</v>
      </c>
      <c r="FL89" s="20">
        <f t="shared" si="43"/>
        <v>0</v>
      </c>
      <c r="FM89" s="20">
        <f t="shared" si="43"/>
        <v>0</v>
      </c>
      <c r="FN89" s="20">
        <f t="shared" si="43"/>
        <v>0</v>
      </c>
      <c r="FO89" s="20">
        <f t="shared" ref="FO89:FR89" si="44">SUM(FO68:FO88)</f>
        <v>0</v>
      </c>
      <c r="FP89" s="20">
        <f t="shared" si="44"/>
        <v>0</v>
      </c>
      <c r="FQ89" s="20">
        <f t="shared" si="44"/>
        <v>0</v>
      </c>
      <c r="FR89" s="20">
        <f t="shared" si="44"/>
        <v>0</v>
      </c>
      <c r="FS89" s="20">
        <f t="shared" ref="FS89:FT89" si="45">SUM(FS68:FS88)</f>
        <v>0</v>
      </c>
      <c r="FT89" s="20">
        <f t="shared" si="45"/>
        <v>0</v>
      </c>
      <c r="FU89" s="20">
        <f t="shared" ref="FU89:GA89" si="46">SUM(FU68:FU88)</f>
        <v>0</v>
      </c>
      <c r="FV89" s="20">
        <f t="shared" si="46"/>
        <v>0</v>
      </c>
      <c r="FW89" s="20">
        <f t="shared" si="46"/>
        <v>0</v>
      </c>
      <c r="FX89" s="20">
        <f t="shared" si="46"/>
        <v>0</v>
      </c>
      <c r="FY89" s="20">
        <f t="shared" si="46"/>
        <v>0</v>
      </c>
      <c r="FZ89" s="20">
        <f t="shared" si="46"/>
        <v>0</v>
      </c>
      <c r="GA89" s="20">
        <f t="shared" si="46"/>
        <v>46</v>
      </c>
      <c r="GB89" s="20">
        <f t="shared" ref="GB89:GC89" si="47">SUM(GB68:GB88)</f>
        <v>44</v>
      </c>
      <c r="GC89" s="20">
        <f t="shared" si="47"/>
        <v>0</v>
      </c>
      <c r="GD89" s="20">
        <f t="shared" ref="GD89:GE89" si="48">SUM(GD68:GD88)</f>
        <v>0</v>
      </c>
      <c r="GE89" s="20">
        <f t="shared" si="48"/>
        <v>0</v>
      </c>
      <c r="GF89" s="20">
        <f t="shared" ref="GF89:GM89" si="49">SUM(GF68:GF88)</f>
        <v>0</v>
      </c>
      <c r="GG89" s="20">
        <f t="shared" si="49"/>
        <v>0</v>
      </c>
      <c r="GH89" s="20">
        <f t="shared" si="49"/>
        <v>0</v>
      </c>
      <c r="GI89" s="20">
        <f t="shared" si="49"/>
        <v>0</v>
      </c>
      <c r="GJ89" s="20">
        <f t="shared" si="49"/>
        <v>0</v>
      </c>
      <c r="GK89" s="20">
        <f t="shared" si="49"/>
        <v>0</v>
      </c>
      <c r="GL89" s="159">
        <f t="shared" si="49"/>
        <v>0</v>
      </c>
      <c r="GM89" s="313">
        <f t="shared" si="49"/>
        <v>0</v>
      </c>
      <c r="GN89" s="115">
        <f t="shared" ref="GN89:GO89" si="50">SUM(GN68:GN88)</f>
        <v>35</v>
      </c>
      <c r="GO89" s="20">
        <f t="shared" si="50"/>
        <v>0</v>
      </c>
      <c r="GP89" s="115"/>
      <c r="GQ89" s="115"/>
      <c r="GR89" s="115"/>
      <c r="GS89" s="115"/>
      <c r="GT89" s="421"/>
      <c r="GU89" s="401">
        <f>SUM(E89:GB89)</f>
        <v>147</v>
      </c>
      <c r="GV89" s="53"/>
      <c r="GW89" s="7"/>
    </row>
    <row r="90" spans="1:205" ht="17.25" thickBot="1" x14ac:dyDescent="0.3">
      <c r="A90" s="497" t="s">
        <v>29</v>
      </c>
      <c r="B90" s="498"/>
      <c r="C90" s="513"/>
      <c r="D90" s="40" t="s">
        <v>30</v>
      </c>
      <c r="E90" s="41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92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120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73</v>
      </c>
      <c r="AD90" s="42">
        <v>55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158">
        <v>30</v>
      </c>
      <c r="AO90" s="166"/>
      <c r="AP90" s="76">
        <v>0</v>
      </c>
      <c r="AQ90" s="42">
        <v>0</v>
      </c>
      <c r="AR90" s="42">
        <v>0</v>
      </c>
      <c r="AS90" s="42">
        <v>70</v>
      </c>
      <c r="AT90" s="42">
        <v>103</v>
      </c>
      <c r="AU90" s="42">
        <v>0</v>
      </c>
      <c r="AV90" s="42">
        <v>0</v>
      </c>
      <c r="AW90" s="42">
        <v>12</v>
      </c>
      <c r="AX90" s="42">
        <v>0</v>
      </c>
      <c r="AY90" s="42">
        <v>170</v>
      </c>
      <c r="AZ90" s="42">
        <v>0</v>
      </c>
      <c r="BA90" s="42">
        <v>0</v>
      </c>
      <c r="BB90" s="42">
        <v>0</v>
      </c>
      <c r="BC90" s="42">
        <v>0</v>
      </c>
      <c r="BD90" s="42">
        <v>0</v>
      </c>
      <c r="BE90" s="42">
        <v>0</v>
      </c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158"/>
      <c r="BU90" s="158"/>
      <c r="BV90" s="158"/>
      <c r="BW90" s="158"/>
      <c r="BX90" s="158"/>
      <c r="BY90" s="158"/>
      <c r="BZ90" s="158"/>
      <c r="CA90" s="158"/>
      <c r="CB90" s="158"/>
      <c r="CC90" s="158"/>
      <c r="CD90" s="158"/>
      <c r="CE90" s="158"/>
      <c r="CF90" s="158"/>
      <c r="CG90" s="158"/>
      <c r="CH90" s="158"/>
      <c r="CI90" s="158"/>
      <c r="CJ90" s="158"/>
      <c r="CK90" s="158"/>
      <c r="CL90" s="158"/>
      <c r="CM90" s="158"/>
      <c r="CN90" s="158"/>
      <c r="CO90" s="158"/>
      <c r="CP90" s="158"/>
      <c r="CQ90" s="158"/>
      <c r="CR90" s="158"/>
      <c r="CS90" s="158"/>
      <c r="CT90" s="158"/>
      <c r="CU90" s="158"/>
      <c r="CV90" s="158"/>
      <c r="CW90" s="158"/>
      <c r="CX90" s="158"/>
      <c r="CY90" s="158"/>
      <c r="CZ90" s="158"/>
      <c r="DA90" s="158"/>
      <c r="DB90" s="158"/>
      <c r="DC90" s="158"/>
      <c r="DD90" s="158"/>
      <c r="DE90" s="158"/>
      <c r="DF90" s="158"/>
      <c r="DG90" s="158"/>
      <c r="DH90" s="158"/>
      <c r="DI90" s="158"/>
      <c r="DJ90" s="158"/>
      <c r="DK90" s="158"/>
      <c r="DL90" s="158"/>
      <c r="DM90" s="158"/>
      <c r="DN90" s="158"/>
      <c r="DO90" s="158"/>
      <c r="DP90" s="158"/>
      <c r="DQ90" s="158"/>
      <c r="DR90" s="158"/>
      <c r="DS90" s="158"/>
      <c r="DT90" s="158"/>
      <c r="DU90" s="158"/>
      <c r="DV90" s="158"/>
      <c r="DW90" s="158"/>
      <c r="DX90" s="158"/>
      <c r="DY90" s="158"/>
      <c r="DZ90" s="158"/>
      <c r="EA90" s="158"/>
      <c r="EB90" s="158"/>
      <c r="EC90" s="158"/>
      <c r="ED90" s="175"/>
      <c r="EE90" s="158">
        <v>16</v>
      </c>
      <c r="EF90" s="158">
        <v>0</v>
      </c>
      <c r="EG90" s="158">
        <v>92</v>
      </c>
      <c r="EH90" s="158">
        <v>0</v>
      </c>
      <c r="EI90" s="158">
        <v>0</v>
      </c>
      <c r="EJ90" s="158">
        <v>0</v>
      </c>
      <c r="EK90" s="158">
        <v>0</v>
      </c>
      <c r="EL90" s="158">
        <v>0</v>
      </c>
      <c r="EM90" s="158">
        <v>0</v>
      </c>
      <c r="EN90" s="158">
        <v>0</v>
      </c>
      <c r="EO90" s="158">
        <v>0</v>
      </c>
      <c r="EP90" s="158">
        <v>0</v>
      </c>
      <c r="EQ90" s="158">
        <v>34</v>
      </c>
      <c r="ER90" s="158">
        <v>0</v>
      </c>
      <c r="ES90" s="158">
        <v>0</v>
      </c>
      <c r="ET90" s="158">
        <v>0</v>
      </c>
      <c r="EU90" s="158">
        <v>0</v>
      </c>
      <c r="EV90" s="158">
        <v>0</v>
      </c>
      <c r="EW90" s="158">
        <v>0</v>
      </c>
      <c r="EX90" s="158">
        <v>0</v>
      </c>
      <c r="EY90" s="158">
        <v>0</v>
      </c>
      <c r="EZ90" s="158">
        <v>57</v>
      </c>
      <c r="FA90" s="158">
        <v>0</v>
      </c>
      <c r="FB90" s="158">
        <v>0</v>
      </c>
      <c r="FC90" s="158">
        <v>0</v>
      </c>
      <c r="FD90" s="158">
        <v>0</v>
      </c>
      <c r="FE90" s="158">
        <v>0</v>
      </c>
      <c r="FF90" s="158">
        <v>0</v>
      </c>
      <c r="FG90" s="158">
        <v>70</v>
      </c>
      <c r="FH90" s="175">
        <v>0</v>
      </c>
      <c r="FI90" s="158">
        <v>0</v>
      </c>
      <c r="FJ90" s="158">
        <v>0</v>
      </c>
      <c r="FK90" s="158">
        <v>0</v>
      </c>
      <c r="FL90" s="158">
        <v>0</v>
      </c>
      <c r="FM90" s="158">
        <v>0</v>
      </c>
      <c r="FN90" s="158">
        <v>73</v>
      </c>
      <c r="FO90" s="158">
        <v>0</v>
      </c>
      <c r="FP90" s="158">
        <v>0</v>
      </c>
      <c r="FQ90" s="158">
        <v>0</v>
      </c>
      <c r="FR90" s="158">
        <v>50</v>
      </c>
      <c r="FS90" s="158">
        <v>37</v>
      </c>
      <c r="FT90" s="158">
        <v>0</v>
      </c>
      <c r="FU90" s="158">
        <v>0</v>
      </c>
      <c r="FV90" s="158">
        <v>0</v>
      </c>
      <c r="FW90" s="158">
        <v>0</v>
      </c>
      <c r="FX90" s="158">
        <v>0</v>
      </c>
      <c r="FY90" s="158">
        <v>0</v>
      </c>
      <c r="FZ90" s="158">
        <v>0</v>
      </c>
      <c r="GA90" s="158">
        <v>49</v>
      </c>
      <c r="GB90" s="158">
        <v>55</v>
      </c>
      <c r="GC90" s="158">
        <v>0</v>
      </c>
      <c r="GD90" s="158">
        <v>0</v>
      </c>
      <c r="GE90" s="158">
        <v>0</v>
      </c>
      <c r="GF90" s="158">
        <v>0</v>
      </c>
      <c r="GG90" s="158">
        <v>0</v>
      </c>
      <c r="GH90" s="158">
        <v>0</v>
      </c>
      <c r="GI90" s="158">
        <v>0</v>
      </c>
      <c r="GJ90" s="158">
        <v>0</v>
      </c>
      <c r="GK90" s="158">
        <v>0</v>
      </c>
      <c r="GL90" s="158">
        <v>0</v>
      </c>
      <c r="GM90" s="76">
        <v>0</v>
      </c>
      <c r="GN90" s="76">
        <v>40</v>
      </c>
      <c r="GO90" s="158">
        <v>0</v>
      </c>
      <c r="GP90" s="42"/>
      <c r="GQ90" s="42"/>
      <c r="GR90" s="42"/>
      <c r="GS90" s="42"/>
      <c r="GT90" s="77"/>
      <c r="GU90" s="402">
        <f>SUM(E90:GL90)</f>
        <v>1258</v>
      </c>
      <c r="GV90" s="54"/>
      <c r="GW90" s="7"/>
    </row>
  </sheetData>
  <mergeCells count="49">
    <mergeCell ref="CY66:EC66"/>
    <mergeCell ref="GV66:GV67"/>
    <mergeCell ref="GW66:GW67"/>
    <mergeCell ref="B68:B88"/>
    <mergeCell ref="ED66:FG66"/>
    <mergeCell ref="FH66:GL66"/>
    <mergeCell ref="GM66:GT66"/>
    <mergeCell ref="A90:C90"/>
    <mergeCell ref="AP7:BT7"/>
    <mergeCell ref="BU7:CX7"/>
    <mergeCell ref="CY7:EC7"/>
    <mergeCell ref="AP37:BT37"/>
    <mergeCell ref="BU37:CX37"/>
    <mergeCell ref="CY37:EC37"/>
    <mergeCell ref="M37:AN37"/>
    <mergeCell ref="A66:A67"/>
    <mergeCell ref="B66:B67"/>
    <mergeCell ref="C66:C67"/>
    <mergeCell ref="D66:D67"/>
    <mergeCell ref="E66:L66"/>
    <mergeCell ref="M66:AN66"/>
    <mergeCell ref="AP66:BT66"/>
    <mergeCell ref="BU66:CX66"/>
    <mergeCell ref="GV37:GV38"/>
    <mergeCell ref="GW37:GW38"/>
    <mergeCell ref="B39:B59"/>
    <mergeCell ref="A37:A38"/>
    <mergeCell ref="B37:B38"/>
    <mergeCell ref="C37:C38"/>
    <mergeCell ref="D37:D38"/>
    <mergeCell ref="E37:L37"/>
    <mergeCell ref="ED37:FG37"/>
    <mergeCell ref="FH37:GL37"/>
    <mergeCell ref="GM37:GT37"/>
    <mergeCell ref="GX16:GY17"/>
    <mergeCell ref="GV7:GV8"/>
    <mergeCell ref="GW7:GW8"/>
    <mergeCell ref="A31:C31"/>
    <mergeCell ref="A1:C5"/>
    <mergeCell ref="D1:GU5"/>
    <mergeCell ref="B9:B29"/>
    <mergeCell ref="A7:A8"/>
    <mergeCell ref="B7:B8"/>
    <mergeCell ref="C7:C8"/>
    <mergeCell ref="D7:D8"/>
    <mergeCell ref="E7:L7"/>
    <mergeCell ref="M7:AN7"/>
    <mergeCell ref="FH7:GL7"/>
    <mergeCell ref="GM7:GT7"/>
  </mergeCells>
  <phoneticPr fontId="12" type="noConversion"/>
  <pageMargins left="0.7" right="0.7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Columns</vt:lpstr>
      <vt:lpstr>External Wall</vt:lpstr>
      <vt:lpstr>Internal Wall</vt:lpstr>
      <vt:lpstr>Slab</vt:lpstr>
      <vt:lpstr>Pour Strip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Nazeer Imran</dc:creator>
  <cp:lastModifiedBy>Haroon Saeed</cp:lastModifiedBy>
  <cp:lastPrinted>2026-06-22T09:54:23Z</cp:lastPrinted>
  <dcterms:created xsi:type="dcterms:W3CDTF">2026-01-12T07:46:53Z</dcterms:created>
  <dcterms:modified xsi:type="dcterms:W3CDTF">2026-08-20T11:57:21Z</dcterms:modified>
</cp:coreProperties>
</file>